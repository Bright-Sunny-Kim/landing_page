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56F5F59C-6425-41A8-9A06-08876DA61952}" xr6:coauthVersionLast="47" xr6:coauthVersionMax="47" xr10:uidLastSave="{00000000-0000-0000-0000-000000000000}"/>
  <bookViews>
    <workbookView xWindow="6165" yWindow="-15495" windowWidth="13545" windowHeight="15495" xr2:uid="{ACF984F3-E73D-41EE-82A7-D7BFECD2FB28}"/>
  </bookViews>
  <sheets>
    <sheet name="8600A" sheetId="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'8600A'!$A$1:$G$26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19" i="2"/>
  <c r="E17" i="2"/>
  <c r="E16" i="2"/>
  <c r="E21" i="2" s="1"/>
</calcChain>
</file>

<file path=xl/sharedStrings.xml><?xml version="1.0" encoding="utf-8"?>
<sst xmlns="http://schemas.openxmlformats.org/spreadsheetml/2006/main" count="33" uniqueCount="30">
  <si>
    <t>8600A 감사인의 결론 집계표</t>
  </si>
  <si>
    <t>#</t>
  </si>
  <si>
    <t>결론집계대상</t>
  </si>
  <si>
    <t>결론(*1)</t>
    <phoneticPr fontId="2" type="noConversion"/>
  </si>
  <si>
    <t>감사보고서에 반영한 방법(*2)</t>
    <phoneticPr fontId="2" type="noConversion"/>
  </si>
  <si>
    <t>근거(*3)</t>
    <phoneticPr fontId="2" type="noConversion"/>
  </si>
  <si>
    <r>
      <t>충분하고 적합한 감사증거를 입수했는지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</si>
  <si>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계속기업전제 사용의 적합성에 대하여 충분하고 적합한 감사증거를 입수하였는지 여부</t>
    </r>
    <r>
      <rPr>
        <sz val="11"/>
        <color rgb="FFFF0000"/>
        <rFont val="맑은 고딕"/>
        <family val="3"/>
        <charset val="129"/>
        <scheme val="minor"/>
      </rPr>
      <t>에 대한</t>
    </r>
    <r>
      <rPr>
        <sz val="11"/>
        <rFont val="맑은 고딕"/>
        <family val="3"/>
        <charset val="129"/>
        <scheme val="minor"/>
      </rPr>
      <t xml:space="preserve"> 평가</t>
    </r>
    <phoneticPr fontId="2" type="noConversion"/>
  </si>
  <si>
    <r>
      <t>재무제표에 중요한 불확실성에 대한 적절한 공시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</si>
  <si>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미수정왜곡표시가 개별적으로 또는 집합적으로 중요한지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</si>
  <si>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다수의 불확실성을 수반하는 극히 드문 상황에서 감사인이 각각의 불확실성에 대하여 충분하고 적합한 감사증거를 입수하였음에도 불구하고 이들 개별 불확실성 사이의 잠재적 상호작용과 이들 불확실성이 재무제표에 미칠 수 있는 누적적 영향 때문에 재무제표에 대한 의견을 형성하는 것이 가능하지 않은 경우에 해당하는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</si>
  <si>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t>(*1) 결론은 감사보고서에 반영할 사항이 없는 경우 "적정함" 또는 "예외사항 없음"으로 기재, 나머지 경우는 해당 평가결론 기재</t>
    <phoneticPr fontId="2" type="noConversion"/>
  </si>
  <si>
    <t>(*2) 감사보고서에 반영할 사항이 없는 경우 '해당사항 없음'으로 기재</t>
    <phoneticPr fontId="2" type="noConversion"/>
  </si>
  <si>
    <t>(*3) 의견변형이 없고 감사보고서에 반영대상이 아닌 경우, 근거란에 '해당사항 없음'으로 기재</t>
    <phoneticPr fontId="2" type="noConversion"/>
  </si>
  <si>
    <t>* 아래 표는 필요할 경우 사용 가능</t>
    <phoneticPr fontId="2" type="noConversion"/>
  </si>
  <si>
    <t>(단위:백만원)</t>
    <phoneticPr fontId="2" type="noConversion"/>
  </si>
  <si>
    <t>유형(*1)</t>
    <phoneticPr fontId="2" type="noConversion"/>
  </si>
  <si>
    <t>항목</t>
    <phoneticPr fontId="2" type="noConversion"/>
  </si>
  <si>
    <t>금액</t>
    <phoneticPr fontId="2" type="noConversion"/>
  </si>
  <si>
    <t>대응중요성금액(*2)</t>
    <phoneticPr fontId="2" type="noConversion"/>
  </si>
  <si>
    <t>비율</t>
    <phoneticPr fontId="2" type="noConversion"/>
  </si>
  <si>
    <t>&gt;왜곡표시</t>
    <phoneticPr fontId="2" type="noConversion"/>
  </si>
  <si>
    <t>…</t>
    <phoneticPr fontId="2" type="noConversion"/>
  </si>
  <si>
    <t>&gt;감사범위 제한</t>
    <phoneticPr fontId="2" type="noConversion"/>
  </si>
  <si>
    <t>합계</t>
    <phoneticPr fontId="2" type="noConversion"/>
  </si>
  <si>
    <t>(*1) 유형: 손익/자본 - A, 과대과소(주1)-B, 주석(주2) -C, 재분류및기타주석 - D</t>
    <phoneticPr fontId="2" type="noConversion"/>
  </si>
  <si>
    <t>주1) 영업과비영업손익간, 유동과 비유동항목간 계정재분류, 영업현금흐름 과대과소 포함</t>
    <phoneticPr fontId="10" type="noConversion"/>
  </si>
  <si>
    <t>주2) 특수관계자거래/소송우발부채/타인을 위한 담보제공 등으로 인한 우발금액 등(관련채무잔액의 130%까지만 포함)</t>
    <phoneticPr fontId="10" type="noConversion"/>
  </si>
  <si>
    <t>(*2) 해당 왜곡표시유형이나 감사범위제한에 대응하는 중요성금액을 기재함.</t>
    <phoneticPr fontId="2" type="noConversion"/>
  </si>
  <si>
    <t>(예시: 재분류 오류의 경우 전체손익중요성금액(또는 수행손익중요성금액)*15로 계산된 중요성금액 입력)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</si>
</sst>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7030A0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9" fillId="0" borderId="0" xfId="1" applyFont="1" applyAlignment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</cellXfs>
  <cellStyles count="2">
    <cellStyle name="표준" xfId="0" builtinId="0"/>
    <cellStyle name="표준_중요성금액 산출표(2003.02)" xfId="1" xr:uid="{B7B66191-EB44-49D1-A4CE-4C4F12AD5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3D93-0CF6-45C1-886C-A1018313E7F2}">
  <sheetPr>
    <tabColor rgb="FFFF0000"/>
  </sheetPr>
  <dimension ref="A1:E26"/>
  <sheetViews>
    <sheetView tabSelected="1" view="pageBreakPreview" zoomScaleNormal="100" zoomScaleSheetLayoutView="100" workbookViewId="0">
      <selection activeCell="B2" sqref="B2"/>
    </sheetView>
  </sheetViews>
  <sheetFormatPr defaultRowHeight="16.5"/>
  <cols>
    <col min="1" max="1" width="5.375" customWidth="1"/>
    <col min="2" max="2" width="42.375" customWidth="1"/>
    <col min="3" max="3" width="13.5" customWidth="1"/>
    <col min="4" max="4" width="18.25" customWidth="1"/>
    <col min="5" max="5" width="14.75" customWidth="1"/>
  </cols>
  <sheetData>
    <row r="1" spans="1:5">
      <c r="A1" s="1" t="s">
        <v>0</v>
      </c>
    </row>
    <row r="3" spans="1:5" ht="33">
      <c r="A3" s="2" t="s">
        <v>1</v>
      </c>
      <c r="B3" s="2" t="s">
        <v>2</v>
      </c>
      <c r="C3" s="2" t="s">
        <v>3</v>
      </c>
      <c r="D3" s="6" t="s">
        <v>4</v>
      </c>
      <c r="E3" s="2" t="s">
        <v>5</v>
      </c>
    </row>
    <row r="4" spans="1:5" ht="33.75" customHeight="1">
      <c r="A4" s="7">
        <v>1</v>
      </c>
      <c r="B4" s="4" t="s">
        <v>6</v>
      </c>
      <c r="C4" s="3"/>
      <c r="D4" s="3"/>
      <c r="E4" s="3"/>
    </row>
    <row r="5" spans="1:5" ht="33.75" customHeight="1">
      <c r="A5" s="7">
        <v>2</v>
      </c>
      <c r="B5" s="4" t="s">
        <v>7</v>
      </c>
      <c r="C5" s="3"/>
      <c r="D5" s="3"/>
      <c r="E5" s="3"/>
    </row>
    <row r="6" spans="1:5" ht="33.75" customHeight="1">
      <c r="A6" s="7">
        <v>3</v>
      </c>
      <c r="B6" s="4" t="s">
        <v>8</v>
      </c>
      <c r="C6" s="3"/>
      <c r="D6" s="3"/>
      <c r="E6" s="3"/>
    </row>
    <row r="7" spans="1:5" ht="33.75" customHeight="1">
      <c r="A7" s="7">
        <v>4</v>
      </c>
      <c r="B7" s="4" t="s">
        <v>9</v>
      </c>
      <c r="C7" s="3"/>
      <c r="D7" s="3"/>
      <c r="E7" s="3"/>
    </row>
    <row r="8" spans="1:5" ht="115.5">
      <c r="A8" s="7">
        <v>5</v>
      </c>
      <c r="B8" s="4" t="s">
        <v>10</v>
      </c>
      <c r="C8" s="3"/>
      <c r="D8" s="3"/>
      <c r="E8" s="3"/>
    </row>
    <row r="9" spans="1:5">
      <c r="A9" s="8" t="s">
        <v>11</v>
      </c>
      <c r="B9" s="5"/>
    </row>
    <row r="10" spans="1:5">
      <c r="A10" s="9" t="s">
        <v>12</v>
      </c>
      <c r="B10" s="5"/>
    </row>
    <row r="11" spans="1:5">
      <c r="A11" s="9" t="s">
        <v>13</v>
      </c>
    </row>
    <row r="12" spans="1:5">
      <c r="A12" s="9"/>
    </row>
    <row r="13" spans="1:5">
      <c r="A13" s="10"/>
      <c r="B13" s="11" t="s">
        <v>14</v>
      </c>
      <c r="C13" s="10"/>
      <c r="D13" s="10"/>
      <c r="E13" s="12" t="s">
        <v>15</v>
      </c>
    </row>
    <row r="14" spans="1:5" ht="33">
      <c r="A14" s="13" t="s">
        <v>16</v>
      </c>
      <c r="B14" s="14" t="s">
        <v>17</v>
      </c>
      <c r="C14" s="14" t="s">
        <v>18</v>
      </c>
      <c r="D14" s="13" t="s">
        <v>19</v>
      </c>
      <c r="E14" s="14" t="s">
        <v>20</v>
      </c>
    </row>
    <row r="15" spans="1:5">
      <c r="A15" s="15"/>
      <c r="B15" s="15" t="s">
        <v>21</v>
      </c>
      <c r="C15" s="15"/>
      <c r="D15" s="15"/>
      <c r="E15" s="15"/>
    </row>
    <row r="16" spans="1:5">
      <c r="A16" s="16"/>
      <c r="B16" s="16" t="s">
        <v>22</v>
      </c>
      <c r="C16" s="16"/>
      <c r="D16" s="16"/>
      <c r="E16" s="15" t="e">
        <f>+C16/D16</f>
        <v>#DIV/0!</v>
      </c>
    </row>
    <row r="17" spans="1:5">
      <c r="A17" s="16"/>
      <c r="B17" s="16" t="s">
        <v>22</v>
      </c>
      <c r="C17" s="16"/>
      <c r="D17" s="16"/>
      <c r="E17" s="15" t="e">
        <f>+C17/D17</f>
        <v>#DIV/0!</v>
      </c>
    </row>
    <row r="18" spans="1:5">
      <c r="A18" s="15"/>
      <c r="B18" s="15" t="s">
        <v>23</v>
      </c>
      <c r="C18" s="15"/>
      <c r="D18" s="15"/>
      <c r="E18" s="15"/>
    </row>
    <row r="19" spans="1:5">
      <c r="A19" s="16"/>
      <c r="B19" s="16" t="s">
        <v>22</v>
      </c>
      <c r="C19" s="16"/>
      <c r="D19" s="16"/>
      <c r="E19" s="15" t="e">
        <f t="shared" ref="E19:E20" si="0">+C19/D19</f>
        <v>#DIV/0!</v>
      </c>
    </row>
    <row r="20" spans="1:5">
      <c r="A20" s="16"/>
      <c r="B20" s="16" t="s">
        <v>22</v>
      </c>
      <c r="C20" s="16"/>
      <c r="D20" s="16"/>
      <c r="E20" s="15" t="e">
        <f t="shared" si="0"/>
        <v>#DIV/0!</v>
      </c>
    </row>
    <row r="21" spans="1:5">
      <c r="A21" s="17" t="s">
        <v>24</v>
      </c>
      <c r="B21" s="18"/>
      <c r="C21" s="18"/>
      <c r="D21" s="19"/>
      <c r="E21" s="15" t="e">
        <f>SUM(E15:E20)</f>
        <v>#DIV/0!</v>
      </c>
    </row>
    <row r="22" spans="1:5">
      <c r="A22" s="20" t="s">
        <v>25</v>
      </c>
      <c r="B22" s="20"/>
    </row>
    <row r="23" spans="1:5">
      <c r="A23" s="8"/>
      <c r="B23" s="21" t="s">
        <v>26</v>
      </c>
    </row>
    <row r="24" spans="1:5">
      <c r="A24" s="8"/>
      <c r="B24" s="21" t="s">
        <v>27</v>
      </c>
    </row>
    <row r="25" spans="1:5">
      <c r="A25" s="8" t="s">
        <v>28</v>
      </c>
      <c r="B25" s="8"/>
    </row>
    <row r="26" spans="1:5">
      <c r="A26" s="22" t="s">
        <v>29</v>
      </c>
      <c r="B26" s="23"/>
      <c r="C26" s="23"/>
      <c r="D26" s="23"/>
      <c r="E26" s="2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8600A</vt:lpstr>
      <vt:lpstr>'8600A'!Print_Area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BO IN</cp:lastModifiedBy>
  <cp:lastPrinted>2021-09-23T02:32:25Z</cp:lastPrinted>
  <dcterms:created xsi:type="dcterms:W3CDTF">2021-09-22T05:25:49Z</dcterms:created>
  <dcterms:modified xsi:type="dcterms:W3CDTF">2023-08-30T08:37:43Z</dcterms:modified>
</cp:coreProperties>
</file>