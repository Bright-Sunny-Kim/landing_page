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mc:AlternateContent xmlns:mc="http://schemas.openxmlformats.org/markup-compatibility/2006">
    <mc:Choice Requires="x15">
      <x15ac:absPath xmlns:x15ac="http://schemas.microsoft.com/office/spreadsheetml/2010/11/ac" url="C:\Users\boin\Documents\0.20230713 레노보\0.한공회 감사조서 서식\2023년 감사조서서식(예시)_AUL Customized_2022 기반\23. 2023 감사조서 변경 사항\KGAAP 변경_230825\"/>
    </mc:Choice>
  </mc:AlternateContent>
  <xr:revisionPtr revIDLastSave="0" documentId="13_ncr:1_{BCA8F2C0-C829-4875-97C4-719AF41708B6}" xr6:coauthVersionLast="47" xr6:coauthVersionMax="47" xr10:uidLastSave="{00000000-0000-0000-0000-000000000000}"/>
  <bookViews>
    <workbookView xWindow="3435" yWindow="-15810" windowWidth="13545" windowHeight="15495" xr2:uid="{00000000-000D-0000-FFFF-FFFF00000000}"/>
  </bookViews>
  <sheets>
    <sheet name="2023개정사항" sheetId="4" r:id="rId1"/>
    <sheet name="8400" sheetId="1" r:id="rId2"/>
    <sheet name="공시사항점검표 목차(2023)" sheetId="3" r:id="rId3"/>
  </sheets>
  <definedNames>
    <definedName name="_xlnm._FilterDatabase" localSheetId="1" hidden="1">'8400'!$H$20:$I$775</definedName>
    <definedName name="_xlnm.Print_Area" localSheetId="1">'8400'!$A$1:$J$776</definedName>
  </definedName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73" i="3" l="1"/>
  <c r="K68" i="3"/>
  <c r="L68" i="3" s="1"/>
  <c r="K67" i="3"/>
  <c r="L67" i="3" s="1"/>
  <c r="K66" i="3"/>
  <c r="L66" i="3" s="1"/>
  <c r="K65" i="3"/>
  <c r="L65" i="3" s="1"/>
  <c r="K64" i="3"/>
  <c r="L64" i="3" s="1"/>
  <c r="K63" i="3"/>
  <c r="L63" i="3" s="1"/>
  <c r="K62" i="3"/>
  <c r="L62" i="3" s="1"/>
  <c r="K60" i="3"/>
  <c r="L60" i="3" s="1"/>
  <c r="K59" i="3"/>
  <c r="L59" i="3" s="1"/>
  <c r="K58" i="3"/>
  <c r="L58" i="3" s="1"/>
  <c r="K57" i="3"/>
  <c r="L57" i="3" s="1"/>
  <c r="K56" i="3"/>
  <c r="L56" i="3" s="1"/>
  <c r="K55" i="3"/>
  <c r="L55" i="3" s="1"/>
  <c r="K48" i="3"/>
  <c r="L48" i="3" s="1"/>
  <c r="K47" i="3"/>
  <c r="L47" i="3" s="1"/>
  <c r="K44" i="3"/>
  <c r="L44" i="3" s="1"/>
  <c r="K23" i="3"/>
  <c r="L23" i="3" s="1"/>
  <c r="K22" i="3"/>
  <c r="L22" i="3" s="1"/>
  <c r="K21" i="3"/>
  <c r="L21" i="3" s="1"/>
  <c r="K20" i="3"/>
  <c r="L20" i="3"/>
  <c r="K19" i="3"/>
  <c r="L19" i="3" s="1"/>
  <c r="K18" i="3"/>
  <c r="L18" i="3" s="1"/>
  <c r="K17" i="3"/>
  <c r="L17" i="3" s="1"/>
  <c r="L73" i="3" l="1"/>
  <c r="K72" i="3"/>
  <c r="L72" i="3" s="1"/>
  <c r="K71" i="3"/>
  <c r="L71" i="3" s="1"/>
  <c r="K61" i="3"/>
  <c r="L61" i="3" s="1"/>
  <c r="K54" i="3"/>
  <c r="L54" i="3" s="1"/>
  <c r="K53" i="3"/>
  <c r="L53" i="3" s="1"/>
  <c r="K52" i="3"/>
  <c r="L52" i="3" s="1"/>
  <c r="K51" i="3"/>
  <c r="L51" i="3" s="1"/>
  <c r="K50" i="3"/>
  <c r="L50" i="3" s="1"/>
  <c r="K49" i="3"/>
  <c r="L49" i="3" s="1"/>
  <c r="K46" i="3"/>
  <c r="L46" i="3" s="1"/>
  <c r="K45" i="3"/>
  <c r="L45" i="3" s="1"/>
  <c r="K43" i="3"/>
  <c r="L43" i="3" s="1"/>
  <c r="K42" i="3"/>
  <c r="L42" i="3" s="1"/>
  <c r="K41" i="3"/>
  <c r="L41" i="3" s="1"/>
  <c r="K40" i="3"/>
  <c r="L40" i="3" s="1"/>
  <c r="K39" i="3"/>
  <c r="L39" i="3" s="1"/>
  <c r="K38" i="3"/>
  <c r="L38" i="3" s="1"/>
  <c r="K37" i="3"/>
  <c r="L37" i="3" s="1"/>
  <c r="K36" i="3"/>
  <c r="L36" i="3" s="1"/>
  <c r="K35" i="3"/>
  <c r="L35" i="3" s="1"/>
  <c r="K34" i="3"/>
  <c r="L34" i="3" s="1"/>
  <c r="K33" i="3"/>
  <c r="L33" i="3" s="1"/>
  <c r="K32" i="3"/>
  <c r="L32" i="3" s="1"/>
  <c r="K31" i="3"/>
  <c r="L31" i="3" s="1"/>
  <c r="K30" i="3"/>
  <c r="L30" i="3" s="1"/>
  <c r="K29" i="3"/>
  <c r="L29" i="3" s="1"/>
  <c r="K28" i="3"/>
  <c r="L28" i="3" s="1"/>
  <c r="K27" i="3"/>
  <c r="L27" i="3" s="1"/>
  <c r="K26" i="3"/>
  <c r="L26" i="3" s="1"/>
  <c r="K25" i="3"/>
  <c r="L25" i="3" s="1"/>
  <c r="K24" i="3"/>
  <c r="L24" i="3" s="1"/>
  <c r="K16" i="3"/>
  <c r="L16" i="3" s="1"/>
  <c r="K15" i="3"/>
  <c r="L15" i="3" s="1"/>
  <c r="K14" i="3"/>
  <c r="L14" i="3" s="1"/>
  <c r="K13" i="3"/>
  <c r="L13" i="3" s="1"/>
  <c r="K12" i="3"/>
  <c r="L12" i="3" s="1"/>
  <c r="K11" i="3"/>
  <c r="H557" i="1" s="1"/>
  <c r="H763" i="1" l="1"/>
  <c r="H339" i="1"/>
  <c r="H298" i="1"/>
  <c r="H539" i="1"/>
  <c r="H280" i="1"/>
  <c r="H73" i="1"/>
  <c r="H54" i="1"/>
  <c r="H34" i="1"/>
  <c r="H730" i="1"/>
  <c r="H473" i="1"/>
  <c r="H214" i="1"/>
  <c r="H47" i="1"/>
  <c r="H318" i="1"/>
  <c r="H175" i="1"/>
  <c r="H401" i="1"/>
  <c r="H387" i="1"/>
  <c r="H363" i="1"/>
  <c r="H58" i="1"/>
  <c r="H59" i="1"/>
  <c r="H313" i="1"/>
  <c r="H572" i="1"/>
  <c r="H365" i="1"/>
  <c r="H66" i="1"/>
  <c r="H433" i="1"/>
  <c r="H524" i="1"/>
  <c r="H765" i="1"/>
  <c r="H507" i="1"/>
  <c r="H248" i="1"/>
  <c r="H64" i="1"/>
  <c r="H38" i="1"/>
  <c r="H706" i="1"/>
  <c r="H698" i="1"/>
  <c r="H441" i="1"/>
  <c r="H181" i="1"/>
  <c r="H39" i="1"/>
  <c r="H157" i="1"/>
  <c r="H111" i="1"/>
  <c r="H238" i="1"/>
  <c r="H224" i="1"/>
  <c r="H296" i="1"/>
  <c r="H641" i="1"/>
  <c r="H43" i="1"/>
  <c r="H332" i="1"/>
  <c r="H588" i="1"/>
  <c r="H429" i="1"/>
  <c r="H70" i="1"/>
  <c r="H165" i="1"/>
  <c r="H732" i="1"/>
  <c r="H475" i="1"/>
  <c r="H216" i="1"/>
  <c r="H56" i="1"/>
  <c r="H22" i="1"/>
  <c r="H545" i="1"/>
  <c r="H666" i="1"/>
  <c r="H409" i="1"/>
  <c r="H149" i="1"/>
  <c r="H31" i="1"/>
  <c r="H692" i="1"/>
  <c r="H87" i="1"/>
  <c r="H173" i="1"/>
  <c r="H385" i="1"/>
  <c r="H264" i="1"/>
  <c r="H746" i="1"/>
  <c r="H120" i="1"/>
  <c r="H380" i="1"/>
  <c r="H653" i="1"/>
  <c r="H493" i="1"/>
  <c r="H571" i="1"/>
  <c r="H246" i="1"/>
  <c r="H523" i="1"/>
  <c r="H700" i="1"/>
  <c r="H443" i="1"/>
  <c r="H183" i="1"/>
  <c r="H48" i="1"/>
  <c r="H515" i="1"/>
  <c r="H417" i="1"/>
  <c r="H633" i="1"/>
  <c r="H377" i="1"/>
  <c r="H117" i="1"/>
  <c r="H62" i="1"/>
  <c r="H627" i="1"/>
  <c r="H754" i="1"/>
  <c r="H141" i="1"/>
  <c r="H125" i="1"/>
  <c r="H103" i="1"/>
  <c r="H682" i="1"/>
  <c r="H136" i="1"/>
  <c r="H396" i="1"/>
  <c r="H717" i="1"/>
  <c r="H81" i="1"/>
  <c r="H55" i="1"/>
  <c r="H644" i="1"/>
  <c r="H71" i="1"/>
  <c r="H715" i="1"/>
  <c r="H651" i="1"/>
  <c r="H586" i="1"/>
  <c r="H522" i="1"/>
  <c r="H458" i="1"/>
  <c r="H394" i="1"/>
  <c r="H330" i="1"/>
  <c r="H263" i="1"/>
  <c r="H199" i="1"/>
  <c r="H134" i="1"/>
  <c r="H761" i="1"/>
  <c r="H697" i="1"/>
  <c r="H632" i="1"/>
  <c r="H568" i="1"/>
  <c r="H504" i="1"/>
  <c r="H440" i="1"/>
  <c r="H376" i="1"/>
  <c r="H309" i="1"/>
  <c r="H245" i="1"/>
  <c r="H180" i="1"/>
  <c r="H116" i="1"/>
  <c r="H736" i="1"/>
  <c r="H672" i="1"/>
  <c r="H607" i="1"/>
  <c r="H543" i="1"/>
  <c r="H479" i="1"/>
  <c r="H415" i="1"/>
  <c r="H351" i="1"/>
  <c r="H284" i="1"/>
  <c r="H220" i="1"/>
  <c r="H155" i="1"/>
  <c r="H91" i="1"/>
  <c r="H711" i="1"/>
  <c r="H647" i="1"/>
  <c r="H582" i="1"/>
  <c r="H518" i="1"/>
  <c r="H454" i="1"/>
  <c r="H390" i="1"/>
  <c r="H323" i="1"/>
  <c r="H259" i="1"/>
  <c r="H195" i="1"/>
  <c r="H130" i="1"/>
  <c r="H750" i="1"/>
  <c r="H775" i="1"/>
  <c r="H707" i="1"/>
  <c r="H643" i="1"/>
  <c r="H578" i="1"/>
  <c r="H514" i="1"/>
  <c r="H450" i="1"/>
  <c r="H386" i="1"/>
  <c r="H319" i="1"/>
  <c r="H255" i="1"/>
  <c r="H190" i="1"/>
  <c r="H126" i="1"/>
  <c r="H753" i="1"/>
  <c r="H689" i="1"/>
  <c r="H624" i="1"/>
  <c r="H560" i="1"/>
  <c r="H496" i="1"/>
  <c r="H432" i="1"/>
  <c r="H368" i="1"/>
  <c r="H301" i="1"/>
  <c r="H237" i="1"/>
  <c r="H172" i="1"/>
  <c r="H108" i="1"/>
  <c r="H728" i="1"/>
  <c r="H664" i="1"/>
  <c r="H599" i="1"/>
  <c r="H535" i="1"/>
  <c r="H471" i="1"/>
  <c r="H407" i="1"/>
  <c r="H343" i="1"/>
  <c r="H276" i="1"/>
  <c r="H212" i="1"/>
  <c r="H147" i="1"/>
  <c r="H768" i="1"/>
  <c r="H703" i="1"/>
  <c r="H638" i="1"/>
  <c r="H574" i="1"/>
  <c r="H510" i="1"/>
  <c r="H446" i="1"/>
  <c r="H382" i="1"/>
  <c r="H315" i="1"/>
  <c r="H251" i="1"/>
  <c r="H186" i="1"/>
  <c r="H122" i="1"/>
  <c r="H742" i="1"/>
  <c r="H678" i="1"/>
  <c r="H613" i="1"/>
  <c r="H549" i="1"/>
  <c r="H485" i="1"/>
  <c r="H421" i="1"/>
  <c r="H357" i="1"/>
  <c r="H290" i="1"/>
  <c r="H226" i="1"/>
  <c r="H161" i="1"/>
  <c r="H97" i="1"/>
  <c r="H709" i="1"/>
  <c r="H645" i="1"/>
  <c r="H580" i="1"/>
  <c r="H516" i="1"/>
  <c r="H452" i="1"/>
  <c r="H388" i="1"/>
  <c r="H321" i="1"/>
  <c r="H257" i="1"/>
  <c r="H192" i="1"/>
  <c r="H128" i="1"/>
  <c r="H51" i="1"/>
  <c r="H198" i="1"/>
  <c r="H457" i="1"/>
  <c r="H714" i="1"/>
  <c r="H26" i="1"/>
  <c r="H740" i="1"/>
  <c r="H85" i="1"/>
  <c r="H331" i="1"/>
  <c r="H587" i="1"/>
  <c r="H286" i="1"/>
  <c r="H483" i="1"/>
  <c r="H53" i="1"/>
  <c r="H206" i="1"/>
  <c r="H465" i="1"/>
  <c r="H722" i="1"/>
  <c r="H143" i="1"/>
  <c r="H403" i="1"/>
  <c r="H660" i="1"/>
  <c r="H449" i="1"/>
  <c r="H579" i="1"/>
  <c r="H764" i="1"/>
  <c r="H699" i="1"/>
  <c r="H634" i="1"/>
  <c r="H570" i="1"/>
  <c r="H506" i="1"/>
  <c r="H442" i="1"/>
  <c r="H378" i="1"/>
  <c r="H311" i="1"/>
  <c r="H247" i="1"/>
  <c r="H182" i="1"/>
  <c r="H118" i="1"/>
  <c r="H745" i="1"/>
  <c r="H681" i="1"/>
  <c r="H616" i="1"/>
  <c r="H552" i="1"/>
  <c r="H488" i="1"/>
  <c r="H424" i="1"/>
  <c r="H360" i="1"/>
  <c r="H293" i="1"/>
  <c r="H229" i="1"/>
  <c r="H164" i="1"/>
  <c r="H100" i="1"/>
  <c r="H720" i="1"/>
  <c r="H656" i="1"/>
  <c r="H591" i="1"/>
  <c r="H527" i="1"/>
  <c r="H463" i="1"/>
  <c r="H399" i="1"/>
  <c r="H335" i="1"/>
  <c r="H268" i="1"/>
  <c r="H204" i="1"/>
  <c r="H139" i="1"/>
  <c r="H759" i="1"/>
  <c r="H695" i="1"/>
  <c r="H630" i="1"/>
  <c r="H566" i="1"/>
  <c r="H502" i="1"/>
  <c r="H438" i="1"/>
  <c r="H374" i="1"/>
  <c r="H307" i="1"/>
  <c r="H243" i="1"/>
  <c r="H178" i="1"/>
  <c r="H114" i="1"/>
  <c r="H734" i="1"/>
  <c r="H670" i="1"/>
  <c r="H605" i="1"/>
  <c r="H541" i="1"/>
  <c r="H477" i="1"/>
  <c r="H413" i="1"/>
  <c r="H349" i="1"/>
  <c r="H282" i="1"/>
  <c r="H218" i="1"/>
  <c r="H153" i="1"/>
  <c r="H766" i="1"/>
  <c r="H701" i="1"/>
  <c r="H636" i="1"/>
  <c r="H755" i="1"/>
  <c r="H691" i="1"/>
  <c r="H626" i="1"/>
  <c r="H562" i="1"/>
  <c r="H498" i="1"/>
  <c r="H434" i="1"/>
  <c r="H370" i="1"/>
  <c r="H303" i="1"/>
  <c r="H239" i="1"/>
  <c r="H174" i="1"/>
  <c r="H110" i="1"/>
  <c r="H737" i="1"/>
  <c r="H673" i="1"/>
  <c r="H608" i="1"/>
  <c r="H544" i="1"/>
  <c r="H480" i="1"/>
  <c r="H416" i="1"/>
  <c r="H352" i="1"/>
  <c r="H285" i="1"/>
  <c r="H221" i="1"/>
  <c r="H156" i="1"/>
  <c r="H92" i="1"/>
  <c r="H712" i="1"/>
  <c r="H648" i="1"/>
  <c r="H583" i="1"/>
  <c r="H519" i="1"/>
  <c r="H455" i="1"/>
  <c r="H391" i="1"/>
  <c r="H327" i="1"/>
  <c r="H260" i="1"/>
  <c r="H196" i="1"/>
  <c r="H131" i="1"/>
  <c r="H751" i="1"/>
  <c r="H687" i="1"/>
  <c r="H622" i="1"/>
  <c r="H558" i="1"/>
  <c r="H494" i="1"/>
  <c r="H430" i="1"/>
  <c r="H366" i="1"/>
  <c r="H299" i="1"/>
  <c r="H235" i="1"/>
  <c r="H170" i="1"/>
  <c r="H106" i="1"/>
  <c r="H726" i="1"/>
  <c r="H662" i="1"/>
  <c r="H597" i="1"/>
  <c r="H533" i="1"/>
  <c r="H469" i="1"/>
  <c r="H405" i="1"/>
  <c r="H341" i="1"/>
  <c r="H274" i="1"/>
  <c r="H210" i="1"/>
  <c r="H145" i="1"/>
  <c r="H757" i="1"/>
  <c r="H693" i="1"/>
  <c r="H628" i="1"/>
  <c r="H564" i="1"/>
  <c r="H500" i="1"/>
  <c r="H436" i="1"/>
  <c r="H372" i="1"/>
  <c r="H305" i="1"/>
  <c r="H241" i="1"/>
  <c r="H176" i="1"/>
  <c r="H112" i="1"/>
  <c r="H67" i="1"/>
  <c r="H262" i="1"/>
  <c r="H521" i="1"/>
  <c r="H49" i="1"/>
  <c r="H127" i="1"/>
  <c r="H36" i="1"/>
  <c r="H135" i="1"/>
  <c r="H395" i="1"/>
  <c r="H652" i="1"/>
  <c r="H513" i="1"/>
  <c r="H676" i="1"/>
  <c r="H69" i="1"/>
  <c r="H270" i="1"/>
  <c r="H529" i="1"/>
  <c r="H25" i="1"/>
  <c r="H208" i="1"/>
  <c r="H467" i="1"/>
  <c r="H724" i="1"/>
  <c r="H738" i="1"/>
  <c r="H46" i="1"/>
  <c r="H63" i="1"/>
  <c r="H747" i="1"/>
  <c r="H683" i="1"/>
  <c r="H618" i="1"/>
  <c r="H554" i="1"/>
  <c r="H490" i="1"/>
  <c r="H426" i="1"/>
  <c r="H362" i="1"/>
  <c r="H295" i="1"/>
  <c r="H231" i="1"/>
  <c r="H166" i="1"/>
  <c r="H102" i="1"/>
  <c r="H729" i="1"/>
  <c r="H665" i="1"/>
  <c r="H600" i="1"/>
  <c r="H536" i="1"/>
  <c r="H472" i="1"/>
  <c r="H408" i="1"/>
  <c r="H344" i="1"/>
  <c r="H277" i="1"/>
  <c r="H213" i="1"/>
  <c r="H148" i="1"/>
  <c r="H769" i="1"/>
  <c r="H704" i="1"/>
  <c r="H639" i="1"/>
  <c r="H575" i="1"/>
  <c r="H511" i="1"/>
  <c r="H447" i="1"/>
  <c r="H383" i="1"/>
  <c r="H316" i="1"/>
  <c r="H252" i="1"/>
  <c r="H187" i="1"/>
  <c r="H123" i="1"/>
  <c r="H743" i="1"/>
  <c r="H679" i="1"/>
  <c r="H614" i="1"/>
  <c r="H550" i="1"/>
  <c r="H486" i="1"/>
  <c r="H422" i="1"/>
  <c r="H358" i="1"/>
  <c r="H291" i="1"/>
  <c r="H227" i="1"/>
  <c r="H162" i="1"/>
  <c r="H98" i="1"/>
  <c r="H718" i="1"/>
  <c r="H654" i="1"/>
  <c r="H589" i="1"/>
  <c r="H525" i="1"/>
  <c r="H461" i="1"/>
  <c r="H397" i="1"/>
  <c r="H333" i="1"/>
  <c r="H266" i="1"/>
  <c r="H202" i="1"/>
  <c r="H137" i="1"/>
  <c r="H749" i="1"/>
  <c r="H685" i="1"/>
  <c r="H620" i="1"/>
  <c r="H556" i="1"/>
  <c r="H492" i="1"/>
  <c r="H428" i="1"/>
  <c r="H364" i="1"/>
  <c r="H297" i="1"/>
  <c r="H233" i="1"/>
  <c r="H168" i="1"/>
  <c r="H104" i="1"/>
  <c r="H76" i="1"/>
  <c r="H294" i="1"/>
  <c r="H553" i="1"/>
  <c r="H82" i="1"/>
  <c r="H256" i="1"/>
  <c r="H44" i="1"/>
  <c r="H167" i="1"/>
  <c r="H427" i="1"/>
  <c r="H684" i="1"/>
  <c r="H674" i="1"/>
  <c r="H708" i="1"/>
  <c r="H78" i="1"/>
  <c r="H302" i="1"/>
  <c r="H561" i="1"/>
  <c r="H65" i="1"/>
  <c r="H240" i="1"/>
  <c r="H499" i="1"/>
  <c r="H756" i="1"/>
  <c r="H42" i="1"/>
  <c r="H739" i="1"/>
  <c r="H675" i="1"/>
  <c r="H610" i="1"/>
  <c r="H546" i="1"/>
  <c r="H482" i="1"/>
  <c r="H418" i="1"/>
  <c r="H354" i="1"/>
  <c r="H287" i="1"/>
  <c r="H223" i="1"/>
  <c r="H158" i="1"/>
  <c r="H94" i="1"/>
  <c r="H721" i="1"/>
  <c r="H657" i="1"/>
  <c r="H592" i="1"/>
  <c r="H528" i="1"/>
  <c r="H464" i="1"/>
  <c r="H400" i="1"/>
  <c r="H336" i="1"/>
  <c r="H269" i="1"/>
  <c r="H205" i="1"/>
  <c r="H140" i="1"/>
  <c r="H760" i="1"/>
  <c r="H696" i="1"/>
  <c r="H631" i="1"/>
  <c r="H567" i="1"/>
  <c r="H503" i="1"/>
  <c r="H439" i="1"/>
  <c r="H375" i="1"/>
  <c r="H308" i="1"/>
  <c r="H244" i="1"/>
  <c r="H179" i="1"/>
  <c r="H115" i="1"/>
  <c r="H735" i="1"/>
  <c r="H671" i="1"/>
  <c r="H606" i="1"/>
  <c r="H542" i="1"/>
  <c r="H478" i="1"/>
  <c r="H414" i="1"/>
  <c r="H350" i="1"/>
  <c r="H283" i="1"/>
  <c r="H219" i="1"/>
  <c r="H154" i="1"/>
  <c r="H90" i="1"/>
  <c r="H710" i="1"/>
  <c r="H646" i="1"/>
  <c r="H581" i="1"/>
  <c r="H517" i="1"/>
  <c r="H453" i="1"/>
  <c r="H389" i="1"/>
  <c r="H322" i="1"/>
  <c r="H258" i="1"/>
  <c r="H193" i="1"/>
  <c r="H129" i="1"/>
  <c r="H741" i="1"/>
  <c r="H677" i="1"/>
  <c r="H612" i="1"/>
  <c r="H548" i="1"/>
  <c r="H484" i="1"/>
  <c r="H420" i="1"/>
  <c r="H356" i="1"/>
  <c r="H289" i="1"/>
  <c r="H225" i="1"/>
  <c r="H160" i="1"/>
  <c r="H96" i="1"/>
  <c r="H84" i="1"/>
  <c r="H329" i="1"/>
  <c r="H585" i="1"/>
  <c r="H222" i="1"/>
  <c r="H355" i="1"/>
  <c r="H52" i="1"/>
  <c r="H200" i="1"/>
  <c r="H459" i="1"/>
  <c r="H716" i="1"/>
  <c r="H50" i="1"/>
  <c r="H21" i="1"/>
  <c r="H86" i="1"/>
  <c r="H337" i="1"/>
  <c r="H593" i="1"/>
  <c r="H189" i="1"/>
  <c r="H272" i="1"/>
  <c r="H531" i="1"/>
  <c r="H33" i="1"/>
  <c r="H75" i="1"/>
  <c r="H79" i="1"/>
  <c r="H731" i="1"/>
  <c r="H667" i="1"/>
  <c r="H602" i="1"/>
  <c r="H538" i="1"/>
  <c r="H474" i="1"/>
  <c r="H410" i="1"/>
  <c r="H346" i="1"/>
  <c r="H279" i="1"/>
  <c r="H215" i="1"/>
  <c r="H150" i="1"/>
  <c r="H774" i="1"/>
  <c r="H713" i="1"/>
  <c r="H649" i="1"/>
  <c r="H584" i="1"/>
  <c r="H520" i="1"/>
  <c r="H456" i="1"/>
  <c r="H392" i="1"/>
  <c r="H328" i="1"/>
  <c r="H261" i="1"/>
  <c r="H197" i="1"/>
  <c r="H132" i="1"/>
  <c r="H752" i="1"/>
  <c r="H688" i="1"/>
  <c r="H623" i="1"/>
  <c r="H559" i="1"/>
  <c r="H495" i="1"/>
  <c r="H431" i="1"/>
  <c r="H367" i="1"/>
  <c r="H300" i="1"/>
  <c r="H236" i="1"/>
  <c r="H171" i="1"/>
  <c r="H107" i="1"/>
  <c r="H727" i="1"/>
  <c r="H663" i="1"/>
  <c r="H598" i="1"/>
  <c r="H534" i="1"/>
  <c r="H470" i="1"/>
  <c r="H406" i="1"/>
  <c r="H342" i="1"/>
  <c r="H275" i="1"/>
  <c r="H211" i="1"/>
  <c r="H146" i="1"/>
  <c r="H767" i="1"/>
  <c r="H702" i="1"/>
  <c r="H637" i="1"/>
  <c r="H573" i="1"/>
  <c r="H509" i="1"/>
  <c r="H445" i="1"/>
  <c r="H381" i="1"/>
  <c r="H314" i="1"/>
  <c r="H250" i="1"/>
  <c r="H185" i="1"/>
  <c r="H121" i="1"/>
  <c r="H733" i="1"/>
  <c r="H669" i="1"/>
  <c r="H604" i="1"/>
  <c r="H540" i="1"/>
  <c r="H476" i="1"/>
  <c r="H412" i="1"/>
  <c r="H348" i="1"/>
  <c r="H281" i="1"/>
  <c r="H217" i="1"/>
  <c r="H152" i="1"/>
  <c r="H27" i="1"/>
  <c r="H101" i="1"/>
  <c r="H361" i="1"/>
  <c r="H617" i="1"/>
  <c r="H353" i="1"/>
  <c r="H451" i="1"/>
  <c r="H60" i="1"/>
  <c r="H232" i="1"/>
  <c r="H491" i="1"/>
  <c r="H748" i="1"/>
  <c r="H95" i="1"/>
  <c r="H29" i="1"/>
  <c r="H109" i="1"/>
  <c r="H369" i="1"/>
  <c r="H625" i="1"/>
  <c r="H609" i="1"/>
  <c r="H304" i="1"/>
  <c r="H563" i="1"/>
  <c r="H74" i="1"/>
  <c r="H159" i="1"/>
  <c r="H23" i="1"/>
  <c r="H723" i="1"/>
  <c r="H659" i="1"/>
  <c r="H594" i="1"/>
  <c r="H530" i="1"/>
  <c r="H466" i="1"/>
  <c r="H402" i="1"/>
  <c r="H338" i="1"/>
  <c r="H271" i="1"/>
  <c r="H207" i="1"/>
  <c r="H142" i="1"/>
  <c r="H770" i="1"/>
  <c r="H705" i="1"/>
  <c r="H640" i="1"/>
  <c r="H576" i="1"/>
  <c r="H512" i="1"/>
  <c r="H448" i="1"/>
  <c r="H384" i="1"/>
  <c r="H317" i="1"/>
  <c r="H253" i="1"/>
  <c r="H188" i="1"/>
  <c r="H124" i="1"/>
  <c r="H744" i="1"/>
  <c r="H680" i="1"/>
  <c r="H615" i="1"/>
  <c r="H551" i="1"/>
  <c r="H487" i="1"/>
  <c r="H423" i="1"/>
  <c r="H359" i="1"/>
  <c r="H292" i="1"/>
  <c r="H228" i="1"/>
  <c r="H163" i="1"/>
  <c r="H99" i="1"/>
  <c r="H719" i="1"/>
  <c r="H655" i="1"/>
  <c r="H590" i="1"/>
  <c r="H526" i="1"/>
  <c r="H462" i="1"/>
  <c r="H398" i="1"/>
  <c r="H334" i="1"/>
  <c r="H267" i="1"/>
  <c r="H203" i="1"/>
  <c r="H138" i="1"/>
  <c r="H758" i="1"/>
  <c r="H694" i="1"/>
  <c r="H629" i="1"/>
  <c r="H565" i="1"/>
  <c r="H501" i="1"/>
  <c r="H437" i="1"/>
  <c r="H373" i="1"/>
  <c r="H306" i="1"/>
  <c r="H242" i="1"/>
  <c r="H177" i="1"/>
  <c r="H113" i="1"/>
  <c r="H725" i="1"/>
  <c r="H661" i="1"/>
  <c r="H596" i="1"/>
  <c r="H532" i="1"/>
  <c r="H468" i="1"/>
  <c r="H404" i="1"/>
  <c r="H340" i="1"/>
  <c r="H273" i="1"/>
  <c r="H209" i="1"/>
  <c r="H144" i="1"/>
  <c r="H35" i="1"/>
  <c r="H133" i="1"/>
  <c r="H393" i="1"/>
  <c r="H650" i="1"/>
  <c r="H481" i="1"/>
  <c r="H547" i="1"/>
  <c r="H668" i="1"/>
  <c r="H411" i="1"/>
  <c r="H151" i="1"/>
  <c r="H40" i="1"/>
  <c r="H320" i="1"/>
  <c r="H254" i="1"/>
  <c r="H601" i="1"/>
  <c r="H345" i="1"/>
  <c r="H88" i="1"/>
  <c r="H30" i="1"/>
  <c r="H595" i="1"/>
  <c r="H690" i="1"/>
  <c r="H61" i="1"/>
  <c r="H57" i="1"/>
  <c r="H77" i="1"/>
  <c r="H489" i="1"/>
  <c r="H184" i="1"/>
  <c r="H444" i="1"/>
  <c r="H105" i="1"/>
  <c r="H621" i="1"/>
  <c r="H505" i="1"/>
  <c r="H265" i="1"/>
  <c r="H635" i="1"/>
  <c r="H379" i="1"/>
  <c r="H119" i="1"/>
  <c r="H32" i="1"/>
  <c r="H191" i="1"/>
  <c r="H93" i="1"/>
  <c r="H569" i="1"/>
  <c r="H310" i="1"/>
  <c r="H80" i="1"/>
  <c r="H419" i="1"/>
  <c r="H435" i="1"/>
  <c r="H658" i="1"/>
  <c r="H45" i="1"/>
  <c r="H619" i="1"/>
  <c r="H68" i="1"/>
  <c r="H425" i="1"/>
  <c r="H201" i="1"/>
  <c r="H460" i="1"/>
  <c r="H169" i="1"/>
  <c r="H686" i="1"/>
  <c r="H312" i="1"/>
  <c r="H577" i="1"/>
  <c r="H611" i="1"/>
  <c r="H603" i="1"/>
  <c r="H347" i="1"/>
  <c r="H89" i="1"/>
  <c r="H24" i="1"/>
  <c r="H83" i="1"/>
  <c r="H41" i="1"/>
  <c r="H537" i="1"/>
  <c r="H278" i="1"/>
  <c r="H72" i="1"/>
  <c r="H288" i="1"/>
  <c r="H371" i="1"/>
  <c r="H497" i="1"/>
  <c r="H37" i="1"/>
  <c r="H555" i="1"/>
  <c r="H28" i="1"/>
  <c r="H230" i="1"/>
  <c r="H249" i="1"/>
  <c r="H508" i="1"/>
  <c r="H234" i="1"/>
  <c r="H776" i="1"/>
  <c r="L11" i="3"/>
</calcChain>
</file>

<file path=xl/sharedStrings.xml><?xml version="1.0" encoding="utf-8"?>
<sst xmlns="http://schemas.openxmlformats.org/spreadsheetml/2006/main" count="2458" uniqueCount="1217">
  <si>
    <t>비고</t>
  </si>
  <si>
    <t>취득일 직전에 취득자가 보유하고 있는 피취득자에 대한 지분의 취득일의 공정가치</t>
  </si>
  <si>
    <t>사업결합 전에 취득자가 보유하고 있던 피취득자 지분을 공정가치로 재측정함에 따라 인식한 차손익 및 그러한 차손익이 인식된 손익계산서 항목</t>
  </si>
  <si>
    <t>회 사 명 :</t>
  </si>
  <si>
    <t>결 산 일 :</t>
  </si>
  <si>
    <t>일반기준 실2.20</t>
    <phoneticPr fontId="1" type="noConversion"/>
  </si>
  <si>
    <t>실무의견서 2004-08</t>
    <phoneticPr fontId="1" type="noConversion"/>
  </si>
  <si>
    <t>일반기준 4.17</t>
    <phoneticPr fontId="1" type="noConversion"/>
  </si>
  <si>
    <t>2. 연결재무제표의 형식</t>
    <phoneticPr fontId="1" type="noConversion"/>
  </si>
  <si>
    <t>3.다음의 사항을 연결재무제표에 주석 공시</t>
    <phoneticPr fontId="1" type="noConversion"/>
  </si>
  <si>
    <t>일반기준 19.32</t>
  </si>
  <si>
    <t>일반기준 19.33</t>
  </si>
  <si>
    <t>2. 기업의 경영성과와 재무상태에 미치는 주식기준보상거래의 영향을 재무제표이용자가 이해하는 데 도움이 되는 다음과 같은 정보를 공시</t>
  </si>
  <si>
    <t>일반기준 19.34</t>
  </si>
  <si>
    <t>일반기준 19.35</t>
  </si>
  <si>
    <t>4. 문단 19.19를 적용하여 측정치로 내재가치를 사용하는 경우에는 그 사실과 이유 및 주식기준보상거래와 관련하여 인식된 부채에 대한 다음의 정보를 주석으로 기재한다</t>
  </si>
  <si>
    <t>일반기준 2.46</t>
  </si>
  <si>
    <t>1. 매출할인, 매출환입, 매출에누리 등 차감 대상금액이 중요한 경우에는 총매출액에서 차감하는 형식으로 표시하거나 주석으로 기재</t>
  </si>
  <si>
    <t>일반기준 2.47</t>
  </si>
  <si>
    <t>2. 반제품매출액, 부산물매출액, 작업폐물매출액, 수출액, 장기할부매출액 등이 중요한 경우에는 이를 구분하여 표시하거나 주석으로 기재</t>
  </si>
  <si>
    <t>일반기준 2.48</t>
    <phoneticPr fontId="1" type="noConversion"/>
  </si>
  <si>
    <t>3. 매출원가의 산출과정은 손익계산서의 본문에 표시하거나 주석으로 기재</t>
  </si>
  <si>
    <t>일반기준 2.50</t>
  </si>
  <si>
    <t>1. 판매비와관리비는 당해 비용을 표시하는 적절한 항목으로 구분하여 표시하거나 일괄표시할 수 있다. 일괄표시하는 경우에는 적절한 항목으로 구분하여 이를 주석으로 기재한다.</t>
  </si>
  <si>
    <t>1. 제조원가 또는 판매비와관리비에 포함된 급여, 퇴직급여, 복리후생비, 임차료, 감가상각비, 세금과공과 등 부가가치계산에 필요한 계정과목과 그 금액</t>
  </si>
  <si>
    <t>일반기준 26.29</t>
  </si>
  <si>
    <t xml:space="preserve">1. 다음의 사항을 주석으로 기재 </t>
  </si>
  <si>
    <t>일반기준 26.30</t>
  </si>
  <si>
    <t>2. 중단사업이익(또는 중단사업손실)이 있는 경우에는 중단사업에 대한 기본주당이익을 주석 기재</t>
  </si>
  <si>
    <t>일반기준 26.31</t>
  </si>
  <si>
    <t>일반기준 26.33</t>
  </si>
  <si>
    <t>일반기준 26.34</t>
  </si>
  <si>
    <t>일반기준 26.25</t>
  </si>
  <si>
    <t>일반기준 결26.6</t>
  </si>
  <si>
    <t>7. 참가적우선주에 귀속되는 손익의 산출내역</t>
  </si>
  <si>
    <t>일반기준 2.56</t>
  </si>
  <si>
    <t>일반기준 28.12</t>
  </si>
  <si>
    <t>일반기준 28.13</t>
  </si>
  <si>
    <t>일반기준 28.14</t>
  </si>
  <si>
    <t>일반기준 실28.15</t>
  </si>
  <si>
    <t>일반기준 28.15</t>
  </si>
  <si>
    <t>일반기준 28.18</t>
  </si>
  <si>
    <t>일반기준 28.19</t>
  </si>
  <si>
    <t>일반기준 14.19</t>
  </si>
  <si>
    <t>1. 유형별 충당부채의 내용</t>
  </si>
  <si>
    <t>일반기준 14.20</t>
  </si>
  <si>
    <t>2. 우발부채의 내용</t>
  </si>
  <si>
    <t>일반기준 14.21</t>
  </si>
  <si>
    <t>3. 우발자산</t>
  </si>
  <si>
    <t>일반기준 14.22</t>
  </si>
  <si>
    <t>일반기준 14.23</t>
  </si>
  <si>
    <t>일반기준 14.24</t>
  </si>
  <si>
    <t>일반기준 6.18의2</t>
  </si>
  <si>
    <t>4. 금융자산(매출채권등)을 양도하거나 금융자산을 담보로 차입한 경우에는 양도(또는 담보제공)내역, 양도(또는 담보제공)조건등 그 내역</t>
  </si>
  <si>
    <t>일반기준 17.10</t>
  </si>
  <si>
    <t>5. 정부보조금에 대하여 미이행된 조건 및 우발상황</t>
  </si>
  <si>
    <t>6. 자기 또는 타인을 위하여 제공하고 있거나 타인으로부터 제공받은 담보․보증의 내용(특수관계자와 관련된 담보제공, 보증내용은 제외한다)</t>
  </si>
  <si>
    <t>일반기준 실2.20</t>
  </si>
  <si>
    <t>일반기준 25.5</t>
  </si>
  <si>
    <t>일반기준 25.7</t>
  </si>
  <si>
    <t>일반기준 25.6</t>
  </si>
  <si>
    <t>일반기준 25.8</t>
  </si>
  <si>
    <t>일반기준 25.9</t>
  </si>
  <si>
    <t>일반기준 24.10</t>
  </si>
  <si>
    <t>1. 재무제표가 사실상 확정된 날과 승인기관</t>
  </si>
  <si>
    <t>일반기준 24.11</t>
  </si>
  <si>
    <t>일반기준 24.12</t>
  </si>
  <si>
    <t>일반기준 실24.1</t>
  </si>
  <si>
    <t>4. 수정을 요하지 않는 보고기간종료일 후 발생한 사건중 주석공시하여야 할 사건의 예시</t>
  </si>
  <si>
    <t>일반기준 24.9</t>
  </si>
  <si>
    <t>5. 다음의 경우에 있어서 계속기업의 전제와 관련한 내용</t>
  </si>
  <si>
    <t>일반기준 2.28</t>
  </si>
  <si>
    <t>6. 보고기간종료일과 재무제표가 사실상 확정된 날 사이에 발생한 다음과 같은 사건은 주석으로 기재함.</t>
  </si>
  <si>
    <t>일반기준 5.21</t>
  </si>
  <si>
    <t>1. 회계정책의 변경내용</t>
  </si>
  <si>
    <t>일반기준 5.22</t>
  </si>
  <si>
    <t>2. 회계정책의 변경으로 당기이후의 기간에만 적용하여 전진적 으로 처리한 경우에는 그 사실과 회계정책변경의 내용, 그 정당성 및 변경으로 인하여 당기 재무제표에 미치는 영향</t>
  </si>
  <si>
    <t>일반기준 5.23</t>
  </si>
  <si>
    <t>3. 회계추정을 변경한 경우에는 변경내용, 그 정당성 및 그 변경이 당기 재무제표에 미치는 영향, 만약 그 금액을 산정하기 어려운 경우에는 그 사실</t>
  </si>
  <si>
    <t>일반기준 5.24</t>
  </si>
  <si>
    <t>1. 전기 또는 그 이전기간의 오류수정의 내용, 특히 중대한 오류를 수정한 경우에는 다음 사항</t>
  </si>
  <si>
    <t>1. 현금흐름표에 대한 사항</t>
  </si>
  <si>
    <t>일반기준 31.13</t>
  </si>
  <si>
    <t>1. 중단된 사업부문의 정보는 주석 생략 가능</t>
  </si>
  <si>
    <t>일반기준 31.14</t>
  </si>
  <si>
    <t>2. 중소기업 회계처리 특례의 회계처리, 재무제표 표시 및 주석공시 내용 중 선택한 사항을 주석으로 기재</t>
  </si>
  <si>
    <t>3. 중소기업 회계처리 특례의 적용범위에 해당하여 이를 적용하였다는 사실을 유의적인 회계정책의 요약에 주석 기재</t>
  </si>
  <si>
    <t>4. 파생상품의 회계처리에 대해 중소기업 회계처리 특례를 적용한 경우에는 다음과 같은 사항을 주석 기재</t>
  </si>
  <si>
    <t>일반기준 31.15</t>
  </si>
  <si>
    <t>일반기준 31.16</t>
  </si>
  <si>
    <t>5. 주식기준보상거래의 회계처리에 대해 중소기업 회계처리특례를 적용한 경우 다음의 사항 주석 기재</t>
  </si>
  <si>
    <t>일반기준 13.17</t>
  </si>
  <si>
    <t>1. 리스이용자</t>
  </si>
  <si>
    <t>일반기준 13.20</t>
  </si>
  <si>
    <t>일반기준 13.38</t>
  </si>
  <si>
    <t>일반기준 13.25</t>
  </si>
  <si>
    <t>2. 리스제공자</t>
  </si>
  <si>
    <t>일반기준 13.32</t>
  </si>
  <si>
    <t>일반기준 13.26</t>
  </si>
  <si>
    <t>일반기준 13.33</t>
  </si>
  <si>
    <t>일반기준 실13.29</t>
  </si>
  <si>
    <t>일반기준 실12.52</t>
  </si>
  <si>
    <t>1.영업권 장부금액의 조정내용</t>
  </si>
  <si>
    <t>일반기준 12.39</t>
    <phoneticPr fontId="1" type="noConversion"/>
  </si>
  <si>
    <t>2. 염가매수차익</t>
  </si>
  <si>
    <t>2. 물가 및 환율변동과 같이 기업에 중요한 영향을 미치는 불확실성 및 위험요소</t>
  </si>
  <si>
    <t>일반기준 32.18</t>
  </si>
  <si>
    <t>일반기준 16.63</t>
  </si>
  <si>
    <t>일반기준 12.39</t>
  </si>
  <si>
    <t>1. 재무이용자가 보고기간동안 발생한 사업결합의 내용과 재무효과를 평가할 수 있는 정보를 제공하기 위하여, 취득자는 보고기간에 발생한 모든 사업결합에 대해 다음 정보를 공시</t>
  </si>
  <si>
    <t>일반기준 27.16</t>
  </si>
  <si>
    <t>2. 생물자산을 원가법에 따라 측정하는 경우, 생물자산 집단별로 다음의 추가사항을 주석 기재</t>
  </si>
  <si>
    <t>일반기준 27.17</t>
  </si>
  <si>
    <t>일반기준 27.18</t>
  </si>
  <si>
    <t>3. 생물자산과 수확물을 순공정가치법에 따라 측정하는 경우, 다음과 같은 추가적인 사항을 주석 기재</t>
  </si>
  <si>
    <t>일반기준 27.19</t>
  </si>
  <si>
    <t>4. 문단 27.16(4)(생물자산 장부금액)의 변동내용에는 다음의 사항을 포함</t>
  </si>
  <si>
    <t>일반기준 29.7</t>
  </si>
  <si>
    <t>1. 법령이나 계약 등에 의하여 중간재무제표를 정기적으로 작성하는 기업이 최종 중간기간의 재무제표를 별도로 작성하지 않는 경우로서 연차재무제표에 주석으로 기재하여야 할 사항</t>
  </si>
  <si>
    <t>일반기준 2.82</t>
  </si>
  <si>
    <t>3. 재무제표의 본문에 표시되지 않는 사항으로서 재무제표를 이해하는데 필요한 추가 정보</t>
  </si>
  <si>
    <t>일반기준 2.83</t>
  </si>
  <si>
    <t>일반기준 2.34</t>
  </si>
  <si>
    <t>일반기준 2.12</t>
  </si>
  <si>
    <t>일반기준 30.11</t>
  </si>
  <si>
    <t>1.과거회계기준에서 일반기업회계기준으로 전환이 보고되는 재무상태, 재무성과와 현금흐름에 어떻게 영향을 미치는지 설명. 이를 위하여 다음의 내용 포함</t>
    <phoneticPr fontId="1" type="noConversion"/>
  </si>
  <si>
    <t>일반기준 30.12</t>
  </si>
  <si>
    <t>일반기준 30.13</t>
  </si>
  <si>
    <t>일반기준 30.14</t>
  </si>
  <si>
    <t>3. 과거기간에 대하여 재무제표를 제공하지 않았던 경우에는 최초 일반기업회계기준 재무제표에 그 사실을 공시</t>
  </si>
  <si>
    <t>일반기준 30.9</t>
  </si>
  <si>
    <t>4. 전환일에 일반기업회계기준에 따른 최초재무제표를 작성하는 기간 전의 어떤 기간에 대하여 일반기업회계기준에서 요구하는 공시사항의 일부를 실무적으로 제공하는 것이 어려운 경우 그 누락을 공시</t>
  </si>
  <si>
    <t>1.지배회사의 개요, 종속회사명, 투자주식수, 투자지분비율, 의결권지분비율(투자지분비율과 다른 경우에 한함), 소재지, 결산일 등 회사의 연결재무제표를 이해하는데 필요한 일반적인 정보 공시</t>
    <phoneticPr fontId="1" type="noConversion"/>
  </si>
  <si>
    <t>일반기준 11.39</t>
  </si>
  <si>
    <t>일반기준 3.6</t>
  </si>
  <si>
    <t>1.영업거래상 예탁, 담보, 보관 등의 목적으로 보유하고 있는 타인의 유가증권 등은 자산으로 표시하지 않으며, 정보의 중요성을 고려하여 주석으로 기재</t>
    <phoneticPr fontId="1" type="noConversion"/>
  </si>
  <si>
    <t>일반기준 3.7</t>
  </si>
  <si>
    <t>2.현금및예치금은 현금및현금성자산, 예치금을 포함하며, 각각 원화항목과 외화항목으로 구분함. 사용제한예치금의 경우 정보의 중요성을 고려하여 주석으로 기재</t>
    <phoneticPr fontId="1" type="noConversion"/>
  </si>
  <si>
    <t>일반기준 3.9</t>
  </si>
  <si>
    <t>3.대출채권에 대한 대손충당금은 해당 대출채권에서 직접 차감하여 표시할 수 있으며, 이 경우 차감한 금액을 주석 기재</t>
    <phoneticPr fontId="1" type="noConversion"/>
  </si>
  <si>
    <t>일반기준 3.14</t>
  </si>
  <si>
    <t>4.유가증권을 차입한 경우에는 유가증권을 매각한 때에 매도유가증권과 과목의 부채로 표시하며, 유가증권을 매각하지 않은 상태인 경우에는 그 내용을 주석으로 기재</t>
    <phoneticPr fontId="1" type="noConversion"/>
  </si>
  <si>
    <t>5.영업수익/영업비용은 금융회사의 영업유형별 성과를 평가할 수 있도록 각각 성격별로 구분하여 공시</t>
    <phoneticPr fontId="1" type="noConversion"/>
  </si>
  <si>
    <t>6.영업수익/영업비용 각 항목은 금융회사의 영업성과를 평가하는 데 도움을 줄 수 있도록 그 세부항목을 구분하여 표시하거나 주석으로 기재</t>
    <phoneticPr fontId="1" type="noConversion"/>
  </si>
  <si>
    <t>2. 기업이 발행한 주식의 종류 및 종류주식별 주요 내용</t>
  </si>
  <si>
    <t>4. 자기주식의 취득경위 및 향후처리계획</t>
  </si>
  <si>
    <t>6. 주식을 이익으로 소각하는 경우 자본금이 발행주식의 액면총액과 일치하지 아니하는 사유</t>
  </si>
  <si>
    <t>일반기준 16.64</t>
  </si>
  <si>
    <t>일반기준 16.65</t>
  </si>
  <si>
    <t>일반기준 16.66</t>
  </si>
  <si>
    <t>일반기준 16.67</t>
  </si>
  <si>
    <t>일반기준 16.68</t>
  </si>
  <si>
    <t>기업회계기준 등에 관한 해석 3.사</t>
  </si>
  <si>
    <t>1. 의무를 이행하기 위하여 보유하는 배출권</t>
  </si>
  <si>
    <t>2. 단기간의 매매차익을 얻기 위하여 보유하는 배출권</t>
  </si>
  <si>
    <t>일반기준 33.16</t>
  </si>
  <si>
    <t>일반기준 33.20</t>
  </si>
  <si>
    <t>참조기준</t>
    <phoneticPr fontId="1" type="noConversion"/>
  </si>
  <si>
    <t>공시사항점검표</t>
    <phoneticPr fontId="1" type="noConversion"/>
  </si>
  <si>
    <t>일반기준 16.18</t>
  </si>
  <si>
    <t>일반기준 7.22</t>
  </si>
  <si>
    <t>일반기준 6.18</t>
  </si>
  <si>
    <t>일반기준 6.A24</t>
  </si>
  <si>
    <t>일반기준 2.86</t>
  </si>
  <si>
    <t>일반기준 2.87</t>
  </si>
  <si>
    <t>일반기준 7.23</t>
  </si>
  <si>
    <t>일반기준 7.24</t>
    <phoneticPr fontId="1" type="noConversion"/>
  </si>
  <si>
    <t>일반기준 7.15</t>
  </si>
  <si>
    <t>일반기준 6.A21</t>
  </si>
  <si>
    <t>일반기준 6.A22</t>
  </si>
  <si>
    <t>3. 만기가 도래하는 매도가능증권과 만기보유증권의 보고기간종료일 현재 계약상의 만기일과 공정가액, 장부가액에 대한 정보. 만기일에 대한 정보는 최소한 다음의 네가지로 분류한다. ① 1년 내 ② 1년 초과 5년 내 ③ 5년 초과 10년 내 ④ 10년 초과</t>
  </si>
  <si>
    <t>일반기준 6.A23</t>
    <phoneticPr fontId="1" type="noConversion"/>
  </si>
  <si>
    <t>4. 추가적인 정보</t>
  </si>
  <si>
    <t>일반기준 6.A24</t>
    <phoneticPr fontId="1" type="noConversion"/>
  </si>
  <si>
    <t>5. 만기보유증권을 만기일 전에 매도 또는 분류변경한 경우 에는 매도하거나 분류변경한 유가증권의 장부가액, 관련 된 실현손익 또는 미실현보유손익, 그리고 매도 또는 분 류변경의 결정을 내리게 된 이유등</t>
    <phoneticPr fontId="1" type="noConversion"/>
  </si>
  <si>
    <t>일반기준 6.A25</t>
  </si>
  <si>
    <t>일반기준 6.A26</t>
  </si>
  <si>
    <t xml:space="preserve">7. 단기매매증권에서 매도가능증권이나 만기보유증권으로 재분류한 경우에는 다음 사항을 주석으로 공시한다. </t>
  </si>
  <si>
    <t>일반기준 실6.54의2</t>
  </si>
  <si>
    <t>9. 투자일임계약자산을 구성하고 있는 중요한 유가증권의 내역과 공정가액</t>
  </si>
  <si>
    <t>일반기준 실6.61</t>
  </si>
  <si>
    <t>1. 지분법 피투자회사에 대한 소유지분율현황</t>
  </si>
  <si>
    <t>2. 지분율이 20％ 이상이지만 지분법을 적용하지 않는 경우 그 이유와 관련 지분법피투자회사명</t>
  </si>
  <si>
    <t>3. 지분율이 20％ 미만이지만 지분법을 적용하는 경우 그 이유와 관련 지분법피투자회사명</t>
  </si>
  <si>
    <t>4. 지분법을 적용할 때 사용한 지분법피투자회사의 재무제표의 보고기간종료일이 투자회사의 보고기간종료일과 다른 경우 그 이유와 내용</t>
  </si>
  <si>
    <t>5. 지분법피투자회사의 자산총액, 부채총액, 매출액 및 당기손익을 포함한 요약 재무정보</t>
  </si>
  <si>
    <t>일반기준 실8.26</t>
  </si>
  <si>
    <t>일반기준 9.17</t>
  </si>
  <si>
    <t xml:space="preserve">2. 참여자는 조인트벤처 투자지분과 관련된 다음의 약정금액 총액을 다른 약정금액과 구분하여 공시한다. </t>
  </si>
  <si>
    <t>일반기준 9.18</t>
  </si>
  <si>
    <t>3. 참여자는 유의적인 조인트벤처의 목록과 내용 및 공동지배대상기업에 대한 지분율을 공시</t>
  </si>
  <si>
    <t>일반기준 9.19</t>
  </si>
  <si>
    <t>4. 참여자는 그 외 제8장 ‘지분법’에서 정하고 있는 주석사항 추가 공시</t>
  </si>
  <si>
    <t>1. 유형자산 과목별 일반사항</t>
  </si>
  <si>
    <t>일반기준 10.48</t>
  </si>
  <si>
    <t>2. 유형자산에 대하여 손상차손 또는 손상차손환입이 발생한 경우 다음의 내용을 공시</t>
  </si>
  <si>
    <t>일반기준 20.29</t>
  </si>
  <si>
    <t>3. 임의적 추가공시사항</t>
  </si>
  <si>
    <t>일반기준 10.49</t>
    <phoneticPr fontId="1" type="noConversion"/>
  </si>
  <si>
    <t>4. 유형자산을 재평가하는 경우 다음과 같은 사항을 공시한다.</t>
  </si>
  <si>
    <t>일반기준 10.50</t>
  </si>
  <si>
    <t>1. 무형자산 종류별 일반사항</t>
  </si>
  <si>
    <t>2. 무형자산에 대하여 손상차손 또는 손상차손환입이 발생한 경우 다음의 내용을 공시</t>
  </si>
  <si>
    <t>3. 당기에 비용으로 인식한 연구비와 경상개발비의 총액</t>
  </si>
  <si>
    <t>일반기준 11.41</t>
    <phoneticPr fontId="1" type="noConversion"/>
  </si>
  <si>
    <t>일반기준 18.18</t>
  </si>
  <si>
    <t>일반기준 18.19</t>
  </si>
  <si>
    <t>일반기준 20.30</t>
  </si>
  <si>
    <t>일반기준 2.21</t>
  </si>
  <si>
    <t>1. 사채의 종류별 내용</t>
  </si>
  <si>
    <t>2. 장기차입금의 차입처별 차입액, 차입용도, 이자율, 상환방법등</t>
  </si>
  <si>
    <t>일반기준 15.25</t>
  </si>
  <si>
    <t>1. 현금 등 금융자산을 인도하여 결제하는 금융부채의 종류별 만기분석 및 유동성 위험을 관리하는 방법</t>
  </si>
  <si>
    <t>일반기준 21.16</t>
  </si>
  <si>
    <t>일반기준 21.11</t>
  </si>
  <si>
    <t>일반기준 21.10</t>
  </si>
  <si>
    <t>일반기준 21.14</t>
  </si>
  <si>
    <t>1. 대손충당금 등 자산부채의 가감항목을 해당 자산이나 부채에서 직접 가감하여 표시하는 경우 가감한 금액을 주석 기재</t>
  </si>
  <si>
    <t>일반기준 2.43</t>
  </si>
  <si>
    <t>일반기준 2.10</t>
  </si>
  <si>
    <t>3. 미래에 관한 유의적인 가정과 측정상의 불확실성에 대한 기타 정보로 영향을 받을 자산과 부채에 대하여 다음의 사항을 주석으로 기재</t>
  </si>
  <si>
    <t>일반기준 2.88</t>
  </si>
  <si>
    <t>1. 채무자</t>
  </si>
  <si>
    <t>일반기준 6.94</t>
  </si>
  <si>
    <t>2. 채권자</t>
  </si>
  <si>
    <t>일반기준 6.100</t>
  </si>
  <si>
    <t>일반기준 6.101</t>
  </si>
  <si>
    <t>일반기준 6.102</t>
  </si>
  <si>
    <t>일반기준 23.19</t>
  </si>
  <si>
    <t>일반기준 6.81</t>
  </si>
  <si>
    <t>1. 회사가 발행할 주식의 총수, 1주의 금액 및 발행한 주식 의 수와 당해 회계연도중에 증자, 감자, 주식배당 또는 기타의 사유로 자본금이 변동한 경우에는 그 내용</t>
  </si>
  <si>
    <t>일반기준 15.24</t>
  </si>
  <si>
    <t>3. 발행주식 중 상호주식 등 법령에 의하여 의결권이 제한되어 있는 경우에는 그 내용</t>
  </si>
  <si>
    <t>일반기준 2.90</t>
  </si>
  <si>
    <t>일반기준 2.40</t>
  </si>
  <si>
    <t>일반기준 2.89</t>
  </si>
  <si>
    <t>4. 영업권의 상각기간 및 상각액</t>
    <phoneticPr fontId="1" type="noConversion"/>
  </si>
  <si>
    <t xml:space="preserve">5. 관련 다른 기업회계기준에서 정한 주석공시는 연결재무제표의 주석으로 공시함. </t>
    <phoneticPr fontId="1" type="noConversion"/>
  </si>
  <si>
    <t>10. 당해 회계연도 개시일 전 2년 내에 결손보전을 한 경우에는 결손보전에 충당된 자본잉여금이나 이익잉여금의 명칭과 금액 및 결손보전을 승인한 주주총회일</t>
    <phoneticPr fontId="1" type="noConversion"/>
  </si>
  <si>
    <t>일반기준 실2.20</t>
    <phoneticPr fontId="1" type="noConversion"/>
  </si>
  <si>
    <t>2. 현재가치 평가에 적용한 이자율, 이자율의 산정방법, 기간 및 회계처리 방법 등</t>
    <phoneticPr fontId="1" type="noConversion"/>
  </si>
  <si>
    <t>일반기준
실12.52</t>
    <phoneticPr fontId="1" type="noConversion"/>
  </si>
  <si>
    <t>일반기준
13.18</t>
    <phoneticPr fontId="1" type="noConversion"/>
  </si>
  <si>
    <t>5. 신주청약증거금에 대하여는 신주의 발행주식수․주금납입기일과 자본잉여금으로 적립될 금액</t>
    <phoneticPr fontId="1" type="noConversion"/>
  </si>
  <si>
    <t>일반기준
20.31</t>
    <phoneticPr fontId="1" type="noConversion"/>
  </si>
  <si>
    <t>일반기준 28.17</t>
    <phoneticPr fontId="1" type="noConversion"/>
  </si>
  <si>
    <t>기준 제5004호</t>
    <phoneticPr fontId="1" type="noConversion"/>
  </si>
  <si>
    <t>기준 제5003호</t>
    <phoneticPr fontId="1" type="noConversion"/>
  </si>
  <si>
    <t>기준 제5002호</t>
    <phoneticPr fontId="1" type="noConversion"/>
  </si>
  <si>
    <t>일반기준 2.82</t>
    <phoneticPr fontId="1" type="noConversion"/>
  </si>
  <si>
    <t>14.관계기업의 보고기간종료일과 투자기업의 보고기간종료일 사이의 기간차이를 줄이기 위하여 관계기업의 보고기간종료일을 변경한 경우에는 회계추정의 변경으로 보아 제5장 ‘회계정책, 회계추정의 변경 및 오류’에 따라 전진적으로 회계처리하고, 그 내용을 주석으로 기재</t>
    <phoneticPr fontId="1" type="noConversion"/>
  </si>
  <si>
    <t>일반기준 실8.28</t>
    <phoneticPr fontId="1" type="noConversion"/>
  </si>
  <si>
    <t>일반기준실18.35 등</t>
    <phoneticPr fontId="1" type="noConversion"/>
  </si>
  <si>
    <t>1. 차입원가를 자본화하는지 또는 비용처리하는지의 회계정책을 기재한다.</t>
    <phoneticPr fontId="1" type="noConversion"/>
  </si>
  <si>
    <t>5. 손상차손이나 손상차손환입정보가 중요하지 않아 공시되지 않은 경우, 회계기간 중 인식한 손상차손/손상차손환입 총계에 대하여 다음을 공시</t>
    <phoneticPr fontId="1" type="noConversion"/>
  </si>
  <si>
    <t xml:space="preserve">4. 현재가치평가에 적용한 이자율, 이자율의 산정방법, 기간 및 회계처리 방법 등 </t>
    <phoneticPr fontId="1" type="noConversion"/>
  </si>
  <si>
    <t>1. 종업원급여와 관련하여 다음과 같은 사항을 공시한다.</t>
    <phoneticPr fontId="1" type="noConversion"/>
  </si>
  <si>
    <t>2. 퇴직연금운용자산의 구성내역</t>
    <phoneticPr fontId="1" type="noConversion"/>
  </si>
  <si>
    <t>3. 종업원이 퇴직연금에 대한 수급요건 중 가입요건을 갖추고 퇴사하였으며 퇴직연금의 수령을 선택한 경우, 보고기간말로부터 1년 이내의 기간에 지급이 예상되는 퇴직연금합계액과 부담금</t>
    <phoneticPr fontId="1" type="noConversion"/>
  </si>
  <si>
    <t xml:space="preserve">4. 퇴직금제도와 확정급여형퇴직연금제도가 병존하는 경우, 퇴직보험에 대한 주요 계약내용 </t>
    <phoneticPr fontId="1" type="noConversion"/>
  </si>
  <si>
    <t>4. 환율변동효과와 관련하여 다음 사항을 주석으로 기재</t>
    <phoneticPr fontId="1" type="noConversion"/>
  </si>
  <si>
    <t>26.A8</t>
    <phoneticPr fontId="1" type="noConversion"/>
  </si>
  <si>
    <t>8. 제26장에서 기존주주 등에게 공정가치 미만의 신주발행시 무상증자 효과를 반영하기 위한 주당 공정가치는 일반기업회계기준 제6장 ‘금융자산·금융부채’의 공정가치 평가방법를 준용하여 측정한다. 단, 기본주당이익을 산정하기 위해 비용이 많이 요구되는 등 주당 공정가치를 산정하기 어려운 경우 무상증자 효과를 반영하지 않을 수 있으며 이 경우 주석에 그 사실을 기재</t>
    <phoneticPr fontId="1" type="noConversion"/>
  </si>
  <si>
    <t>일반기준 31.17</t>
    <phoneticPr fontId="1" type="noConversion"/>
  </si>
  <si>
    <t>일반기준
실13.31</t>
    <phoneticPr fontId="1" type="noConversion"/>
  </si>
  <si>
    <t>일반기준
실2.23</t>
    <phoneticPr fontId="1" type="noConversion"/>
  </si>
  <si>
    <t>2. 일반기업회계기준 제16장 문단 16.47 본문에 따른 진행률을 사용하는 경우에는 보고기간 말 현재 문단 16.28에 따른 공사수익 금액이 직전 회계연도 매출액의 5% 이상인 계약(이 경우에 계약이란 문단 16.24에 따라 이 절을 적용하는 회계단위를 말한다. 이하 같다)별로 다음을 해당 계약의 건설공사가 완료된 보고기간까지 주석으로 공시</t>
    <phoneticPr fontId="1" type="noConversion"/>
  </si>
  <si>
    <t>다만 공시 대상에 포함된 계약은 이후에 공시 대상 조건을 충족하지 못하더라도 해당 계약의 건설공사가 완료된 보고기간까지 계속 공시</t>
    <phoneticPr fontId="1" type="noConversion"/>
  </si>
  <si>
    <t>3. 일반기업회계기준 문단 16.64에도 불구하고 문단 16.64(2)~(5)에 따른 공시 사항 중 다음 어느 하나의 경우에 해당하는 사항은 공시하지 않을 수 있음</t>
    <phoneticPr fontId="1" type="noConversion"/>
  </si>
  <si>
    <t>1. 다음의 사항을 주석기재</t>
    <phoneticPr fontId="1" type="noConversion"/>
  </si>
  <si>
    <t>일반기준 실4.38의2</t>
    <phoneticPr fontId="1" type="noConversion"/>
  </si>
  <si>
    <t>6. 지배력 상실의 현금흐름 효과와 지배력 획득의 현금흐름효과는 구분하여 표시</t>
    <phoneticPr fontId="1" type="noConversion"/>
  </si>
  <si>
    <t>일반기준 22.61</t>
    <phoneticPr fontId="1" type="noConversion"/>
  </si>
  <si>
    <t>일반기준 22.61</t>
    <phoneticPr fontId="1" type="noConversion"/>
  </si>
  <si>
    <t>일반기준 33.15</t>
    <phoneticPr fontId="1" type="noConversion"/>
  </si>
  <si>
    <t>일반기준 33.15</t>
    <phoneticPr fontId="1" type="noConversion"/>
  </si>
  <si>
    <t>6.지분법피투자회사가 충당부채로 인식하지 아니한 우발부채 에 대한 투자회사의 지분상당액</t>
    <phoneticPr fontId="1" type="noConversion"/>
  </si>
  <si>
    <t>7. 시장성있는 지분법적용투자주식의 경우, 보고기간종료일 현재의 시장가격</t>
    <phoneticPr fontId="1" type="noConversion"/>
  </si>
  <si>
    <t xml:space="preserve">8. 지분법피투자회사가 중단사업손익 및 전기오류수정손익을 구분하여 손익계산서에 표시한 경우, 각각에 대한 투자회사의 지분상당액 </t>
    <phoneticPr fontId="1" type="noConversion"/>
  </si>
  <si>
    <t>9. 종속회사에 대한 투자계정의 잔액이 “0”이 되어 지분법적용을 중지한 경우 등과 같이 지배회사의 개별재무제표상 당기순손익 또는 순자산과 연결재무제표상 당기순손익 또는 순자산에 대한 지배회사의 지분이 일치하지 않는 경우 그 이유와 내용</t>
    <phoneticPr fontId="1" type="noConversion"/>
  </si>
  <si>
    <t>10. 문단8.23의 단서규정에 해당하여 투자회사 또는 지분법 피투자회사가 중소기업특례에 관한 기업회계기준을 적용하여 재무제표를 작성하는 경우 회계정책 또는 회계추정방법이 일치하지 아니함에도 이를 수정하지 아니한다는 내용</t>
    <phoneticPr fontId="1" type="noConversion"/>
  </si>
  <si>
    <t>11. 투자계정의 잔액이 “0”이 되어 지분법적용의 중지로 인하여 인식하지 못한 당기의 지분변동액과 전기이전의 지분변동액 누적액</t>
    <phoneticPr fontId="1" type="noConversion"/>
  </si>
  <si>
    <t>12. 약정 또는 규제 등에 의하여 지분법피투자회사가 투자회사에 자금을 이전하는데 중요한 제약이 있는 경우 그 내용</t>
    <phoneticPr fontId="1" type="noConversion"/>
  </si>
  <si>
    <t xml:space="preserve">13. 투자기업과 피투자기업의 결산일의 차이가 3개월 이내이나 피투자기업의 결산일이 더 늦은 경우 결산일간 중요한 변동사항. </t>
    <phoneticPr fontId="1" type="noConversion"/>
  </si>
  <si>
    <t>1. 토지(투자자산내 투자부동산)의 공시지가</t>
    <phoneticPr fontId="1" type="noConversion"/>
  </si>
  <si>
    <t>2. 자본화대상자산과 관련된 차입원가에 대한 사항</t>
    <phoneticPr fontId="1" type="noConversion"/>
  </si>
  <si>
    <t>3. 차입원가를 자본화한 경우에는 이를 기간비용으로 회계처리했을 때와 비교하여 손익계산서와 재무상태표의 주요 항목에 미치게 될 영향</t>
    <phoneticPr fontId="1" type="noConversion"/>
  </si>
  <si>
    <t>4. 영업권과 현금창출단위와 관련하여 인식한 중요한 손상차손과 손상차손환입에 대한 내용</t>
    <phoneticPr fontId="1" type="noConversion"/>
  </si>
  <si>
    <t>6. 회사가 가입하고 있는 보험의 종류, 보험금액 및 보험에 가입된 자산의 내용</t>
    <phoneticPr fontId="1" type="noConversion"/>
  </si>
  <si>
    <t>7. 유동자산으로 분류한 금액중 1년 이내에 실현되지 않을 금액을 주석 기재</t>
    <phoneticPr fontId="1" type="noConversion"/>
  </si>
  <si>
    <t>1. 전환증권등 의 내용</t>
    <phoneticPr fontId="1" type="noConversion"/>
  </si>
  <si>
    <t>5. 파생상품거래</t>
    <phoneticPr fontId="1" type="noConversion"/>
  </si>
  <si>
    <t>6. 정부보조금에 관한 사항</t>
    <phoneticPr fontId="1" type="noConversion"/>
  </si>
  <si>
    <t>8. 이익잉여금 중 법정적립금과 임의적립금의 세부 내용 및 법령 등에 따라 이익배당이 제한되어 있는 이익잉여금의 내용 주석 기재</t>
    <phoneticPr fontId="1" type="noConversion"/>
  </si>
  <si>
    <t>9. 상법 등 관련 법규에서 이익잉여금처분계산서(또는 결손금처리계산서)의 작성을 요구하는 경우 재무상태표의 이익잉여금(또는 결손금)에 대한 보충정보로서 이익잉여금처분계산서(또는 결손금처리계산서)를 주석으로 기재</t>
    <phoneticPr fontId="1" type="noConversion"/>
  </si>
  <si>
    <t>1. 지배․종속회사간의 특수관계</t>
    <phoneticPr fontId="1" type="noConversion"/>
  </si>
  <si>
    <t>2. 주요경영진 전체에 대한 다음의 분류별 보상금액과 총 보상금액(다만, 주석공시 생략 가능)</t>
    <phoneticPr fontId="1" type="noConversion"/>
  </si>
  <si>
    <t>3. 재무제표에 미치는 특수관계의 잠재적 영향을 이해하는데 필요한 거래, 채권․채무 잔액에 대한 정보 및 특수관계의 성격(주석공시사항은 최소한 다음 내용을 포함)</t>
    <phoneticPr fontId="1" type="noConversion"/>
  </si>
  <si>
    <t>4. 위 3에서 요구하는 사항은 다음과 같이 분류하여 주석으로 기재</t>
    <phoneticPr fontId="1" type="noConversion"/>
  </si>
  <si>
    <t>5. 특수관계자와의 거래가 있는 경우 주석으로 기재하는 거래의 예</t>
    <phoneticPr fontId="1" type="noConversion"/>
  </si>
  <si>
    <t>1. 참여자는 우발부채에 대하여 제14장에 따라 주석으로 기재한다. 또한 손실의 발생가능성이 희박하지 않다면 다음의 우발부채 총액을 다른 우발부채 금액과 구분하여 주석으로 기재</t>
    <phoneticPr fontId="1" type="noConversion"/>
  </si>
  <si>
    <t>검토</t>
    <phoneticPr fontId="1" type="noConversion"/>
  </si>
  <si>
    <t>작성자</t>
    <phoneticPr fontId="10" type="noConversion"/>
  </si>
  <si>
    <t>일자</t>
    <phoneticPr fontId="10" type="noConversion"/>
  </si>
  <si>
    <t>검토자</t>
    <phoneticPr fontId="10" type="noConversion"/>
  </si>
  <si>
    <t xml:space="preserve">※ 작성요령 : </t>
    <phoneticPr fontId="1" type="noConversion"/>
  </si>
  <si>
    <t>1. 검토사항에는 Y, N, N/A 중 해당 사항을 기재하며, Y"인 경우에는 비고란에 주석번호 기재</t>
    <phoneticPr fontId="1" type="noConversion"/>
  </si>
  <si>
    <t>일반기준 10.48</t>
    <phoneticPr fontId="1" type="noConversion"/>
  </si>
  <si>
    <t>[2013-1] 특수관계자거래 공시</t>
    <phoneticPr fontId="10" type="noConversion"/>
  </si>
  <si>
    <t>6. 유가증권을 재분류함에 따라 공정가액이 아닌 상각 후 취득원가로 보고하게 되는 경우에는 그 분류변경의 이유</t>
    <phoneticPr fontId="1" type="noConversion"/>
  </si>
  <si>
    <t>2. 중요하지 않은 항목은 성격 또는 기능이 유사한 항목에 통합하여 표시할 수 있음. 통합할 적절한 항목이 없는 경우에는 기타항목으로 통합할 수 있음. 이 경우 세부내역 주석기재</t>
    <phoneticPr fontId="1" type="noConversion"/>
  </si>
  <si>
    <t>7. 주식의 종류별 주당배당금액, 배당수익률, 배당성향 및 배당액의 산정내역</t>
    <phoneticPr fontId="1" type="noConversion"/>
  </si>
  <si>
    <t>3. 유통되는 보통주식수가 무상증자 등으로 증가하였거나 감소한 사건이 보고기간종료일과 재무제표가 사실상 확정된 날 사이에 발생하여 당기와 그 이전 회계기간의 유통보통주식수의 변동을 반영하였다면 그러한 사실</t>
    <phoneticPr fontId="1" type="noConversion"/>
  </si>
  <si>
    <t xml:space="preserve">당기 증감 내용에는 현재가치로 평가한 충당부채의 기간 경과에 따른 당기 증가 금액, 환입금액 및 사용금액을 포함 </t>
    <phoneticPr fontId="1" type="noConversion"/>
  </si>
  <si>
    <t xml:space="preserve">3. 수정을 요하지 않는 보고기간종료일 후 발생한 사건으로서 공시되지 않을 경우 재무제표 이용자의 의사결정에 중요한 영향을 미치는 사건의 성격과 재무적 영향에 대한 설명 </t>
    <phoneticPr fontId="1" type="noConversion"/>
  </si>
  <si>
    <t xml:space="preserve">1. 건설사업자는 건설형 공사계약과 관련된 다음의 사항을 주석으로 기재한다. </t>
    <phoneticPr fontId="1" type="noConversion"/>
  </si>
  <si>
    <t xml:space="preserve">4. 일반기업회계기준 문단 16.65에 따라 문단 16.64에서 요구하는 공시를 하지 않는 경우에는 생략한 사항별로 다음을 공시하고, 문단 16.64(5)의 공시를 생략한 경우에는 해당 사항이 포함된 부문에 대하여 문단 16.64(5)를 공시한다. </t>
    <phoneticPr fontId="1" type="noConversion"/>
  </si>
  <si>
    <t xml:space="preserve">5. 일반기업회계기준 문단 16.47 본문에 따른 진행률을 사용하는 계약의 경우에는 다음을 부문별로 구분하여 주석으로 공시한다. </t>
    <phoneticPr fontId="1" type="noConversion"/>
  </si>
  <si>
    <t xml:space="preserve">6. '자본시장과 금융투자업에 관한 법률'에 따른 사업보고서 제출대상법인이 아닌 경우에는 일반기업회계기준 문단 16.64부터 16.67까지의 공시를 하지 않을 수 있다. </t>
    <phoneticPr fontId="1" type="noConversion"/>
  </si>
  <si>
    <t xml:space="preserve">7. 임대주택건설업자는 임대후 분양주택에 관련된 다음의 사항을 주석으로 기재한다. </t>
    <phoneticPr fontId="1" type="noConversion"/>
  </si>
  <si>
    <t>2. 보고기간 중 여러 사업결합이 발생한 경우 개별적으로 중요하지 않지만 집합적으로 중요해지면 그 사업결합의 집합에 대하여 합산하여 다음 사항을 공시</t>
    <phoneticPr fontId="1" type="noConversion"/>
  </si>
  <si>
    <t xml:space="preserve">2. 과거회계기준에 따라 발생한 오류를 발견하는 경우, 상기 문단 30.12(2)와 (3)의 조정내용은 이러한 오류의 수정과 회계정책의 변경을 구분하여야 함. </t>
    <phoneticPr fontId="1" type="noConversion"/>
  </si>
  <si>
    <t>일반기준 2.82</t>
    <phoneticPr fontId="1" type="noConversion"/>
  </si>
  <si>
    <t>일반기준 4.21</t>
    <phoneticPr fontId="1" type="noConversion"/>
  </si>
  <si>
    <t>일반기준 11.39</t>
    <phoneticPr fontId="1" type="noConversion"/>
  </si>
  <si>
    <t>일반기준 4.22</t>
    <phoneticPr fontId="1" type="noConversion"/>
  </si>
  <si>
    <r>
      <rPr>
        <b/>
        <u/>
        <sz val="12"/>
        <rFont val="HY신명조"/>
        <family val="1"/>
        <charset val="129"/>
      </rPr>
      <t>※ 금융감독원 주석공시 모범사례</t>
    </r>
    <r>
      <rPr>
        <b/>
        <sz val="12"/>
        <rFont val="HY신명조"/>
        <family val="1"/>
        <charset val="129"/>
      </rPr>
      <t xml:space="preserve">
</t>
    </r>
    <r>
      <rPr>
        <sz val="12"/>
        <rFont val="HY신명조"/>
        <family val="1"/>
        <charset val="129"/>
      </rPr>
      <t xml:space="preserve">금융감독원이 발표한 다음의 주석공시 모범사례를 참고하십시오. </t>
    </r>
    <phoneticPr fontId="10" type="noConversion"/>
  </si>
  <si>
    <t>목차</t>
    <phoneticPr fontId="10" type="noConversion"/>
  </si>
  <si>
    <t>회사명</t>
    <phoneticPr fontId="10" type="noConversion"/>
  </si>
  <si>
    <t>작성자</t>
    <phoneticPr fontId="10" type="noConversion"/>
  </si>
  <si>
    <t>일자</t>
    <phoneticPr fontId="10" type="noConversion"/>
  </si>
  <si>
    <t>결산일</t>
    <phoneticPr fontId="10" type="noConversion"/>
  </si>
  <si>
    <t>검토자</t>
    <phoneticPr fontId="10" type="noConversion"/>
  </si>
  <si>
    <t>내용</t>
    <phoneticPr fontId="10" type="noConversion"/>
  </si>
  <si>
    <t>해당
여부</t>
    <phoneticPr fontId="10" type="noConversion"/>
  </si>
  <si>
    <t>주석
번호</t>
    <phoneticPr fontId="10" type="noConversion"/>
  </si>
  <si>
    <t>담당자</t>
    <phoneticPr fontId="10" type="noConversion"/>
  </si>
  <si>
    <t>일련번호</t>
    <phoneticPr fontId="10" type="noConversion"/>
  </si>
  <si>
    <t>해당
일련번호</t>
    <phoneticPr fontId="10" type="noConversion"/>
  </si>
  <si>
    <t>해당여부</t>
    <phoneticPr fontId="10" type="noConversion"/>
  </si>
  <si>
    <t>1</t>
  </si>
  <si>
    <t>1.1</t>
  </si>
  <si>
    <t>2</t>
  </si>
  <si>
    <t>2.2.2</t>
    <phoneticPr fontId="10" type="noConversion"/>
  </si>
  <si>
    <t>2.2.3</t>
    <phoneticPr fontId="10" type="noConversion"/>
  </si>
  <si>
    <t>2.5.2</t>
    <phoneticPr fontId="10" type="noConversion"/>
  </si>
  <si>
    <t>3</t>
  </si>
  <si>
    <t>3.1</t>
  </si>
  <si>
    <t>3.2</t>
  </si>
  <si>
    <t>3.3</t>
  </si>
  <si>
    <t>3.4</t>
  </si>
  <si>
    <t>3.5</t>
  </si>
  <si>
    <t>3.6</t>
  </si>
  <si>
    <t>3.7</t>
  </si>
  <si>
    <t>※</t>
    <phoneticPr fontId="10" type="noConversion"/>
  </si>
  <si>
    <t>금융감독원 주석공시 모범사례</t>
    <phoneticPr fontId="10" type="noConversion"/>
  </si>
  <si>
    <t>FN</t>
  </si>
  <si>
    <t>[2013-1] 특수관계자거래 공시</t>
    <phoneticPr fontId="10" type="noConversion"/>
  </si>
  <si>
    <t>FN2013-1</t>
  </si>
  <si>
    <t>8400 공시사항점검표(일반기업회계기준)</t>
    <phoneticPr fontId="10" type="noConversion"/>
  </si>
  <si>
    <t>내 용</t>
    <phoneticPr fontId="1" type="noConversion"/>
  </si>
  <si>
    <t>일반사항</t>
    <phoneticPr fontId="10" type="noConversion"/>
  </si>
  <si>
    <t>회사의 개요</t>
    <phoneticPr fontId="10" type="noConversion"/>
  </si>
  <si>
    <t>회사의 주요 회계처리방침 등의 내용</t>
    <phoneticPr fontId="10" type="noConversion"/>
  </si>
  <si>
    <t>재무상태표 관련 공시</t>
    <phoneticPr fontId="10" type="noConversion"/>
  </si>
  <si>
    <t>자산</t>
    <phoneticPr fontId="10" type="noConversion"/>
  </si>
  <si>
    <t>2.1.1</t>
    <phoneticPr fontId="10" type="noConversion"/>
  </si>
  <si>
    <t>현금 및 장단기 금융상품</t>
    <phoneticPr fontId="10" type="noConversion"/>
  </si>
  <si>
    <t>2.1.2</t>
    <phoneticPr fontId="1" type="noConversion"/>
  </si>
  <si>
    <t>2.1.3</t>
    <phoneticPr fontId="1" type="noConversion"/>
  </si>
  <si>
    <t>2.1.4</t>
    <phoneticPr fontId="1" type="noConversion"/>
  </si>
  <si>
    <t>2.1.5</t>
    <phoneticPr fontId="1" type="noConversion"/>
  </si>
  <si>
    <t>2.1.6</t>
    <phoneticPr fontId="1" type="noConversion"/>
  </si>
  <si>
    <t>2.1.7</t>
    <phoneticPr fontId="1" type="noConversion"/>
  </si>
  <si>
    <t>2.1.8</t>
    <phoneticPr fontId="1" type="noConversion"/>
  </si>
  <si>
    <t>2.1.9</t>
    <phoneticPr fontId="10" type="noConversion"/>
  </si>
  <si>
    <t>2.1.10</t>
    <phoneticPr fontId="10" type="noConversion"/>
  </si>
  <si>
    <t>매출채권 등</t>
    <phoneticPr fontId="1" type="noConversion"/>
  </si>
  <si>
    <t>재고자산</t>
    <phoneticPr fontId="1" type="noConversion"/>
  </si>
  <si>
    <t>유가증권</t>
    <phoneticPr fontId="1" type="noConversion"/>
  </si>
  <si>
    <t>지분법적용투자주식</t>
    <phoneticPr fontId="1" type="noConversion"/>
  </si>
  <si>
    <t>조인트벤처투자</t>
    <phoneticPr fontId="1" type="noConversion"/>
  </si>
  <si>
    <t>투자자산</t>
    <phoneticPr fontId="1" type="noConversion"/>
  </si>
  <si>
    <t>유형자산</t>
    <phoneticPr fontId="1" type="noConversion"/>
  </si>
  <si>
    <t>자산공통</t>
    <phoneticPr fontId="1" type="noConversion"/>
  </si>
  <si>
    <t>무형자산</t>
    <phoneticPr fontId="10" type="noConversion"/>
  </si>
  <si>
    <t>부채</t>
    <phoneticPr fontId="10" type="noConversion"/>
  </si>
  <si>
    <t>2.2.1</t>
    <phoneticPr fontId="10" type="noConversion"/>
  </si>
  <si>
    <t>2.2.4</t>
    <phoneticPr fontId="10" type="noConversion"/>
  </si>
  <si>
    <t>사채와 차입금</t>
    <phoneticPr fontId="1" type="noConversion"/>
  </si>
  <si>
    <t>복합금융상품</t>
    <phoneticPr fontId="1" type="noConversion"/>
  </si>
  <si>
    <t>금융부채</t>
    <phoneticPr fontId="1" type="noConversion"/>
  </si>
  <si>
    <t>퇴직급여충당부채</t>
    <phoneticPr fontId="1" type="noConversion"/>
  </si>
  <si>
    <t>자산부채공통</t>
    <phoneticPr fontId="10" type="noConversion"/>
  </si>
  <si>
    <t>채권채무조정</t>
    <phoneticPr fontId="10" type="noConversion"/>
  </si>
  <si>
    <t>자본</t>
    <phoneticPr fontId="10" type="noConversion"/>
  </si>
  <si>
    <t>2.5.1</t>
    <phoneticPr fontId="10" type="noConversion"/>
  </si>
  <si>
    <t>자본</t>
    <phoneticPr fontId="10" type="noConversion"/>
  </si>
  <si>
    <t>주식기준보상</t>
    <phoneticPr fontId="10" type="noConversion"/>
  </si>
  <si>
    <t>손익계산서 관련 공시</t>
    <phoneticPr fontId="10" type="noConversion"/>
  </si>
  <si>
    <t>매출 및 매출원가</t>
    <phoneticPr fontId="1" type="noConversion"/>
  </si>
  <si>
    <t>판매비와관리비</t>
    <phoneticPr fontId="1" type="noConversion"/>
  </si>
  <si>
    <t>부가가치</t>
    <phoneticPr fontId="1" type="noConversion"/>
  </si>
  <si>
    <t>법인세</t>
    <phoneticPr fontId="1" type="noConversion"/>
  </si>
  <si>
    <t>주당이익</t>
    <phoneticPr fontId="1" type="noConversion"/>
  </si>
  <si>
    <t>포괄손익</t>
    <phoneticPr fontId="1" type="noConversion"/>
  </si>
  <si>
    <t>중단사업</t>
    <phoneticPr fontId="1" type="noConversion"/>
  </si>
  <si>
    <t>현금흐름표 관련 공시</t>
    <phoneticPr fontId="1" type="noConversion"/>
  </si>
  <si>
    <t>기타 공시사항</t>
    <phoneticPr fontId="10" type="noConversion"/>
  </si>
  <si>
    <t>우발사항</t>
    <phoneticPr fontId="10" type="noConversion"/>
  </si>
  <si>
    <t>특수관계자</t>
    <phoneticPr fontId="1" type="noConversion"/>
  </si>
  <si>
    <t>보고기간후사건</t>
    <phoneticPr fontId="1" type="noConversion"/>
  </si>
  <si>
    <t>기타</t>
    <phoneticPr fontId="10" type="noConversion"/>
  </si>
  <si>
    <t>해당사항 있는 경우</t>
    <phoneticPr fontId="10" type="noConversion"/>
  </si>
  <si>
    <t>6.10</t>
    <phoneticPr fontId="1" type="noConversion"/>
  </si>
  <si>
    <t>회계변경</t>
    <phoneticPr fontId="1" type="noConversion"/>
  </si>
  <si>
    <t>전기오류수정</t>
    <phoneticPr fontId="1" type="noConversion"/>
  </si>
  <si>
    <t>재무제표 항목의 표시나 분류방법의 변경</t>
    <phoneticPr fontId="1" type="noConversion"/>
  </si>
  <si>
    <t>중소기업</t>
    <phoneticPr fontId="1" type="noConversion"/>
  </si>
  <si>
    <t>리스</t>
    <phoneticPr fontId="1" type="noConversion"/>
  </si>
  <si>
    <t>사업결합</t>
    <phoneticPr fontId="1" type="noConversion"/>
  </si>
  <si>
    <t>6.6.1</t>
    <phoneticPr fontId="1" type="noConversion"/>
  </si>
  <si>
    <t>영업권/염가매수차익</t>
    <phoneticPr fontId="1" type="noConversion"/>
  </si>
  <si>
    <t>분할, 분할합병</t>
    <phoneticPr fontId="1" type="noConversion"/>
  </si>
  <si>
    <t>일반기업회계기준의 최초채택</t>
    <phoneticPr fontId="1" type="noConversion"/>
  </si>
  <si>
    <t>K-IFRS  도입예정 기업</t>
    <phoneticPr fontId="1" type="noConversion"/>
  </si>
  <si>
    <t>기타 해당사항</t>
    <phoneticPr fontId="1" type="noConversion"/>
  </si>
  <si>
    <t>산업별 추가 공시사항</t>
    <phoneticPr fontId="1" type="noConversion"/>
  </si>
  <si>
    <t>건설형 공사계약</t>
    <phoneticPr fontId="1" type="noConversion"/>
  </si>
  <si>
    <t>기타 업종별 회계처리준칙에서 요구하는 사항</t>
    <phoneticPr fontId="1" type="noConversion"/>
  </si>
  <si>
    <t>특수활동</t>
    <phoneticPr fontId="1" type="noConversion"/>
  </si>
  <si>
    <t>온실가스 배출권과 배출부채</t>
    <phoneticPr fontId="1" type="noConversion"/>
  </si>
  <si>
    <t>연결재무제표</t>
    <phoneticPr fontId="1" type="noConversion"/>
  </si>
  <si>
    <t>금융업 재무제표</t>
    <phoneticPr fontId="1" type="noConversion"/>
  </si>
  <si>
    <t>1. 일반사항</t>
    <phoneticPr fontId="1" type="noConversion"/>
  </si>
  <si>
    <t>설립일자</t>
    <phoneticPr fontId="1" type="noConversion"/>
  </si>
  <si>
    <t>상장일자</t>
    <phoneticPr fontId="1" type="noConversion"/>
  </si>
  <si>
    <t>본사 및 공장소재지</t>
    <phoneticPr fontId="1" type="noConversion"/>
  </si>
  <si>
    <t>주요영업내용</t>
    <phoneticPr fontId="1" type="noConversion"/>
  </si>
  <si>
    <t>대표이사</t>
    <phoneticPr fontId="1" type="noConversion"/>
  </si>
  <si>
    <t>주요주주 및 지분율</t>
    <phoneticPr fontId="1" type="noConversion"/>
  </si>
  <si>
    <t xml:space="preserve">최근의 경영환경변화 </t>
    <phoneticPr fontId="1" type="noConversion"/>
  </si>
  <si>
    <t>1.1 회사의 개요</t>
    <phoneticPr fontId="1" type="noConversion"/>
  </si>
  <si>
    <t>재무제표의 작성기준</t>
    <phoneticPr fontId="1" type="noConversion"/>
  </si>
  <si>
    <t xml:space="preserve">⑴ </t>
    <phoneticPr fontId="1" type="noConversion"/>
  </si>
  <si>
    <t>수익을 인식하기 위하여 적용한 회계정책(용역제공거래의 진행률의 결정방법을 포함한다)</t>
    <phoneticPr fontId="1" type="noConversion"/>
  </si>
  <si>
    <t>⑵</t>
    <phoneticPr fontId="1" type="noConversion"/>
  </si>
  <si>
    <t>재고자산 평가와 재고조사방법</t>
    <phoneticPr fontId="1" type="noConversion"/>
  </si>
  <si>
    <t xml:space="preserve">⑶ </t>
  </si>
  <si>
    <t xml:space="preserve">⑶ </t>
    <phoneticPr fontId="1" type="noConversion"/>
  </si>
  <si>
    <t>재고자산의 원가결정방법</t>
    <phoneticPr fontId="1" type="noConversion"/>
  </si>
  <si>
    <t xml:space="preserve"> ㈎ </t>
  </si>
  <si>
    <t xml:space="preserve"> ㈎ </t>
    <phoneticPr fontId="1" type="noConversion"/>
  </si>
  <si>
    <t>재고자산을 총액으로 보고한 경우 그 내용</t>
    <phoneticPr fontId="1" type="noConversion"/>
  </si>
  <si>
    <t xml:space="preserve"> ㈏ </t>
    <phoneticPr fontId="1" type="noConversion"/>
  </si>
  <si>
    <t xml:space="preserve"> ㈐</t>
    <phoneticPr fontId="1" type="noConversion"/>
  </si>
  <si>
    <t xml:space="preserve">담보로 제공한 재고자산의 종류와 금액 </t>
    <phoneticPr fontId="1" type="noConversion"/>
  </si>
  <si>
    <t xml:space="preserve"> ㈑ </t>
    <phoneticPr fontId="1" type="noConversion"/>
  </si>
  <si>
    <t>재고자산의 저가법 적용기준 및 평가내용</t>
    <phoneticPr fontId="1" type="noConversion"/>
  </si>
  <si>
    <t>유가증권</t>
    <phoneticPr fontId="1" type="noConversion"/>
  </si>
  <si>
    <t xml:space="preserve">⑷ </t>
    <phoneticPr fontId="1" type="noConversion"/>
  </si>
  <si>
    <t>공정가치로 평가하는 주요 유가증권의 분류별로 공정가치 측정방법과 공정가치를 결정할 때 사용한 주요가정(예: 할인율, 중도상환율) 등 재무제표이용자가 공정가치로 측정된 회계정보를 이해하는데 유용한 정보</t>
    <phoneticPr fontId="1" type="noConversion"/>
  </si>
  <si>
    <t>실현손익을 계산하기 위한 유가증권의 원가 결정 방법(예：개별법, 총평균법, 이동평균법 또는 다른 합리적인 방법）</t>
    <phoneticPr fontId="1" type="noConversion"/>
  </si>
  <si>
    <t xml:space="preserve">유의적인 회계정책의 요약은 다음의 사항을 포함한다. </t>
    <phoneticPr fontId="1" type="noConversion"/>
  </si>
  <si>
    <t>재무제표를 작성하는데 사용한 측정속성</t>
    <phoneticPr fontId="1" type="noConversion"/>
  </si>
  <si>
    <t>재무제표를 이해하는데 필요한 기타의 회계정책</t>
    <phoneticPr fontId="1" type="noConversion"/>
  </si>
  <si>
    <t>1.2 회사의 주요 회계처리방침 등의 내용</t>
    <phoneticPr fontId="1" type="noConversion"/>
  </si>
  <si>
    <t>2.1 자산</t>
    <phoneticPr fontId="1" type="noConversion"/>
  </si>
  <si>
    <t xml:space="preserve">1. 회사의 개황, 주요영업내용, 최근의 경영환경변화 </t>
    <phoneticPr fontId="1" type="noConversion"/>
  </si>
  <si>
    <t>`1. 재무제표 작성기준 및 유의적인 거래와 회계사건의 회계처리에 적용한 회계정책</t>
    <phoneticPr fontId="1" type="noConversion"/>
  </si>
  <si>
    <t>2.1.1 현금 및 장단기 금융상품</t>
    <phoneticPr fontId="1" type="noConversion"/>
  </si>
  <si>
    <t>2.1.2 매출채권 등</t>
    <phoneticPr fontId="1" type="noConversion"/>
  </si>
  <si>
    <t>1. 사용이 제한된 예금</t>
    <phoneticPr fontId="1" type="noConversion"/>
  </si>
  <si>
    <t>1. 매출채권 등의 양도, 할인 및 담보제공에 관한 내용</t>
    <phoneticPr fontId="1" type="noConversion"/>
  </si>
  <si>
    <t>2. 현재가치 평가에 적용한 이자율, 이자율의 산정방법, 기간 및 회계처리 방법 등</t>
    <phoneticPr fontId="1" type="noConversion"/>
  </si>
  <si>
    <t>2.1.3 재고자산</t>
    <phoneticPr fontId="1" type="noConversion"/>
  </si>
  <si>
    <t>1. 재고자산의 저가법 평가 내용</t>
    <phoneticPr fontId="1" type="noConversion"/>
  </si>
  <si>
    <t>2. 후입선출법의 내용</t>
    <phoneticPr fontId="1" type="noConversion"/>
  </si>
  <si>
    <t>3. 유통업 이외의 업종에 속한 기업이 매출가격환원법을 사용하는 예외적인 경우에는 매출가격환원법의 사용이 실제원가에 기초한 다른 원가결정방법을 적용하는 것보다 합리적이라는 정당한 이유와 매출가격환원법의 원가율 추정이 합리적이라는 근거</t>
    <phoneticPr fontId="1" type="noConversion"/>
  </si>
  <si>
    <t>후입선출법을 사용하여 재고자산의 원가를 결정한 경우에는 재무상태표가액과, 선입선출법 또는 평균법에 저가법을 적용하여 계산한 재고자산평가액과의 차이</t>
    <phoneticPr fontId="1" type="noConversion"/>
  </si>
  <si>
    <t xml:space="preserve">⑴ </t>
    <phoneticPr fontId="1" type="noConversion"/>
  </si>
  <si>
    <t>후입선출법을 사용하여 재고자산의 원가를 결정할 때 기초재고의 전부 또는 일부가 판매된 경우(기초재고청산)에는 판매된 기초재고자산의 수량에 당 회계기간 중 평균취득단가를 곱한 금액과 판매된 기초재고자산의 장부상 원가와의 차액</t>
    <phoneticPr fontId="1" type="noConversion"/>
  </si>
  <si>
    <t xml:space="preserve">⑵ </t>
    <phoneticPr fontId="1" type="noConversion"/>
  </si>
  <si>
    <t>1. 유가증권 일반 사항</t>
    <phoneticPr fontId="1" type="noConversion"/>
  </si>
  <si>
    <t>2. 유가증권의 분류(지분증권, 채무증권등) 사항</t>
    <phoneticPr fontId="1" type="noConversion"/>
  </si>
  <si>
    <t>매도가능증권과 단기매매증권의 공정가액을 측정할 수 없는 경우에는 그 이유와, 관련 유가증권의 내용 및 장부가액</t>
    <phoneticPr fontId="1" type="noConversion"/>
  </si>
  <si>
    <t>⑴</t>
    <phoneticPr fontId="1" type="noConversion"/>
  </si>
  <si>
    <t>유가증권 재분류한 경우에는 그 내용, 그리고, 이러한 유가증권을 처분한 경우에는 장부가액과 처분손익</t>
    <phoneticPr fontId="1" type="noConversion"/>
  </si>
  <si>
    <t>⑵</t>
    <phoneticPr fontId="1" type="noConversion"/>
  </si>
  <si>
    <t>유가증권을 통합하여 표시하는 경우에는, 통합하여 표시한 금액을 단기매매증권, 매도가능증권 및 만기보유증권으로 구분한 내용</t>
    <phoneticPr fontId="1" type="noConversion"/>
  </si>
  <si>
    <t>⑶</t>
    <phoneticPr fontId="1" type="noConversion"/>
  </si>
  <si>
    <t>매도가능증권의 미실현보유손익의 변동내용과 처분에 따른 실현손익의 내용</t>
    <phoneticPr fontId="1" type="noConversion"/>
  </si>
  <si>
    <t>주요 유가증권의 분류별로 손상차손과 회복의 내용</t>
    <phoneticPr fontId="1" type="noConversion"/>
  </si>
  <si>
    <t>유가증권과 관련한 총 이자수익 금액</t>
    <phoneticPr fontId="1" type="noConversion"/>
  </si>
  <si>
    <t xml:space="preserve">⑶ </t>
    <phoneticPr fontId="1" type="noConversion"/>
  </si>
  <si>
    <t>손상차손을 인식한 채무증권에 대한 미수이자 금액</t>
    <phoneticPr fontId="1" type="noConversion"/>
  </si>
  <si>
    <t xml:space="preserve">⑷ </t>
    <phoneticPr fontId="1" type="noConversion"/>
  </si>
  <si>
    <t>유가증권 양도와 관련한 재매수계약의 내용(그 중 재무상태표에서 제거한 유가증권은 구분 표시)</t>
    <phoneticPr fontId="1" type="noConversion"/>
  </si>
  <si>
    <t xml:space="preserve">⑸ </t>
    <phoneticPr fontId="1" type="noConversion"/>
  </si>
  <si>
    <t>2.1.4 유가증권</t>
    <phoneticPr fontId="1" type="noConversion"/>
  </si>
  <si>
    <t>8. 경쟁제한적 자전거래로 매도가능증권을 매도한후 재매수하는 경우에는 관련된 거래내역</t>
    <phoneticPr fontId="1" type="noConversion"/>
  </si>
  <si>
    <t>재분류된 금액</t>
    <phoneticPr fontId="1" type="noConversion"/>
  </si>
  <si>
    <t xml:space="preserve">⑴ </t>
    <phoneticPr fontId="1" type="noConversion"/>
  </si>
  <si>
    <t>유가증권의 재분류일 현재 유효이자율과 회수할 것으로 예상하는 추정현금흐름</t>
    <phoneticPr fontId="1" type="noConversion"/>
  </si>
  <si>
    <t xml:space="preserve">⑹ </t>
    <phoneticPr fontId="1" type="noConversion"/>
  </si>
  <si>
    <t>당해 유가증권이 재분류되지 않았더라면 당기손익에 인식되었을 공정가치 변동금액 그리고 당기손익에 인식된 이익, 손실, 수익 및 비용(해당 유가증권이 제거되기 전까지 매 회계연도마다 공시)</t>
    <phoneticPr fontId="1" type="noConversion"/>
  </si>
  <si>
    <t>재분류된 회계연도의 경우, 그 회계연도와 과거 회계연도에 당해 유가증권에 대한 당기손익에 인식된 공정가치 변동금액</t>
    <phoneticPr fontId="1" type="noConversion"/>
  </si>
  <si>
    <t>문단 6.34의 드문 상황과 그러한 상황이 드물다는 것을 나타내는 사실과 정황</t>
    <phoneticPr fontId="1" type="noConversion"/>
  </si>
  <si>
    <t>당해 회계연도와 과거 회계연도에 재분류된 모든 유가능권의 장부금액과 공정가치(해당 유가증권이 제거되지 전까지 매 회계연도마다 공시)</t>
    <phoneticPr fontId="1" type="noConversion"/>
  </si>
  <si>
    <t>2.1.5 지분법적용투자주식</t>
    <phoneticPr fontId="1" type="noConversion"/>
  </si>
  <si>
    <t>일반기준 8.37</t>
    <phoneticPr fontId="1" type="noConversion"/>
  </si>
  <si>
    <t>2.1.6 조인트벤처투자</t>
    <phoneticPr fontId="1" type="noConversion"/>
  </si>
  <si>
    <t>조인트벤처 투자지분과 관련하여 참여자가 발생시킨 우발부채와 다른 참여자와 공동으로 발생시킨 우발부채 중 참여자의 지분에 해당하는 금액</t>
    <phoneticPr fontId="1" type="noConversion"/>
  </si>
  <si>
    <t>참여자에게 우발적 의무가 있는 조인트벤처 자체의 우발부채 중 참여자의 지분에 해당하는 금액</t>
    <phoneticPr fontId="1" type="noConversion"/>
  </si>
  <si>
    <t>다른 참여자의 부채에 대하여 참여자에게 우발적 의무가 있기 때문에 발생하는 우발부채</t>
    <phoneticPr fontId="1" type="noConversion"/>
  </si>
  <si>
    <t>참여자의 출자약정 금액과 다른 참여자와 공동으로 발생시킨 출자약정금액 중 참여자의 지분에 해당하는 금액</t>
    <phoneticPr fontId="1" type="noConversion"/>
  </si>
  <si>
    <t>조인트벤처 자체의 다른 투자대상에 대한 출자약정금액 중 참여자의 지분에 해당하는 금액</t>
    <phoneticPr fontId="1" type="noConversion"/>
  </si>
  <si>
    <t>2.1.7 투자자산</t>
    <phoneticPr fontId="1" type="noConversion"/>
  </si>
  <si>
    <t>2.1.8 유형자산</t>
    <phoneticPr fontId="1" type="noConversion"/>
  </si>
  <si>
    <t>감가상각방법, 내용연수, 상각률</t>
    <phoneticPr fontId="1" type="noConversion"/>
  </si>
  <si>
    <t>장부가액의 당기 변동내용</t>
    <phoneticPr fontId="1" type="noConversion"/>
  </si>
  <si>
    <t>취득(자본적 지출 포함)</t>
    <phoneticPr fontId="1" type="noConversion"/>
  </si>
  <si>
    <t>처분</t>
    <phoneticPr fontId="1" type="noConversion"/>
  </si>
  <si>
    <t>기업결합을 통한 취득</t>
    <phoneticPr fontId="1" type="noConversion"/>
  </si>
  <si>
    <t>재평가에 의한 증가 또는 감소</t>
    <phoneticPr fontId="1" type="noConversion"/>
  </si>
  <si>
    <t xml:space="preserve"> ㈒ </t>
    <phoneticPr fontId="1" type="noConversion"/>
  </si>
  <si>
    <t>유형자산 문단10.42에 의한 손상차손과 손상차손환입</t>
    <phoneticPr fontId="1" type="noConversion"/>
  </si>
  <si>
    <t>감가상각액</t>
    <phoneticPr fontId="1" type="noConversion"/>
  </si>
  <si>
    <t xml:space="preserve"> ㈓ </t>
    <phoneticPr fontId="1" type="noConversion"/>
  </si>
  <si>
    <t>기타 장부금액의 증감</t>
    <phoneticPr fontId="1" type="noConversion"/>
  </si>
  <si>
    <t xml:space="preserve"> ㈔ </t>
    <phoneticPr fontId="1" type="noConversion"/>
  </si>
  <si>
    <t>차입원가자본화에 의해 자본화된 금액</t>
    <phoneticPr fontId="1" type="noConversion"/>
  </si>
  <si>
    <t xml:space="preserve">⑺ </t>
    <phoneticPr fontId="1" type="noConversion"/>
  </si>
  <si>
    <t>보유토지(유형자산의 토지, 투자자산의 투자부동산)의 공시지가</t>
    <phoneticPr fontId="1" type="noConversion"/>
  </si>
  <si>
    <t xml:space="preserve">⑻ </t>
    <phoneticPr fontId="1" type="noConversion"/>
  </si>
  <si>
    <t>소유권이 제한되거나 담보로 제공된 유형자산의 내용과 금액</t>
    <phoneticPr fontId="1" type="noConversion"/>
  </si>
  <si>
    <t>유형자산과 관련된 추정 복구비용의 내용, 추정방법, 금액</t>
    <phoneticPr fontId="1" type="noConversion"/>
  </si>
  <si>
    <t>건설중인 자산에 대한 당기 지출액</t>
    <phoneticPr fontId="1" type="noConversion"/>
  </si>
  <si>
    <t>유형자산을 취득하기 위한 약정액</t>
    <phoneticPr fontId="1" type="noConversion"/>
  </si>
  <si>
    <t>손상차손 및 손상차손환입을 발생시킨 주요 사건과 상황</t>
    <phoneticPr fontId="1" type="noConversion"/>
  </si>
  <si>
    <t>회계기간 중 당기손익으로 인식한 손상차손/환입금액과 당해 손상차손/환입이 포함된 손익계산서 항목</t>
    <phoneticPr fontId="1" type="noConversion"/>
  </si>
  <si>
    <t>회계기간 중 기타포괄손익으로 인식한 손상차손/환입금액</t>
    <phoneticPr fontId="1" type="noConversion"/>
  </si>
  <si>
    <t>일시 운휴 중인 유형자산의 장부가액</t>
    <phoneticPr fontId="1" type="noConversion"/>
  </si>
  <si>
    <t>감가상각이 완료되었으나 아직 사용중인 유형자산의 잔존가액 또는 비망가액의 총액</t>
    <phoneticPr fontId="1" type="noConversion"/>
  </si>
  <si>
    <t>사용이 중지되어 처분예정인 유형자산의 장부가액</t>
    <phoneticPr fontId="1" type="noConversion"/>
  </si>
  <si>
    <t xml:space="preserve">재평가기준일 </t>
    <phoneticPr fontId="1" type="noConversion"/>
  </si>
  <si>
    <t>독립적인 평가인이 평가에 참여했는지 여부</t>
    <phoneticPr fontId="1" type="noConversion"/>
  </si>
  <si>
    <t>해당 자산의 공정가액 추정에 사용한 방법과 중요한 가정</t>
    <phoneticPr fontId="1" type="noConversion"/>
  </si>
  <si>
    <t>해당 유형자산의 공정가액이 시장에서 관측 가능하거나 독립적인 제3자와의 최근 시장거래가격에 직접 기초하여 결정된 정도 또는 다른 가치평가기법을 사용하여 추정된 정도</t>
    <phoneticPr fontId="1" type="noConversion"/>
  </si>
  <si>
    <t xml:space="preserve">재평가된 유형자산의 분류별로 원가모형으로 평가되었을 경우 장부가액 </t>
    <phoneticPr fontId="1" type="noConversion"/>
  </si>
  <si>
    <t>재평가 관련 기타포괄손익의 변동</t>
    <phoneticPr fontId="1" type="noConversion"/>
  </si>
  <si>
    <t>2.1.9 무형자산</t>
    <phoneticPr fontId="1" type="noConversion"/>
  </si>
  <si>
    <t>재무제표를 표시통화로 환산할 때 발생하는 순외환차이와 해외사업장을 기업의 표시통화로 환산할 때 발생하는 순외환차이</t>
    <phoneticPr fontId="1" type="noConversion"/>
  </si>
  <si>
    <t xml:space="preserve">⑼ </t>
    <phoneticPr fontId="1" type="noConversion"/>
  </si>
  <si>
    <t>내용연수가 20년을 초과하는 경우 그 근거 및 내용연수 결정에 고려한 요소</t>
    <phoneticPr fontId="1" type="noConversion"/>
  </si>
  <si>
    <t>권리가 제한되어있는 무형자산과 담보제공 무형자산의 장부가액</t>
    <phoneticPr fontId="1" type="noConversion"/>
  </si>
  <si>
    <t>무형자산의 취득에 대한 약정사항 및 금액</t>
    <phoneticPr fontId="1" type="noConversion"/>
  </si>
  <si>
    <t>중요한 개별 무형자산의 내용, 장부가액 및 잔존상각기간</t>
    <phoneticPr fontId="1" type="noConversion"/>
  </si>
  <si>
    <t>무형자산 장부가액의 변동내용</t>
    <phoneticPr fontId="1" type="noConversion"/>
  </si>
  <si>
    <t>무형자산의 상각액이 포함되어 있는 손익계산서의 계정과목과 상각금액</t>
    <phoneticPr fontId="1" type="noConversion"/>
  </si>
  <si>
    <t>기초와 기말의 총장부가액, 상각누계액 및 손상차손누계액</t>
    <phoneticPr fontId="1" type="noConversion"/>
  </si>
  <si>
    <t>상각방법, 내용연수 또는 상각률 및 잔존가치</t>
    <phoneticPr fontId="1" type="noConversion"/>
  </si>
  <si>
    <t>회계기간 중 당기손익으로 인식한 손상차손/환입금액과 당해 손상차손/환입이 포함된 손익계산서 항목</t>
    <phoneticPr fontId="1" type="noConversion"/>
  </si>
  <si>
    <t>회계기간 중 기타포괄손익으로 인식한 손상차손/환입금액</t>
    <phoneticPr fontId="1" type="noConversion"/>
  </si>
  <si>
    <t>2.1.10 자산공통</t>
    <phoneticPr fontId="1" type="noConversion"/>
  </si>
  <si>
    <t>회계기간중 자본화된 차입원가의 금액과 내용</t>
    <phoneticPr fontId="1" type="noConversion"/>
  </si>
  <si>
    <t>외화차입금에 대한 차입원가의 조정으로 간주한 외환차이의 금액과 내용</t>
    <phoneticPr fontId="1" type="noConversion"/>
  </si>
  <si>
    <t>손상차손 또는 손상차손환입을 발생시킨 사건과 상황</t>
    <phoneticPr fontId="1" type="noConversion"/>
  </si>
  <si>
    <t>인식한 손상차손금액 또는 손상차손환입금액</t>
    <phoneticPr fontId="1" type="noConversion"/>
  </si>
  <si>
    <t>현금창출단위에 대한 설명</t>
    <phoneticPr fontId="1" type="noConversion"/>
  </si>
  <si>
    <t>손상차손 및 손상차손환입에 의해 영향을 받는 주요 자산 유형</t>
    <phoneticPr fontId="1" type="noConversion"/>
  </si>
  <si>
    <t>손상차손 및 손상차손환입을 발생시킨 사건과 상황</t>
    <phoneticPr fontId="1" type="noConversion"/>
  </si>
  <si>
    <t>2.2 부채</t>
    <phoneticPr fontId="1" type="noConversion"/>
  </si>
  <si>
    <t>2.2.1 사채와 차입금</t>
    <phoneticPr fontId="1" type="noConversion"/>
  </si>
  <si>
    <t>2.2.2 복합금융상품</t>
    <phoneticPr fontId="1" type="noConversion"/>
  </si>
  <si>
    <t>2.2.3 금융부채</t>
    <phoneticPr fontId="1" type="noConversion"/>
  </si>
  <si>
    <t>2.2.4 퇴직급여충당부채</t>
    <phoneticPr fontId="1" type="noConversion"/>
  </si>
  <si>
    <t>3. 차입약정의 유의적인 위반사항</t>
    <phoneticPr fontId="1" type="noConversion"/>
  </si>
  <si>
    <t>전환사채, 신주인수권부사채 등 복합금융상품을 발행한 경우에는 발행가액, 권리행사조건(행사가격, 행사기간 등), 특약사항, 담보 또는 보증 제공 내역 등 기존 주주의 이해에 관계되는 중요한 사항</t>
    <phoneticPr fontId="1" type="noConversion"/>
  </si>
  <si>
    <t>회계기간 중 전환권 및 신주인수권의 행사로 발행된 주식의 수, 전환된 누적주식수 및 미전환된 잔여주식수 등</t>
    <phoneticPr fontId="1" type="noConversion"/>
  </si>
  <si>
    <t>정관으로 기초 또는 기말에 행사된 것으로 간주하는 경우에는 그 내용</t>
    <phoneticPr fontId="1" type="noConversion"/>
  </si>
  <si>
    <t>제도의 유형에 대한 일반적 설명</t>
    <phoneticPr fontId="1" type="noConversion"/>
  </si>
  <si>
    <t>보고기간말 현재 전임직원의 퇴직금소요액과 퇴직급여충당부채의 설정잔액 및 기중의 퇴직금지급액과 임원퇴직금의 처리방법</t>
    <phoneticPr fontId="1" type="noConversion"/>
  </si>
  <si>
    <t>퇴직연금미지급금의 당기 변동내역</t>
    <phoneticPr fontId="1" type="noConversion"/>
  </si>
  <si>
    <t>단체퇴직보험, 종업원퇴직보험 및 퇴직보험에 대한 주요 계약내용</t>
    <phoneticPr fontId="1" type="noConversion"/>
  </si>
  <si>
    <t>확정기여제도와 관련하여 비용으로 인식한 금액</t>
    <phoneticPr fontId="1" type="noConversion"/>
  </si>
  <si>
    <t>퇴직연금운용자산의 공정가치 및 기중 변동내역</t>
    <phoneticPr fontId="1" type="noConversion"/>
  </si>
  <si>
    <t>2.3 자산부채공통</t>
    <phoneticPr fontId="1" type="noConversion"/>
  </si>
  <si>
    <t>자산과 부채의 성격</t>
    <phoneticPr fontId="1" type="noConversion"/>
  </si>
  <si>
    <t>보고기간종료일 현재의 자산과 부채의 장부금액</t>
    <phoneticPr fontId="1" type="noConversion"/>
  </si>
  <si>
    <t>위⑵의 장부금액이 차기에 유의적으로 조정될 가능성이 있다는 사실</t>
    <phoneticPr fontId="1" type="noConversion"/>
  </si>
  <si>
    <t>당기손익으로 인식한 외화환산손익과 외환차손익 금액</t>
    <phoneticPr fontId="1" type="noConversion"/>
  </si>
  <si>
    <t>기타포괄손익으로 인식하고 별도의 자본항목에 누계한 순외환차이, 기초와 기말금액 및 그 변동 내역</t>
    <phoneticPr fontId="1" type="noConversion"/>
  </si>
  <si>
    <t>표시통화와 기능통화가 다른 경우에는 그 사실과 이유 및 기능통화의 명칭</t>
    <phoneticPr fontId="1" type="noConversion"/>
  </si>
  <si>
    <t>보고기업이나 유의적인 해외사업장의 기능통화가 변경된 경우에는 그 사실과 이유</t>
    <phoneticPr fontId="1" type="noConversion"/>
  </si>
  <si>
    <t>매매목적 또는 위험회계가 적용되지 않은 위험회피목적 파생상품의 경우 관련사항 주석으로 기재</t>
    <phoneticPr fontId="1" type="noConversion"/>
  </si>
  <si>
    <t>거래목적</t>
    <phoneticPr fontId="1" type="noConversion"/>
  </si>
  <si>
    <t>거래목적을 이해하는 데 필요한 사항(경제적 실제가 부담하고 있는 위험의 본질 및 원천 그리고 이러한 위험에 대한 경제적 실체의 대응정책 등)</t>
    <phoneticPr fontId="1" type="noConversion"/>
  </si>
  <si>
    <t xml:space="preserve">공정가액 위험회피회계가 적용되는 경우에는 회피대상위험별로 위 (1)이외에 관련사항 주석 </t>
    <phoneticPr fontId="1" type="noConversion"/>
  </si>
  <si>
    <t>위험회피의 불완전성으로 인하여 당기손익으로 인식하는 금액 및 그 계정과목</t>
    <phoneticPr fontId="1" type="noConversion"/>
  </si>
  <si>
    <t>확정계약에 대한 위험회피회계가 중단됨으로써 이미 자산·부채로 인식한 확정계약 을 전액 제거하고 이를 당기손익에 반영하는 경우 그 금액 및 내역</t>
    <phoneticPr fontId="1" type="noConversion"/>
  </si>
  <si>
    <t>현금흐름 위험회피회계가 적용되는 경우에는 회피대상위험별로 ⑴ 및 ⑵ ㈎ 이외에 관련사항 주석</t>
    <phoneticPr fontId="1" type="noConversion"/>
  </si>
  <si>
    <t>위험회피대상 예상거래가 더 이상 발생하지 않을 것으로 예상되어 현금흐름위험회피회계가 중단됨으로써 이미 기타포괄손익누계액으로 인식된 파생상품평가손익을 즉시 당기손익으로 인식하는 경우 그 금액 및 내역</t>
    <phoneticPr fontId="1" type="noConversion"/>
  </si>
  <si>
    <t xml:space="preserve"> ㈑ </t>
    <phoneticPr fontId="1" type="noConversion"/>
  </si>
  <si>
    <t>위험회피대상 예상거래로 인하여 현금흐름 변동위험에 노출되는 예상최장기간</t>
    <phoneticPr fontId="1" type="noConversion"/>
  </si>
  <si>
    <t>기타포괄손익누계액에 인식된 파생상품평가손익 중 결산일로부터 12개월 이내에 당기손익으로 인식할 것으로 예상되는 금액</t>
    <phoneticPr fontId="1" type="noConversion"/>
  </si>
  <si>
    <t>기타포괄손익누계액에 인식된 파생상품평가손익을 위험회피대상 예상거래가 당기손익에 영향을 미치는 회계연도에 당기손익으로 인식하는 경우, 위험회피대상 예상거래가 당기손익에 영향을 미치게 되는 거래 또는 회계사건의 내역</t>
    <phoneticPr fontId="1" type="noConversion"/>
  </si>
  <si>
    <t>신용파생상품거래의 계약 내역, 재무제표에 반영된 손실예상액. 손실예상액을 합리적이고 객관적으로 추정할 수 없는 경우에는 채무불이행가능성 및 보증대상자산의 평가손익 등</t>
    <phoneticPr fontId="1" type="noConversion"/>
  </si>
  <si>
    <t>해외사업순투자위험회피회계가 적용되는 경우 위 ⑴ 및 ⑵㈎를 공시</t>
    <phoneticPr fontId="1" type="noConversion"/>
  </si>
  <si>
    <t>매매목적 파생상품평가손익과 위험회피목적 파생상품평가손익을 구분표시(그 성질이나 금액이 중요한 경우 파생상품별로 구분하여 기재하고, 평가이익과 평가손실은 상계하지 않고 총액으로 표시한다)</t>
    <phoneticPr fontId="1" type="noConversion"/>
  </si>
  <si>
    <t xml:space="preserve">⑸ </t>
    <phoneticPr fontId="1" type="noConversion"/>
  </si>
  <si>
    <t>신용파생상품 관련하여 다음 사항을 주석 기재</t>
    <phoneticPr fontId="1" type="noConversion"/>
  </si>
  <si>
    <t xml:space="preserve">⑹ </t>
    <phoneticPr fontId="1" type="noConversion"/>
  </si>
  <si>
    <t>은행, 증권, 보험, 선물회사 등의 경우 파생상품자기거래의 미결제약정분에 대한 계약금액(계약단위의 수량)을 파생상품별로 관련사항 주석공시</t>
    <phoneticPr fontId="1" type="noConversion"/>
  </si>
  <si>
    <t>⑺</t>
    <phoneticPr fontId="1" type="noConversion"/>
  </si>
  <si>
    <t>정부보조금에 대한 회계정책</t>
    <phoneticPr fontId="1" type="noConversion"/>
  </si>
  <si>
    <t>재무제표에 인식한 정부보조금의 내용</t>
    <phoneticPr fontId="1" type="noConversion"/>
  </si>
  <si>
    <t>정부보조금에 대하여 미이행된 조건 및 우발상황</t>
    <phoneticPr fontId="1" type="noConversion"/>
  </si>
  <si>
    <t>2.4 채권채무조정</t>
    <phoneticPr fontId="1" type="noConversion"/>
  </si>
  <si>
    <t>출자전환채권의 내용(문단 6.96 참조)</t>
    <phoneticPr fontId="1" type="noConversion"/>
  </si>
  <si>
    <t xml:space="preserve">⑶ </t>
    <phoneticPr fontId="1" type="noConversion"/>
  </si>
  <si>
    <t>채권채무조정시점이 속하는 회계연도에 다음사항을 주석으로 기재</t>
    <phoneticPr fontId="1" type="noConversion"/>
  </si>
  <si>
    <t>채권채무조정으로 인한 조건변경 및 변제액</t>
    <phoneticPr fontId="1" type="noConversion"/>
  </si>
  <si>
    <t>채권채무조정과 관련하여 발생한 자산처분손익</t>
    <phoneticPr fontId="1" type="noConversion"/>
  </si>
  <si>
    <t>채무자의 재무상황이 정해진 기간 내에 향상되는 것을 전제로 원금이나 이자로 정해진 금액이 추가되는 약정이 있는 경우 조정된 만기까지 발생할 미래 현금흐름에 추가되는 금액</t>
    <phoneticPr fontId="1" type="noConversion"/>
  </si>
  <si>
    <t>채권채무조정 후에 부수적으로 발생할 가능성이 있는 채무금액과 그러한 채무가 부가되거나 면제될 수 있는 조건</t>
    <phoneticPr fontId="1" type="noConversion"/>
  </si>
  <si>
    <t>출자전환채무의 내용(문단 6.87～문단 6.89 참조)</t>
    <phoneticPr fontId="1" type="noConversion"/>
  </si>
  <si>
    <t xml:space="preserve"> ㈒ </t>
    <phoneticPr fontId="1" type="noConversion"/>
  </si>
  <si>
    <t>당기 발생한 대손상각비</t>
    <phoneticPr fontId="1" type="noConversion"/>
  </si>
  <si>
    <t>채권과 직접 상계한 금액</t>
    <phoneticPr fontId="1" type="noConversion"/>
  </si>
  <si>
    <t>시간의 경과에 따라 이자수익으로 인식한 금액</t>
    <phoneticPr fontId="1" type="noConversion"/>
  </si>
  <si>
    <t>환입을 비롯한 기타 변동액</t>
    <phoneticPr fontId="1" type="noConversion"/>
  </si>
  <si>
    <t>채권채무조정이 발생한 채권의 채무자에게 추가적으로 자금을 대여하기로 한 약정이 있는 경우 동 약정의 내용</t>
    <phoneticPr fontId="1" type="noConversion"/>
  </si>
  <si>
    <t>채권채무조정이 발생한 채권의 대손충당금에 대해서 다음과 같은 변동내용</t>
    <phoneticPr fontId="1" type="noConversion"/>
  </si>
  <si>
    <t>2.5 자본</t>
    <phoneticPr fontId="1" type="noConversion"/>
  </si>
  <si>
    <t>2.5.1 자본</t>
    <phoneticPr fontId="1" type="noConversion"/>
  </si>
  <si>
    <t>2.5.2 주식기준보상</t>
    <phoneticPr fontId="1" type="noConversion"/>
  </si>
  <si>
    <t>3. 재무제표이용자가 회계기간에 제공된 재화나 용역의 공정가치 또는 부여된 지분상품의 공정가치가 어떻게 결정되었는지 이해하는 데 도움이 되는 정보를 주석으로 기재</t>
    <phoneticPr fontId="1" type="noConversion"/>
  </si>
  <si>
    <t xml:space="preserve">회계기간에 존재한 주식기준보상약정의 각 유형에 대한 기술. 이 경우 가득조건, 부여된 주식선택권의 만기, 결 제방식(현금이나 주식) 등과 같은 조건을 각 유형별 기술에 포함함. 실질적으로 비슷한 여러 개의 주식기준보상약정을 통합하여 기술할 수 있음. </t>
    <phoneticPr fontId="1" type="noConversion"/>
  </si>
  <si>
    <t xml:space="preserve">제공받는 재화나 용역이 자산의 인식기준을 충족하지 못해 즉시 비용으로 인식되는 주식기준보상거래로 인해 당해 회계기  간에 인식한 총비용. 이 경우 총비용 중 주식결제형 주식기준보상거래와 관련된 부분을 별도로 구분하여 공시한다. </t>
    <phoneticPr fontId="1" type="noConversion"/>
  </si>
  <si>
    <t xml:space="preserve">⑴ </t>
    <phoneticPr fontId="1" type="noConversion"/>
  </si>
  <si>
    <t>주식기준보상거래와 관련하여 인식한 부채에 대한 다음의 정보</t>
    <phoneticPr fontId="1" type="noConversion"/>
  </si>
  <si>
    <t xml:space="preserve">⑵ </t>
    <phoneticPr fontId="1" type="noConversion"/>
  </si>
  <si>
    <t>보고기간말 현재 총장부금액</t>
    <phoneticPr fontId="1" type="noConversion"/>
  </si>
  <si>
    <t>거래상대방이 보고기간말까지 가득한 현금이나 그 밖의 자산을 받을 수 있는 권리(예: 가득된 주가차액보상권)에 대해 인식한 부채의 보고기간말 현재 총내재가치</t>
    <phoneticPr fontId="1" type="noConversion"/>
  </si>
  <si>
    <t xml:space="preserve">㈏ </t>
    <phoneticPr fontId="1" type="noConversion"/>
  </si>
  <si>
    <t xml:space="preserve">㈎ </t>
    <phoneticPr fontId="1" type="noConversion"/>
  </si>
  <si>
    <t>보고기간말 현재 총장부금액</t>
    <phoneticPr fontId="1" type="noConversion"/>
  </si>
  <si>
    <t>거래상대방이 현금이나 그 밖의 자산을 받을 수 있는 권리(예: 주가차액보상권)를 보고기간말 현재 가득한 경우 당해 권리의 보고기간말 현재 총내재가치. 다만 보고기간말 현재 관련 부채가 결제되지 않은 경우에 한한다.</t>
    <phoneticPr fontId="1" type="noConversion"/>
  </si>
  <si>
    <t>3. 손익계산서 관련 공시</t>
    <phoneticPr fontId="1" type="noConversion"/>
  </si>
  <si>
    <t>2. 재무상태표 관련 공시</t>
    <phoneticPr fontId="1" type="noConversion"/>
  </si>
  <si>
    <t>3.1 매출 및 매출원가</t>
    <phoneticPr fontId="1" type="noConversion"/>
  </si>
  <si>
    <t>3.2 판매비와관리비</t>
    <phoneticPr fontId="1" type="noConversion"/>
  </si>
  <si>
    <t>3.3 부가가치</t>
    <phoneticPr fontId="1" type="noConversion"/>
  </si>
  <si>
    <t>3.4 법인세</t>
    <phoneticPr fontId="1" type="noConversion"/>
  </si>
  <si>
    <t>계속사업손익법인세비용 또는 법인세비용(중단사업이 없는 경우)의 산출내역</t>
    <phoneticPr fontId="1" type="noConversion"/>
  </si>
  <si>
    <t xml:space="preserve">⑴ </t>
    <phoneticPr fontId="1" type="noConversion"/>
  </si>
  <si>
    <t>법인세비용차감전계속사업손익 또는 법인세비용차감전순손익(중단사업손익이 없는 경우)과 법인세비용간의 관계 설명</t>
    <phoneticPr fontId="1" type="noConversion"/>
  </si>
  <si>
    <t>중단사업손익 법인세효과의 계산근거</t>
    <phoneticPr fontId="1" type="noConversion"/>
  </si>
  <si>
    <t>일시적차이 및 이연법인세자산(이연법인세부채)의 증감내역</t>
    <phoneticPr fontId="1" type="noConversion"/>
  </si>
  <si>
    <t>모든 차감할 일시적차이 및 세무상결손금 등에 대한 이연법인세자산 및 이연법인세자산의 실현가능성이 미래 과세소득의 발생여부에 따라 결정되는 경우 실현가능성에 대한 판단에 따라서 인식한 이연법인세자산과 그의 판단근거</t>
    <phoneticPr fontId="1" type="noConversion"/>
  </si>
  <si>
    <t xml:space="preserve">⑸ </t>
    <phoneticPr fontId="1" type="noConversion"/>
  </si>
  <si>
    <t>재무상태표에 이연법인세자산으로 인식되지 아니한 차감할 일시적차이, 미사용 세무상결손금 및 세액공제 등의 금액 및 만기일</t>
    <phoneticPr fontId="1" type="noConversion"/>
  </si>
  <si>
    <t xml:space="preserve">⑹ </t>
    <phoneticPr fontId="1" type="noConversion"/>
  </si>
  <si>
    <t>이연법인세부채로 인식되지 않은 종속회사, 지분법적용 피투자회사, 조인트벤처의 지분에 대한 투자자산(문단 36 참조) 및 사업용 유형자산인 토지(문단 70의2 참조)와 관련된 일시적차이 총액</t>
    <phoneticPr fontId="1" type="noConversion"/>
  </si>
  <si>
    <t xml:space="preserve">⑺ </t>
    <phoneticPr fontId="1" type="noConversion"/>
  </si>
  <si>
    <t xml:space="preserve">⑻ </t>
    <phoneticPr fontId="1" type="noConversion"/>
  </si>
  <si>
    <t>세법의 변경 또는 실현가능성의 변경에 따른 이연법인세자산 및 부채의 변동액</t>
    <phoneticPr fontId="1" type="noConversion"/>
  </si>
  <si>
    <t xml:space="preserve">⑼ </t>
    <phoneticPr fontId="1" type="noConversion"/>
  </si>
  <si>
    <t xml:space="preserve">⑽ </t>
    <phoneticPr fontId="1" type="noConversion"/>
  </si>
  <si>
    <t>세무상결손금과 관련된 다음 사항</t>
    <phoneticPr fontId="1" type="noConversion"/>
  </si>
  <si>
    <t xml:space="preserve">⑾ </t>
    <phoneticPr fontId="1" type="noConversion"/>
  </si>
  <si>
    <t>세무상결손금에 대한 법인세효과를 당기까지 인식하지 않은 경우 이후 회계연도에 반영 가능성 여부</t>
    <phoneticPr fontId="1" type="noConversion"/>
  </si>
  <si>
    <t xml:space="preserve"> ㈏ </t>
    <phoneticPr fontId="1" type="noConversion"/>
  </si>
  <si>
    <t xml:space="preserve"> ㈐ </t>
    <phoneticPr fontId="1" type="noConversion"/>
  </si>
  <si>
    <t>3.5 주당이익</t>
    <phoneticPr fontId="1" type="noConversion"/>
  </si>
  <si>
    <t>4. 문단 26.25의 주석사항 외에 보고기간종료일 후에 발생하였으나 보고기간종료일 이전에 발생하였다면 보통주식수나 잠재적보통주식수를 중요하게 변화시켰을 다음의 예와 같은 사건은 주석으로 기재</t>
    <phoneticPr fontId="1" type="noConversion"/>
  </si>
  <si>
    <t>당기순이익(또는 계속사업이익)에 대한 조정사항 및 가중평균유통보통주식수의 계산내역을 포함한 기본주당이익 산정내용</t>
    <phoneticPr fontId="1" type="noConversion"/>
  </si>
  <si>
    <t>기존주주 등에게 공정가치 미만의 신주발행 등과 같이 주당 공정가치 산정이 필요한 경우 공정가치 측정방법과 공정가치를 결정할 때 사용한 주요 가정(예: 할인율, 중도상환율) 등 재무제표이용자가 공정가치로 측정된 회계정보를 이해하는 데 유용한 정보 (일반기업회계기준 제6장 금융자산·금융부채 문단 6.18 (4) 참조)</t>
    <phoneticPr fontId="1" type="noConversion"/>
  </si>
  <si>
    <t xml:space="preserve">현금에 의한 유상증자 </t>
    <phoneticPr fontId="1" type="noConversion"/>
  </si>
  <si>
    <t>보고기간종료일 현재의 부채나 우선주를 상환하기 위한 주식의 발행</t>
    <phoneticPr fontId="1" type="noConversion"/>
  </si>
  <si>
    <t xml:space="preserve">보통주의 소각 </t>
    <phoneticPr fontId="1" type="noConversion"/>
  </si>
  <si>
    <t>보고기간종료일 현재의 잠재적보통주의 보통주로의 전환 또는 행사</t>
    <phoneticPr fontId="1" type="noConversion"/>
  </si>
  <si>
    <t xml:space="preserve">신주인수권, 옵션, 전환사채, 전환우선주 등의 발행 </t>
    <phoneticPr fontId="1" type="noConversion"/>
  </si>
  <si>
    <t xml:space="preserve">조건부발행보통주에 대한 발행조건의 충족 </t>
    <phoneticPr fontId="1" type="noConversion"/>
  </si>
  <si>
    <t>3.6 포괄손익</t>
    <phoneticPr fontId="1" type="noConversion"/>
  </si>
  <si>
    <t>3.7 중단사업</t>
    <phoneticPr fontId="1" type="noConversion"/>
  </si>
  <si>
    <t>1. 다음 사항을 중단사업에 대한 최초공시사건일이 속하는 회계기간에 주석으로 기재</t>
    <phoneticPr fontId="1" type="noConversion"/>
  </si>
  <si>
    <t xml:space="preserve">중단사업의 내용 </t>
    <phoneticPr fontId="1" type="noConversion"/>
  </si>
  <si>
    <t xml:space="preserve">중단사업이 속하는 사업별 또는 지역별 단위 </t>
    <phoneticPr fontId="1" type="noConversion"/>
  </si>
  <si>
    <t xml:space="preserve">최초공시사건의 일자와 성격 </t>
    <phoneticPr fontId="1" type="noConversion"/>
  </si>
  <si>
    <t xml:space="preserve">중단사업의 처분예정시기 </t>
    <phoneticPr fontId="1" type="noConversion"/>
  </si>
  <si>
    <t xml:space="preserve">보고기간종료일 후에 처분예정인 자산과 부채의 보고기간종료일 현재 장부가액 합계액 </t>
    <phoneticPr fontId="1" type="noConversion"/>
  </si>
  <si>
    <t xml:space="preserve">중단사업손익의 산출내역 </t>
    <phoneticPr fontId="1" type="noConversion"/>
  </si>
  <si>
    <t xml:space="preserve">영업활동, 투자활동 및 재무활동으로부터 발생한 순현금흐름 중 중단사업에 귀속되는 금액 </t>
    <phoneticPr fontId="1" type="noConversion"/>
  </si>
  <si>
    <t xml:space="preserve">⑺ </t>
    <phoneticPr fontId="1" type="noConversion"/>
  </si>
  <si>
    <t>중단사업에 대한 법인세효과</t>
    <phoneticPr fontId="1" type="noConversion"/>
  </si>
  <si>
    <t>2. 보고기간종료일과 재무제표가 사실상 확정된 날 사이에 중단사업에 대한 최초공시사건이 발생한 경우에도 상기 공시요구사항 (1) - (5)에서 요구하는 사항을 주석으로 기재</t>
    <phoneticPr fontId="1" type="noConversion"/>
  </si>
  <si>
    <t>3. 최초공시사건일이 속하는 회계기간이 종료된 후에 중단사업에 속한 자산과 부채를 처분 또는 상환하거나 그에 관한 구속력 있는 매각계약을 체결한 경우에는 당해 거래나 사건이 발생한 기간의 재무제표의 주석에 구속력 있는 매각계약이 체결된 순자산의 순판매가액의 추정치, 매각대금의 예상회수시기 및 당해 순자산의 장부가액을 기재</t>
    <phoneticPr fontId="1" type="noConversion"/>
  </si>
  <si>
    <t>4. 제24장‘보고기간후건’에 의거하여 보고기간종료일과 재무제표가 사실상 확정된 날 사이에 중단사업에 속하는 자산의 일부가 실제로 매각되었거나 그러한 자산이 포함된 구속력 있는 매각계약이 체결되어 관련된 중요한 내용을 주석으로 공시하지 않으면 재무제표이용자의 적절한 평가와 의사결정능력에 영향을 줄 수 있는 경우에는 문단28.14의 사항을 주석 기재</t>
    <phoneticPr fontId="1" type="noConversion"/>
  </si>
  <si>
    <t>5. 문단28.12와 문단28.14에 따른 공시 이외에도 최초공시사건이 발생한 회계기간 후의 기간에 처분될 자산 또는 상환될 부채와 관련한 현금흐름의 규모나 시기에 중요한 변동이 발생하였을 경우에는 변동내용과 그 원인이 되는 사건의 내용을 주석 기재</t>
    <phoneticPr fontId="1" type="noConversion"/>
  </si>
  <si>
    <t>6. 중단사업으로 보고된 사업중단계획을 철회한 경우에는 그 내용과 영향을 주석으로 기재. 이 경우 주석에는 전년도에 사업중단계획에 의해 인식한 사업중단직접비용 및 중단사업자산손상차손의 환입에 대한 내용이 포함됨</t>
    <phoneticPr fontId="1" type="noConversion"/>
  </si>
  <si>
    <t>7. 다수의중단사업이 있는 경우의 주석공시는 중단사업별로 각각 적용</t>
    <phoneticPr fontId="1" type="noConversion"/>
  </si>
  <si>
    <t>8. 최초공시사건일이 속하는 회계기간의 재무제표에 비교목적으로 제시되는 과거기간의 재무제표는 중단사업에서 발생한 손익을 중단사업손익으로 구분하여 보고함. 이때 중단사업손익의 산출내역을 주석으로 기재</t>
    <phoneticPr fontId="1" type="noConversion"/>
  </si>
  <si>
    <t>4. 현금흐름표 관련 공시</t>
    <phoneticPr fontId="1" type="noConversion"/>
  </si>
  <si>
    <t>현금의 유입과 유출이 없는 거래</t>
    <phoneticPr fontId="1" type="noConversion"/>
  </si>
  <si>
    <t>직접법으로 작성한 경우에는 당기순이익(당기순손실)과 당기순이익(당기순손실)에 가감할 항목에 관한 사항</t>
    <phoneticPr fontId="1" type="noConversion"/>
  </si>
  <si>
    <t>5. 기타 공시사항</t>
    <phoneticPr fontId="1" type="noConversion"/>
  </si>
  <si>
    <t>5.1 우발사항</t>
    <phoneticPr fontId="1" type="noConversion"/>
  </si>
  <si>
    <t>일반기준 2.73</t>
    <phoneticPr fontId="1" type="noConversion"/>
  </si>
  <si>
    <t>기초와 기말 장부금액 및 당기 증감 내용</t>
    <phoneticPr fontId="1" type="noConversion"/>
  </si>
  <si>
    <t>충당부채의 성격과 자원의 유출이 예상되는 시기</t>
    <phoneticPr fontId="1" type="noConversion"/>
  </si>
  <si>
    <t>유출될 자원의 금액과 시기에 대한 불확실성 정도(필요한 경우, 관련된 미래사건에 대한 중요한 가정 포함</t>
    <phoneticPr fontId="1" type="noConversion"/>
  </si>
  <si>
    <t>제3자에 의한 변제 기대금액 및 그와 관련하여 인식한 자산 금액</t>
    <phoneticPr fontId="1" type="noConversion"/>
  </si>
  <si>
    <t>현재가치로 평가한 충당부채의 기간 경과에 따른 당기 증가금액 및 할인율 변동에 따른 효과</t>
    <phoneticPr fontId="1" type="noConversion"/>
  </si>
  <si>
    <t>의무를 이행하기 위하여 자원이 유출될 가능성이 아주 낮지 않는 한, 우발부채는 유형별로 그 성격을 주석에 설명하고 가능하면 다음의 내용을 주석에 기재</t>
    <phoneticPr fontId="1" type="noConversion"/>
  </si>
  <si>
    <t>우발부채의 추정금액</t>
    <phoneticPr fontId="1" type="noConversion"/>
  </si>
  <si>
    <t xml:space="preserve"> ㈎ </t>
    <phoneticPr fontId="1" type="noConversion"/>
  </si>
  <si>
    <t>자원의 유출 금액 및 시기와 관련된 불확실성 정도</t>
    <phoneticPr fontId="1" type="noConversion"/>
  </si>
  <si>
    <t>제3자에 의한 변제의 가능성</t>
    <phoneticPr fontId="1" type="noConversion"/>
  </si>
  <si>
    <t>다음의 경우에는 의무를 이행하기 위한 자원의 유출 가능성이 거의 없더라도 그 내용을 주석으로 공시</t>
    <phoneticPr fontId="1" type="noConversion"/>
  </si>
  <si>
    <t>타인에게 제공한 지급보증 또는 이와 유사한 보증</t>
    <phoneticPr fontId="1" type="noConversion"/>
  </si>
  <si>
    <t>중요한 계류중인 소송사건</t>
    <phoneticPr fontId="1" type="noConversion"/>
  </si>
  <si>
    <t xml:space="preserve">제14장에서 요구하는 모든 사항 또는 일부 사항을 주석에 기재하는 것이 당해 충당부채, 우발부채 및 우발자산과 관련하여 진행 중인 상대방과의 분쟁에 현저하게 불리한 영향을 미칠 것으로 예상되어 주석 공시를 생략한 경우, 그 분쟁의 개괄적인 성격과 주석공시를 생략한 사실 등 </t>
    <phoneticPr fontId="1" type="noConversion"/>
  </si>
  <si>
    <t xml:space="preserve">⑶ </t>
    <phoneticPr fontId="1" type="noConversion"/>
  </si>
  <si>
    <t>자원의 유입 가능성이 매우 높은 우발자산은 성격을 주석에 설명하고, 가능하면 우발자산의 추정금액도 포함하여 주석에 기재</t>
    <phoneticPr fontId="1" type="noConversion"/>
  </si>
  <si>
    <t xml:space="preserve">우발부채와 우발자산에 대하여 실무적인 이유로 공시하지 못한 경우에는 그 사유 </t>
    <phoneticPr fontId="1" type="noConversion"/>
  </si>
  <si>
    <t>⑷</t>
    <phoneticPr fontId="1" type="noConversion"/>
  </si>
  <si>
    <t>담보로 제공한 재고자산의 종류와 금액</t>
    <phoneticPr fontId="1" type="noConversion"/>
  </si>
  <si>
    <t>담보로 제공한 유가증권의 중요한 담보약정 내용</t>
    <phoneticPr fontId="1" type="noConversion"/>
  </si>
  <si>
    <t>소유권이 제한되거나 담보로 제공된 유형자산의 내용과 금액</t>
    <phoneticPr fontId="1" type="noConversion"/>
  </si>
  <si>
    <t>권리가 제한되어 있는 무형자산과 담보제공 무형자산의 장부가액</t>
    <phoneticPr fontId="1" type="noConversion"/>
  </si>
  <si>
    <t>5.2 특수관계자</t>
    <phoneticPr fontId="1" type="noConversion"/>
  </si>
  <si>
    <t xml:space="preserve">지배.종속회사간의 특수관계는 거래의 유무와 관계없이 주석으로 기재한다. 기업은 지배회사의 명칭과 최상위지배자의 명칭(지배회사와 다른 경우)을 주석으로 기재한다. 지배회사와 최상위지배자가 외부공표용 연결재무제표를 작성하지 않는 경우, 이를 작성하는 그 가장 가까운 상위의 지배회사의 명칭도 주석으로 기재한다. (가장 가까운 상위의 지배회사는 연결실체 내에서 직상위 지배회사보다 상위에 있으며 외부공표용 연결재무제표를 작성하는 지배회사중 가장 하위에 있는 지배회사) </t>
    <phoneticPr fontId="1" type="noConversion"/>
  </si>
  <si>
    <t>주식기준보상</t>
    <phoneticPr fontId="1" type="noConversion"/>
  </si>
  <si>
    <t xml:space="preserve">⑸ </t>
    <phoneticPr fontId="1" type="noConversion"/>
  </si>
  <si>
    <t>단기종업원급여</t>
    <phoneticPr fontId="1" type="noConversion"/>
  </si>
  <si>
    <t>퇴직후급여</t>
    <phoneticPr fontId="1" type="noConversion"/>
  </si>
  <si>
    <t>기타 장기종업원급여</t>
    <phoneticPr fontId="1" type="noConversion"/>
  </si>
  <si>
    <t>해고급여</t>
    <phoneticPr fontId="1" type="noConversion"/>
  </si>
  <si>
    <t>거래금액</t>
    <phoneticPr fontId="1" type="noConversion"/>
  </si>
  <si>
    <t>채권․채무 잔액</t>
    <phoneticPr fontId="1" type="noConversion"/>
  </si>
  <si>
    <t xml:space="preserve">그 채권․채무에 대한 보증 여부 및 결제시 제공될 대가의 성격을 포함한 계약 조건 </t>
    <phoneticPr fontId="1" type="noConversion"/>
  </si>
  <si>
    <t>그 채권․채무에 대하여 제공하거나 제공받은 보증의 상세내역</t>
    <phoneticPr fontId="1" type="noConversion"/>
  </si>
  <si>
    <t>채권잔액에 대하여 설정된 대손충당금</t>
    <phoneticPr fontId="1" type="noConversion"/>
  </si>
  <si>
    <t>채권에 대하여 당해기간중 인식된 대손상각비</t>
    <phoneticPr fontId="1" type="noConversion"/>
  </si>
  <si>
    <t>당해 기업 또는 당해 기업의 지배회사의 주요경영진</t>
    <phoneticPr fontId="1" type="noConversion"/>
  </si>
  <si>
    <t>기타 특수관계자</t>
    <phoneticPr fontId="1" type="noConversion"/>
  </si>
  <si>
    <t xml:space="preserve">⑺ </t>
    <phoneticPr fontId="1" type="noConversion"/>
  </si>
  <si>
    <t>지배회사</t>
    <phoneticPr fontId="1" type="noConversion"/>
  </si>
  <si>
    <t>당해 기업을 공동지배하는 회사 또는 당해 기업에 중대한 영향력을 행사하는 회사</t>
    <phoneticPr fontId="1" type="noConversion"/>
  </si>
  <si>
    <t>종속회사</t>
    <phoneticPr fontId="1" type="noConversion"/>
  </si>
  <si>
    <t>지분법피투자회사</t>
    <phoneticPr fontId="1" type="noConversion"/>
  </si>
  <si>
    <t>당해 기업이 참여자인 조인트벤처</t>
    <phoneticPr fontId="1" type="noConversion"/>
  </si>
  <si>
    <t>담보 또는 보증의 제공</t>
    <phoneticPr fontId="1" type="noConversion"/>
  </si>
  <si>
    <t>⑻</t>
    <phoneticPr fontId="1" type="noConversion"/>
  </si>
  <si>
    <t xml:space="preserve">⑼ </t>
    <phoneticPr fontId="1" type="noConversion"/>
  </si>
  <si>
    <t xml:space="preserve">⑽ </t>
    <phoneticPr fontId="1" type="noConversion"/>
  </si>
  <si>
    <t>매출․매입거래</t>
    <phoneticPr fontId="1" type="noConversion"/>
  </si>
  <si>
    <t>6. 특수관계자거래가 독립 당사자간의 거래 조건에 따라 이루어졌다고 공시하고자 하는 경우에는 그에 대해 입증할 수 있는 경우에 한하여 동 거래가 그러한 조건으로 이루어졌다는 사실을 주석으로 기재</t>
    <phoneticPr fontId="1" type="noConversion"/>
  </si>
  <si>
    <t>일반기준 25.10</t>
    <phoneticPr fontId="1" type="noConversion"/>
  </si>
  <si>
    <t>유형자산 등의 구입․처분</t>
    <phoneticPr fontId="1" type="noConversion"/>
  </si>
  <si>
    <t>용역거래</t>
    <phoneticPr fontId="1" type="noConversion"/>
  </si>
  <si>
    <t>리스거래</t>
    <phoneticPr fontId="1" type="noConversion"/>
  </si>
  <si>
    <t>연구개발의 이전</t>
    <phoneticPr fontId="1" type="noConversion"/>
  </si>
  <si>
    <t>라이선스계약하의 이전</t>
    <phoneticPr fontId="1" type="noConversion"/>
  </si>
  <si>
    <t>대여와 현금 또는 현물의 출자를 포함하는 금융약정상의 이전</t>
    <phoneticPr fontId="1" type="noConversion"/>
  </si>
  <si>
    <t>기업이 특수관계자의 부채를 대신하여 상환한 거래 또는 특수관계자가 기업의 부채를 대신하여 상환한 거래</t>
    <phoneticPr fontId="1" type="noConversion"/>
  </si>
  <si>
    <t>연결실체에 속하는 기업사이에 위험을 공유하는 확정급여제도에 지배기업이나 종속기업이 참여하는 것</t>
    <phoneticPr fontId="1" type="noConversion"/>
  </si>
  <si>
    <t>5.3 보고기간 후 사건</t>
    <phoneticPr fontId="1" type="noConversion"/>
  </si>
  <si>
    <t>2.보고기간종료일 현재 존재하였던 상황에 대한 정보를 보고기간종료일 후에 추가로 입수한 경우에는 그 정보를 반영하여 공시 내용을 수정한다.</t>
    <phoneticPr fontId="1" type="noConversion"/>
  </si>
  <si>
    <t>주요한 사업결합 또는 종속회사나 사업부문의 처분</t>
    <phoneticPr fontId="1" type="noConversion"/>
  </si>
  <si>
    <t>사업중단 계획의 발표, 자산의 처분이나 사업중단에 따른 부채의 상환, 또는 이들 자산의 매각과 부채의 상환에 대한 구속력 있는 계약의 체결</t>
    <phoneticPr fontId="1" type="noConversion"/>
  </si>
  <si>
    <t>주요 자산의 구입 및 매각 또는 정부에 의한 주요 자산의 몰수</t>
    <phoneticPr fontId="1" type="noConversion"/>
  </si>
  <si>
    <t>화재 등 재해로 인한 주요 생산설비의 손실</t>
    <phoneticPr fontId="1" type="noConversion"/>
  </si>
  <si>
    <t>주요한 구조조정계획의 발표 또는 구조조정의 착수</t>
    <phoneticPr fontId="1" type="noConversion"/>
  </si>
  <si>
    <t>주요한 보통주의 거래와 전환증권의 거래</t>
    <phoneticPr fontId="1" type="noConversion"/>
  </si>
  <si>
    <t>자산가격 또는 환율의 비정상적인 변동</t>
    <phoneticPr fontId="1" type="noConversion"/>
  </si>
  <si>
    <t>법인세비용과 이연법인세에 유의적인 영향을 미치는 세법 또는 세율의 변경 또는 변경예고</t>
    <phoneticPr fontId="1" type="noConversion"/>
  </si>
  <si>
    <t>유의적인 지급보증과 같은 우발채무의 발생 또는 유의적인 계약의 체결</t>
    <phoneticPr fontId="1" type="noConversion"/>
  </si>
  <si>
    <t>보고기간 후의 사건에만 관련되어 제기된 주요한 소송의 개시</t>
    <phoneticPr fontId="1" type="noConversion"/>
  </si>
  <si>
    <t>재무제표가 계속기업의 전제에 기초하여 작성되지 않은 경우</t>
    <phoneticPr fontId="1" type="noConversion"/>
  </si>
  <si>
    <t>계속기업으로서의 존속 가능성에 대해 심각한 의문을 제기할 수 있는 사건 또는 상황이 발생하였거나, 발생할 가능성이 있는 경우</t>
    <phoneticPr fontId="1" type="noConversion"/>
  </si>
  <si>
    <t>차입약정 위반을 해소할 수 있도록 보고기간종료일로부터 1년을 초과하는 유예기간을 획득</t>
    <phoneticPr fontId="1" type="noConversion"/>
  </si>
  <si>
    <t>차입약정 위반의 해소</t>
    <phoneticPr fontId="1" type="noConversion"/>
  </si>
  <si>
    <t>장기채무로의 차환(또는 만기연장)</t>
    <phoneticPr fontId="1" type="noConversion"/>
  </si>
  <si>
    <t>5.4 기타</t>
    <phoneticPr fontId="1" type="noConversion"/>
  </si>
  <si>
    <t>4. 주석은 재무제표 본문에 표시되는 항목에 관한 설명이나 금액의 세부내역뿐 아니라 우발상황 또는 약정사항과 같이 재무제표에 인식되지 않는 항목에 대한 추가 정보를 포함하여야 함</t>
    <phoneticPr fontId="1" type="noConversion"/>
  </si>
  <si>
    <t>1. 재무제표의 기간별 비교가능성을 제고하기 위하여 전기 재무제표의 모든 계량정보를 당기와 비교하는 형식으로 표시한다. 또, 전기 재무제표의 비계량정보가 당기 재무제표를 이해하는 데 필요한 경우에는 이를 당기의 정보와 비교하여 주석에 기재</t>
    <phoneticPr fontId="1" type="noConversion"/>
  </si>
  <si>
    <t>6. 해당사항 있는 경우</t>
    <phoneticPr fontId="1" type="noConversion"/>
  </si>
  <si>
    <t>6.1 회계변경</t>
    <phoneticPr fontId="1" type="noConversion"/>
  </si>
  <si>
    <t>회계정책 변경의 내용과 그 근거</t>
    <phoneticPr fontId="1" type="noConversion"/>
  </si>
  <si>
    <t>회계정책의 변경이 당기 재무제표에 미치는 영향</t>
    <phoneticPr fontId="1" type="noConversion"/>
  </si>
  <si>
    <t>회계정책의 변경으로 인한 비교재무제표상의 수정금액</t>
    <phoneticPr fontId="1" type="noConversion"/>
  </si>
  <si>
    <t xml:space="preserve">비교재무제표가 재작성되었다는 사실 </t>
    <phoneticPr fontId="1" type="noConversion"/>
  </si>
  <si>
    <t>회계변경연도와 비교표시된 각 과거기간에 대하여 재계산된 계속사업손익, 당기순이익 및 기타 중요변동항목의 내역</t>
    <phoneticPr fontId="1" type="noConversion"/>
  </si>
  <si>
    <t>6.2 전기오류수정</t>
    <phoneticPr fontId="1" type="noConversion"/>
  </si>
  <si>
    <t>중대한 오류로 판단한 근거</t>
    <phoneticPr fontId="1" type="noConversion"/>
  </si>
  <si>
    <t>비교재무제표에 표시된 과거회계기간에 대한 수정금액</t>
    <phoneticPr fontId="1" type="noConversion"/>
  </si>
  <si>
    <t>비교재무제표가 재작성되었다는 사실</t>
    <phoneticPr fontId="1" type="noConversion"/>
  </si>
  <si>
    <t>중대한 오류가 발생한 연도와 그 오류의 영향을 받는 연도별로 재계산된 계속사업손익, 당기순이익 및 기타 중요변동항목의 내용</t>
    <phoneticPr fontId="1" type="noConversion"/>
  </si>
  <si>
    <t>6.3 재무제표 항목의 표시나 분류방법의 변경</t>
    <phoneticPr fontId="1" type="noConversion"/>
  </si>
  <si>
    <t>6.4 중소기업</t>
    <phoneticPr fontId="1" type="noConversion"/>
  </si>
  <si>
    <t>거래목적</t>
    <phoneticPr fontId="1" type="noConversion"/>
  </si>
  <si>
    <t>거래목적을 이해하는 데 필요한 사항(경제적 실체가 부담하고 있는 위험의 본질 및 원천 그리고 이러한 위험에 대한 경제적 실체의 대응정책 등)</t>
    <phoneticPr fontId="1" type="noConversion"/>
  </si>
  <si>
    <t>계약에 관한 일반적인 사항(계약수량, 약정환율 등)</t>
    <phoneticPr fontId="1" type="noConversion"/>
  </si>
  <si>
    <t>평가일 시점의 공정가치. 다만, 공정가치를 측정할 수 없는 경우에는 그 이유</t>
    <phoneticPr fontId="1" type="noConversion"/>
  </si>
  <si>
    <t>회계기간에 존재한 주식기준보상약정의 각 유형에 대한 기술. 이 경우 가득조건, 부여된 주식선택권의 만기, 결제방식 등의 조건을 각 유형별로 기재</t>
    <phoneticPr fontId="1" type="noConversion"/>
  </si>
  <si>
    <t>다음 각각에 대한 주식선택권의 수량과 가중평균행사가격. 다음의 주석사항은 주가차액보상권(주식결제형 또는 현금결제형)에 대해서도 동일하게 적용</t>
    <phoneticPr fontId="1" type="noConversion"/>
  </si>
  <si>
    <t>회계기간에 상실된 주식선택권</t>
    <phoneticPr fontId="1" type="noConversion"/>
  </si>
  <si>
    <t>회계기간에 행사된 주식선택권</t>
    <phoneticPr fontId="1" type="noConversion"/>
  </si>
  <si>
    <t xml:space="preserve"> ㈑ </t>
    <phoneticPr fontId="1" type="noConversion"/>
  </si>
  <si>
    <t>회계기간에 만기소멸된 주식선택권</t>
    <phoneticPr fontId="1" type="noConversion"/>
  </si>
  <si>
    <t xml:space="preserve"> ㈓ </t>
    <phoneticPr fontId="1" type="noConversion"/>
  </si>
  <si>
    <t>회계기간에 취소하거나 중도청산한 주식선택권</t>
    <phoneticPr fontId="1" type="noConversion"/>
  </si>
  <si>
    <t>회계기간 말 현재 존속하는 주식선택권</t>
    <phoneticPr fontId="1" type="noConversion"/>
  </si>
  <si>
    <t xml:space="preserve"> ㈔ </t>
    <phoneticPr fontId="1" type="noConversion"/>
  </si>
  <si>
    <t>회계기간 말 현재 행사가능한 주식선택권</t>
    <phoneticPr fontId="1" type="noConversion"/>
  </si>
  <si>
    <t xml:space="preserve"> ㈕ </t>
    <phoneticPr fontId="1" type="noConversion"/>
  </si>
  <si>
    <t>회계기간 초 현재 존속하는 주식선택권</t>
    <phoneticPr fontId="1" type="noConversion"/>
  </si>
  <si>
    <t>회계기간에 부여한 주식선택권</t>
    <phoneticPr fontId="1" type="noConversion"/>
  </si>
  <si>
    <t xml:space="preserve">⑶ </t>
    <phoneticPr fontId="1" type="noConversion"/>
  </si>
  <si>
    <t>주식기준보상거래와 관련하여 인식된 부채에 대한 다음의 정보</t>
    <phoneticPr fontId="1" type="noConversion"/>
  </si>
  <si>
    <t xml:space="preserve">⑷ </t>
    <phoneticPr fontId="1" type="noConversion"/>
  </si>
  <si>
    <t xml:space="preserve"> ㈏ </t>
    <phoneticPr fontId="1" type="noConversion"/>
  </si>
  <si>
    <t>보고기간종료일 현재 총장부금액</t>
    <phoneticPr fontId="1" type="noConversion"/>
  </si>
  <si>
    <t>6. 중소기업회계처리 특례를 적용하던 중소기업이 이를 적용하지 아니하고자 하거나, 중소기업에 해당하지 않게 되는 이유 등으로 이를 적용할 수 없게 되는 경우에는 회계정책, 회계추정의 변경 및 오류에 따라 회계처리 및 공시</t>
    <phoneticPr fontId="1" type="noConversion"/>
  </si>
  <si>
    <t>6.5 리스</t>
    <phoneticPr fontId="1" type="noConversion"/>
  </si>
  <si>
    <t>보고기간종료일 현재 금융리스자산의 장부가액</t>
    <phoneticPr fontId="1" type="noConversion"/>
  </si>
  <si>
    <t>보고기간종료일 현재 최소리스료의 총합계와 현재가치의 조정내역, 그리고 다음 각 기간별 최소리스료의 총합계 및 현재가치</t>
    <phoneticPr fontId="1" type="noConversion"/>
  </si>
  <si>
    <t>1년 이내</t>
    <phoneticPr fontId="1" type="noConversion"/>
  </si>
  <si>
    <t xml:space="preserve"> ㈎ </t>
    <phoneticPr fontId="1" type="noConversion"/>
  </si>
  <si>
    <t xml:space="preserve">1년 초과 5년 이내 </t>
    <phoneticPr fontId="1" type="noConversion"/>
  </si>
  <si>
    <t>5년 초과</t>
    <phoneticPr fontId="1" type="noConversion"/>
  </si>
  <si>
    <t xml:space="preserve"> ㈐  </t>
    <phoneticPr fontId="1" type="noConversion"/>
  </si>
  <si>
    <t>당기의 손익에 반영된 조정리스료</t>
    <phoneticPr fontId="1" type="noConversion"/>
  </si>
  <si>
    <t>보고기간종료일 현재 전대리스에서 받게 될 것으로 기대되는 미래의 최소전대리스료의 합계</t>
    <phoneticPr fontId="1" type="noConversion"/>
  </si>
  <si>
    <t xml:space="preserve">⑷ </t>
    <phoneticPr fontId="1" type="noConversion"/>
  </si>
  <si>
    <t>다음을 포함한 리스계약의 중요한 사항에 대한 일반적인 설명</t>
    <phoneticPr fontId="1" type="noConversion"/>
  </si>
  <si>
    <t>조정리스료가 결정되는 기준</t>
    <phoneticPr fontId="1" type="noConversion"/>
  </si>
  <si>
    <t>리스갱신, 매수선택권 및 리스료 인상조항의 조건</t>
    <phoneticPr fontId="1" type="noConversion"/>
  </si>
  <si>
    <t>배당, 추가채무 및 추가리스 등에 관한 리스계약서상의 제약사항</t>
    <phoneticPr fontId="1" type="noConversion"/>
  </si>
  <si>
    <t>무형자산, 유형자산 및 자산손상에 관한 일반기업회계기준에서 요구하는 주석사항</t>
    <phoneticPr fontId="1" type="noConversion"/>
  </si>
  <si>
    <t xml:space="preserve">⑹ </t>
    <phoneticPr fontId="1" type="noConversion"/>
  </si>
  <si>
    <t xml:space="preserve">  1) 금융리스자산은 자산의 성격에 따라 비유동자산 중 유형자산 또는 무형자산의 한 항목으로 표시하고 금융리스부채는 유동과 비유동으로 구분하여 별도의 부채항목으로 표시</t>
    <phoneticPr fontId="1" type="noConversion"/>
  </si>
  <si>
    <t xml:space="preserve">  2) 금융리스</t>
    <phoneticPr fontId="1" type="noConversion"/>
  </si>
  <si>
    <t xml:space="preserve">  3) 운용리스</t>
    <phoneticPr fontId="1" type="noConversion"/>
  </si>
  <si>
    <t>다음 각 기간별 운용리스에 따른 미래 최소리스료의 합계</t>
    <phoneticPr fontId="1" type="noConversion"/>
  </si>
  <si>
    <t>1년 초과 5년 이내</t>
    <phoneticPr fontId="1" type="noConversion"/>
  </si>
  <si>
    <t>보고기간종료일 현재 전대리스에서 받게 될 것으로 기대되는 미래의 최소전대리스료의 합계</t>
    <phoneticPr fontId="1" type="noConversion"/>
  </si>
  <si>
    <t>최소리스료, 조정리스료 및 전대리스료로 구분하여 당기손익에 인식된 리스료와 전대리스료</t>
    <phoneticPr fontId="1" type="noConversion"/>
  </si>
  <si>
    <t>조정리스료가 결정되는 기준</t>
    <phoneticPr fontId="1" type="noConversion"/>
  </si>
  <si>
    <t>리스갱신, 매수선택권 및 리스료 인상조항의 조건</t>
    <phoneticPr fontId="1" type="noConversion"/>
  </si>
  <si>
    <t xml:space="preserve">  4) 판매후리스거래</t>
    <phoneticPr fontId="1" type="noConversion"/>
  </si>
  <si>
    <t xml:space="preserve">  1) 금융리스</t>
    <phoneticPr fontId="1" type="noConversion"/>
  </si>
  <si>
    <t>판매후리스거래의 독특하거나 비경상적인 계약조항 또는 조건은 리스계약의 중요한 사항에 대한 일반적인 설명 부분에 주석으로 기재</t>
    <phoneticPr fontId="1" type="noConversion"/>
  </si>
  <si>
    <t>리스와 관련하여 리스이용자와 리스제공자에게 요구되는 주석사항은 동일하게 적용</t>
    <phoneticPr fontId="1" type="noConversion"/>
  </si>
  <si>
    <t>보고기간말 현재 리스의 총투자와 최소리스료의 현재가치의 조정내역, 그리고 다음 각 기간별(1년이내, 1년초과 5년 이내, 5년 초과) 리스의 총투자와 최소리스료의 현재가치</t>
    <phoneticPr fontId="1" type="noConversion"/>
  </si>
  <si>
    <t>리스총투자와 리스순투자의 차이</t>
    <phoneticPr fontId="1" type="noConversion"/>
  </si>
  <si>
    <t>무보증잔존가치</t>
    <phoneticPr fontId="1" type="noConversion"/>
  </si>
  <si>
    <t>회수불확실한 최소리스료채권에 대한 대손충당금</t>
    <phoneticPr fontId="1" type="noConversion"/>
  </si>
  <si>
    <t>수익으로 인식된 조정리스료</t>
    <phoneticPr fontId="1" type="noConversion"/>
  </si>
  <si>
    <t>리스계약의 유의적인 사항에 대한 일반적인 설명</t>
    <phoneticPr fontId="1" type="noConversion"/>
  </si>
  <si>
    <t>운용리스 관련 사항을 주석으로 기재</t>
    <phoneticPr fontId="1" type="noConversion"/>
  </si>
  <si>
    <t>운용리스자산은 리스자산의 성격에 따라 비유동자산 중 유형자산 또는 무형자산의 한 항목으로 표시하고 그 항목의 구체적인 내용은 주석 기재</t>
    <phoneticPr fontId="1" type="noConversion"/>
  </si>
  <si>
    <t>기준서 제10장(유형자산), 제11장(무형자산), 제20장(자산손상)에서 요구하는 주석사항</t>
    <phoneticPr fontId="1" type="noConversion"/>
  </si>
  <si>
    <t>운용리스의 1년이내, 1년초과 5년이내, 5년초과의 각 기간별 미래 최소리스료 합계</t>
    <phoneticPr fontId="1" type="noConversion"/>
  </si>
  <si>
    <t>수익으로 인식된 조정리스료</t>
    <phoneticPr fontId="1" type="noConversion"/>
  </si>
  <si>
    <t>리스계약의 유의적인 사항에 대한 일반적 설명</t>
    <phoneticPr fontId="1" type="noConversion"/>
  </si>
  <si>
    <t>판매후리스거래의 독특하거나 비경상적인 계약조항 또는 조건은 리스계약의 중요한 사항에 대한 일반적인 설명 부분에 주석으로 기재</t>
    <phoneticPr fontId="1" type="noConversion"/>
  </si>
  <si>
    <t>리스와 관련하여 리스이용자와 리스제공자에게 요구되는 주석사항은 동일하게 적용</t>
    <phoneticPr fontId="1" type="noConversion"/>
  </si>
  <si>
    <t xml:space="preserve">  2) 운용리스</t>
    <phoneticPr fontId="1" type="noConversion"/>
  </si>
  <si>
    <t xml:space="preserve">  3) 판매후리스거래</t>
    <phoneticPr fontId="1" type="noConversion"/>
  </si>
  <si>
    <t xml:space="preserve">  4) 리스계약이 해지된 경우 리스계약과 관련하여 보고기간종료일 현재 미회수된 금액을 주석으로 기재</t>
    <phoneticPr fontId="1" type="noConversion"/>
  </si>
  <si>
    <t xml:space="preserve">  5) 금융리스계약이 해지된 경우 회수한 당해 리스자산은 리스목적으로 보유하는 다른 자산과 동일한 과목으로 인식하되 그 내역을 주석으로 기재</t>
    <phoneticPr fontId="1" type="noConversion"/>
  </si>
  <si>
    <t>6.6 사업결합</t>
    <phoneticPr fontId="1" type="noConversion"/>
  </si>
  <si>
    <t>피취득자의 명칭과 설명</t>
    <phoneticPr fontId="1" type="noConversion"/>
  </si>
  <si>
    <t>취득일</t>
    <phoneticPr fontId="1" type="noConversion"/>
  </si>
  <si>
    <t>취득한 의결권 있는 지분율</t>
    <phoneticPr fontId="1" type="noConversion"/>
  </si>
  <si>
    <t>사업결합의 주된 이유와 피취득자에 대한 취득자의 지배력 획득방법에 대한 설명</t>
    <phoneticPr fontId="1" type="noConversion"/>
  </si>
  <si>
    <t>총이전대가의 취득일의 공정가치와 다음과 같은 대가의 주요 종류별 취득일의 공정가치</t>
    <phoneticPr fontId="1" type="noConversion"/>
  </si>
  <si>
    <t>현금</t>
    <phoneticPr fontId="1" type="noConversion"/>
  </si>
  <si>
    <t>그 밖의 유형자산이나 무형자산(취득자의 사업이나 종속기업 포함)</t>
    <phoneticPr fontId="1" type="noConversion"/>
  </si>
  <si>
    <t>발생한 부채(예: 조건부대가에 대한 부채)</t>
    <phoneticPr fontId="1" type="noConversion"/>
  </si>
  <si>
    <t>취득자의 지분(발행되었거나 발행될 금융상품 또는 지분의 수량과 그러한 금융상품이나 지분의 공정가치 결정방법 포함)</t>
    <phoneticPr fontId="1" type="noConversion"/>
  </si>
  <si>
    <t>조건부대가 약정과 보상자산에 대하여 아래를 공시</t>
    <phoneticPr fontId="1" type="noConversion"/>
  </si>
  <si>
    <t xml:space="preserve">⑹ </t>
    <phoneticPr fontId="1" type="noConversion"/>
  </si>
  <si>
    <t>취득일 현재 인식한 금액</t>
    <phoneticPr fontId="1" type="noConversion"/>
  </si>
  <si>
    <t>지급액을 결정하기 위한 약정과 기준에 대한 설명</t>
    <phoneticPr fontId="1" type="noConversion"/>
  </si>
  <si>
    <t>결과범위에 대한 추정치(할인되지 않은) 또는 범위를 추정할 수 없다면 그 사실과 범위를 추정할 수 없는 이유. 최대지급액을 한정할 수 없는 경우 그러한 사실</t>
    <phoneticPr fontId="1" type="noConversion"/>
  </si>
  <si>
    <t>⑺</t>
    <phoneticPr fontId="1" type="noConversion"/>
  </si>
  <si>
    <t>취득자산과 인수부채의 주요 종류별로 취득일 현재 인식한 금액</t>
    <phoneticPr fontId="1" type="noConversion"/>
  </si>
  <si>
    <t>인식한 각 우발부채에 대하여 제14장 ‘충당부채, 우발부채 및 우발자산’에서 요구하고 있는 정보</t>
    <phoneticPr fontId="1" type="noConversion"/>
  </si>
  <si>
    <t>우발부채의 공정가치를 신뢰성 있게 측정할 수 없어 인식하지 못한 경우는 문단 14.19 및 14.20에서 요구하는 정보와 그러한 부채를 신뢰성 있게 측정할 수 없는 이유</t>
    <phoneticPr fontId="1" type="noConversion"/>
  </si>
  <si>
    <t>(8
-1)</t>
    <phoneticPr fontId="1" type="noConversion"/>
  </si>
  <si>
    <t>단계적으로 이루어진 사업결합의 경우 아래의 내용</t>
    <phoneticPr fontId="1" type="noConversion"/>
  </si>
  <si>
    <t>다음의 정보</t>
    <phoneticPr fontId="1" type="noConversion"/>
  </si>
  <si>
    <t>당해 보고기간의 손익계산서에 포함된 취득일 이후 피취득자의 수익과 당기손익</t>
    <phoneticPr fontId="1" type="noConversion"/>
  </si>
  <si>
    <t>직전회계연도 및 취득일까지 결합참여회사의 요약재무상태표, 요약손익계산서</t>
    <phoneticPr fontId="1" type="noConversion"/>
  </si>
  <si>
    <t>회사가 불가피한 사유로 상기 사항을 주석으로 공시할 수 없는 경우에는 그 사실</t>
    <phoneticPr fontId="1" type="noConversion"/>
  </si>
  <si>
    <t>사업결합의 최초 회계처리가 완료되지 못한 이유</t>
    <phoneticPr fontId="1" type="noConversion"/>
  </si>
  <si>
    <t>최초의 회계처리가 완료되지 못한 자산, 부채, 지분 또는 대가 항목</t>
    <phoneticPr fontId="1" type="noConversion"/>
  </si>
  <si>
    <t xml:space="preserve">문단 12.36에 따라 보고기간에 인식한 측정기간 동안의 조정사항의 성격과 금액 </t>
    <phoneticPr fontId="1" type="noConversion"/>
  </si>
  <si>
    <t>특정 자산, 부채, 비지배지분 또는 대가의 항목에 대한 사업결합의 최초 회계처리가 완료되지 못하여(문단 12.34 참조) 그 사업결합에 대해 재무제표에 인식한 금액이 잠정적으로만 결정된 경우, 다음의 사항</t>
    <phoneticPr fontId="1" type="noConversion"/>
  </si>
  <si>
    <t xml:space="preserve">⑴ </t>
    <phoneticPr fontId="1" type="noConversion"/>
  </si>
  <si>
    <t>취득일 후 조건부 대가 자산에 대한 권리를 회수, 매각이나 상실할 때까지, 또는 조건부 대가 부채를 결제하거나 그 부채가 취소되거나 소멸될 때까지, 각 보고기간에 다음 사항을 공시</t>
    <phoneticPr fontId="1" type="noConversion"/>
  </si>
  <si>
    <t xml:space="preserve">⑵ </t>
    <phoneticPr fontId="1" type="noConversion"/>
  </si>
  <si>
    <t>인식한 금액의 변동(결제로 발생한 차이 포함)</t>
    <phoneticPr fontId="1" type="noConversion"/>
  </si>
  <si>
    <t>결과(할인되지 않은)범위의 변동과 그 변동 이유</t>
    <phoneticPr fontId="1" type="noConversion"/>
  </si>
  <si>
    <t>조건부 대가를 측정하기 위하여 사용된 평가기법과 주요 모형 투입물</t>
    <phoneticPr fontId="1" type="noConversion"/>
  </si>
  <si>
    <t>사업결합에서 인식한 우발부채에 대하여 제14장 ‘충당부채, 우발부채, 우발자산’ 문단 14.19에서 충당부채의 종류별로 요구하고 있는 정보를 공시</t>
    <phoneticPr fontId="1" type="noConversion"/>
  </si>
  <si>
    <t>보고기간 기초와 기말의 영업권 장부금액의 조정내용을 다음 항목별로 공시</t>
    <phoneticPr fontId="1" type="noConversion"/>
  </si>
  <si>
    <t>보고기간 기초의 총액과 손상차손누계액, 상각누계액 및 당기상각액</t>
    <phoneticPr fontId="1" type="noConversion"/>
  </si>
  <si>
    <t>보고기간에 추가로 인식한 영업권</t>
    <phoneticPr fontId="1" type="noConversion"/>
  </si>
  <si>
    <t>보고기간에 이연법인세자산의 후속 인식으로 발생하는 조정</t>
    <phoneticPr fontId="1" type="noConversion"/>
  </si>
  <si>
    <t>제20장 ‘자산손상’에 따라 보고기간에 인식한 손상차손 (제20장은 이 요구사항에 추가하여 영업권의 회수가능액과 손상에 관한 정보의 공시를 요구</t>
    <phoneticPr fontId="1" type="noConversion"/>
  </si>
  <si>
    <t xml:space="preserve"> ㈑ </t>
    <phoneticPr fontId="1" type="noConversion"/>
  </si>
  <si>
    <t xml:space="preserve"> 제23장 ‘환율변동효과’에 따라 보고기간에 발생한 순환율변동 </t>
    <phoneticPr fontId="1" type="noConversion"/>
  </si>
  <si>
    <t>보고기간 동안 그 밖의 장부금액 변동</t>
    <phoneticPr fontId="1" type="noConversion"/>
  </si>
  <si>
    <t>보고기간말의 총액과 손상차손누계액</t>
    <phoneticPr fontId="1" type="noConversion"/>
  </si>
  <si>
    <t>다음 사항에 모두 해당할 경우 현행 보고기간에 인식한 차손익 금액과 관련 설명</t>
    <phoneticPr fontId="1" type="noConversion"/>
  </si>
  <si>
    <t>당해 보고기간 또는 이전 보고기간에 이루어진 사업결합에서 식별가능한 취득자산과 인수부채와 관련된 차손익</t>
    <phoneticPr fontId="1" type="noConversion"/>
  </si>
  <si>
    <t>그 크기, 성격 또는 발생(률)으로 보아 차손익을 공시하는 것이 결합기업의 재무제표를 이해하는 데 적합한 경우</t>
    <phoneticPr fontId="1" type="noConversion"/>
  </si>
  <si>
    <t>6.6.1 영업권/염가매수차익</t>
    <phoneticPr fontId="1" type="noConversion"/>
  </si>
  <si>
    <t>보고기간 기초의 총액과 손상차손누계액, 상각누계액 및 당기상각액</t>
    <phoneticPr fontId="1" type="noConversion"/>
  </si>
  <si>
    <t>보고기간에 추가로 인식한 영업권</t>
    <phoneticPr fontId="1" type="noConversion"/>
  </si>
  <si>
    <t>보고기간에 이연법인세자산의 후속 인식으로 발생하는 조정</t>
    <phoneticPr fontId="1" type="noConversion"/>
  </si>
  <si>
    <t>제20장 ‘자산손상’에 따라 보고기간에 인식한 손상차손 (제20장은 이 요구사항에 추가하여 영업권의 회수가능액과 손상에 관한 정보의 공시를 요구한다)</t>
    <phoneticPr fontId="1" type="noConversion"/>
  </si>
  <si>
    <t xml:space="preserve">제23장 ‘환율변동효과’에 따라 보고기간에 발생한 순환율변동 </t>
    <phoneticPr fontId="1" type="noConversion"/>
  </si>
  <si>
    <t>보고기간 동안 그 밖의 장부금액 변동</t>
    <phoneticPr fontId="1" type="noConversion"/>
  </si>
  <si>
    <t>보고기간말의 총액과 손상차손누계액</t>
    <phoneticPr fontId="1" type="noConversion"/>
  </si>
  <si>
    <t>문단 12.33에 따라 인식한 차익 금액과 그 차익을 인식한 손익계산서의 항목</t>
    <phoneticPr fontId="1" type="noConversion"/>
  </si>
  <si>
    <t>거래에서 차익이 발생한 이유에 대한 설명</t>
    <phoneticPr fontId="1" type="noConversion"/>
  </si>
  <si>
    <t>6.7 분할, 분할합병</t>
    <phoneticPr fontId="1" type="noConversion"/>
  </si>
  <si>
    <t>거래의 내용과 조정내용</t>
    <phoneticPr fontId="1" type="noConversion"/>
  </si>
  <si>
    <t>거래 상대방 기업의 명칭과 주요설명</t>
    <phoneticPr fontId="1" type="noConversion"/>
  </si>
  <si>
    <t>1. 동일지배하의 거래에 대하여 다음의 사항을 공시
(동일지배하의 거래는 동일지배하의 합병, 지배/종속관계가 변경되는 주식인수도, 분할, 사업에 해당하지 않는 순자산이전 등이 포함된다.)</t>
    <phoneticPr fontId="1" type="noConversion"/>
  </si>
  <si>
    <t>거래완료일</t>
    <phoneticPr fontId="1" type="noConversion"/>
  </si>
  <si>
    <t>거래를 위해 발행한(수령한) 주식이 있는 경우, 그 주식의 내용 및 발행(수령)주식수</t>
    <phoneticPr fontId="1" type="noConversion"/>
  </si>
  <si>
    <t>6.8 일반기업회계기준의 최초채택</t>
    <phoneticPr fontId="1" type="noConversion"/>
  </si>
  <si>
    <t>각 회계정책의 변경 내용의 기술</t>
    <phoneticPr fontId="1" type="noConversion"/>
  </si>
  <si>
    <t>다음의 각 기준일에 과거회계기준에 따라 보고된 자본에서 일반기업회계기준에 따른 자본으로 조정</t>
    <phoneticPr fontId="1" type="noConversion"/>
  </si>
  <si>
    <t>과거회계기준에 따른 최근 연차재무제표의 최종기간의 손익을 같은 기간의 일반기업회계기준에 따른 손익으로 조정</t>
    <phoneticPr fontId="1" type="noConversion"/>
  </si>
  <si>
    <t xml:space="preserve">⑶ </t>
    <phoneticPr fontId="1" type="noConversion"/>
  </si>
  <si>
    <t>일반기업회계기준 전환일</t>
    <phoneticPr fontId="1" type="noConversion"/>
  </si>
  <si>
    <t>과거회계기준에 따른 최근 연차재무제표에 표시된 최종 기간의 종료일</t>
    <phoneticPr fontId="1" type="noConversion"/>
  </si>
  <si>
    <t xml:space="preserve"> ㈏ </t>
    <phoneticPr fontId="1" type="noConversion"/>
  </si>
  <si>
    <t>6.9 K-IFRS 도입 예정 기업</t>
    <phoneticPr fontId="1" type="noConversion"/>
  </si>
  <si>
    <t>1. 한국채택국제회계기준 등의 최초적용으로 인한 회계기준의 중요한 변동이 예상되는 경우, 기업의 준비상황 및 재무제표에 미칠 수 있는 영향 등을 추가 정보로 공시할 것을 권장</t>
    <phoneticPr fontId="1" type="noConversion"/>
  </si>
  <si>
    <t>도입 2년전 재무제표</t>
    <phoneticPr fontId="1" type="noConversion"/>
  </si>
  <si>
    <t>도입 1년전 재무제표</t>
    <phoneticPr fontId="1" type="noConversion"/>
  </si>
  <si>
    <t>연결대상기업의 변화</t>
    <phoneticPr fontId="1" type="noConversion"/>
  </si>
  <si>
    <t>한국채택국제회계기준 도입이 기업 재무상태 및 경영성과에 미치는 영향에 대한 계량정보</t>
    <phoneticPr fontId="1" type="noConversion"/>
  </si>
  <si>
    <t>한국채택국제회계기준 도입 준비계획 및 추진상황</t>
    <phoneticPr fontId="1" type="noConversion"/>
  </si>
  <si>
    <t>한국채택국제회계기준과 현행 회계기준과의 회계처리방법 차이 중 해당기업에 유의적인 영향을 줄 것으로 예상되는 사항</t>
    <phoneticPr fontId="1" type="noConversion"/>
  </si>
  <si>
    <t>한국채택국제회계기준하에서 기업이 선택한 회계정책과 기존 회계정책과의 주요 차이점</t>
    <phoneticPr fontId="1" type="noConversion"/>
  </si>
  <si>
    <t>6.10 기타 해당사항</t>
    <phoneticPr fontId="1" type="noConversion"/>
  </si>
  <si>
    <t>당 회계연도 최종 중간기간의 매출액, 당기순이익 및 주당순이익등 주요 경영성과</t>
    <phoneticPr fontId="1" type="noConversion"/>
  </si>
  <si>
    <t>최종 중간기간에 회계추정의 변경이 있는 경우 그 내용과 영향</t>
    <phoneticPr fontId="1" type="noConversion"/>
  </si>
  <si>
    <t xml:space="preserve">⑵ </t>
    <phoneticPr fontId="1" type="noConversion"/>
  </si>
  <si>
    <t>2. 천재지변․중대한 사고․파업․화재 등에 관하여는 그 내용과 결과</t>
    <phoneticPr fontId="1" type="noConversion"/>
  </si>
  <si>
    <t>3. 횡령등 불법행위를 한 임직원에 대한 회사채권의 발생경위 및 회수가능성 등</t>
    <phoneticPr fontId="1" type="noConversion"/>
  </si>
  <si>
    <t xml:space="preserve">4. 자산·부채·자본항목을 통합하여 표시한 경우, 해당 항목의 세부내역 </t>
    <phoneticPr fontId="1" type="noConversion"/>
  </si>
  <si>
    <t>7. 산업별 추가 공시사항</t>
    <phoneticPr fontId="1" type="noConversion"/>
  </si>
  <si>
    <t>7.1 건설형 공사계약</t>
    <phoneticPr fontId="1" type="noConversion"/>
  </si>
  <si>
    <t>주요건설형공사의 개요</t>
    <phoneticPr fontId="1" type="noConversion"/>
  </si>
  <si>
    <t xml:space="preserve">⑴ </t>
  </si>
  <si>
    <t>중요한 회계처리방법</t>
    <phoneticPr fontId="1" type="noConversion"/>
  </si>
  <si>
    <t xml:space="preserve">⑵ </t>
    <phoneticPr fontId="1" type="noConversion"/>
  </si>
  <si>
    <t>공사손익의 인식방법</t>
    <phoneticPr fontId="1" type="noConversion"/>
  </si>
  <si>
    <t xml:space="preserve"> ㈎ </t>
    <phoneticPr fontId="1" type="noConversion"/>
  </si>
  <si>
    <t>공사진행률의 계산방법</t>
    <phoneticPr fontId="1" type="noConversion"/>
  </si>
  <si>
    <t xml:space="preserve"> ㈏ </t>
    <phoneticPr fontId="1" type="noConversion"/>
  </si>
  <si>
    <t>당기 중 공사수익으로 인식된 금액</t>
    <phoneticPr fontId="1" type="noConversion"/>
  </si>
  <si>
    <t xml:space="preserve">⑶ </t>
    <phoneticPr fontId="1" type="noConversion"/>
  </si>
  <si>
    <t>보고기간종료일 현재 진행중인 공사와 관련된 다음내용</t>
    <phoneticPr fontId="1" type="noConversion"/>
  </si>
  <si>
    <t xml:space="preserve">⑷ </t>
    <phoneticPr fontId="1" type="noConversion"/>
  </si>
  <si>
    <t>누적공사원가와 누적손익</t>
    <phoneticPr fontId="1" type="noConversion"/>
  </si>
  <si>
    <t>공사대금 선수금</t>
    <phoneticPr fontId="1" type="noConversion"/>
  </si>
  <si>
    <t xml:space="preserve"> ㈏ </t>
    <phoneticPr fontId="1" type="noConversion"/>
  </si>
  <si>
    <t>㈎</t>
    <phoneticPr fontId="1" type="noConversion"/>
  </si>
  <si>
    <t xml:space="preserve">㈏ </t>
    <phoneticPr fontId="1" type="noConversion"/>
  </si>
  <si>
    <t>공사대금 미수금 및 공사대금 미수금중 발주에게 청구된 부분과 청구되지 않은 부분</t>
    <phoneticPr fontId="1" type="noConversion"/>
  </si>
  <si>
    <t xml:space="preserve">㈐ </t>
    <phoneticPr fontId="1" type="noConversion"/>
  </si>
  <si>
    <t>회수보류액</t>
    <phoneticPr fontId="1" type="noConversion"/>
  </si>
  <si>
    <t xml:space="preserve">㈑ </t>
    <phoneticPr fontId="1" type="noConversion"/>
  </si>
  <si>
    <t xml:space="preserve">진행중인 모든 공사들로부터 공사전기간에 걸쳐 실현이 예상되는 총공사손실예상액 </t>
    <phoneticPr fontId="1" type="noConversion"/>
  </si>
  <si>
    <t xml:space="preserve">㈒ </t>
    <phoneticPr fontId="1" type="noConversion"/>
  </si>
  <si>
    <t>공사계약이행과 관련하여 예치한 보증금 또는 지급보증등이 있는 경우에는 그 내용</t>
    <phoneticPr fontId="1" type="noConversion"/>
  </si>
  <si>
    <t xml:space="preserve">⑸ </t>
    <phoneticPr fontId="1" type="noConversion"/>
  </si>
  <si>
    <t>하자보증비용, 발주자에 의한 보상금, 위약금이나 손실가능액 등과 관련하여 우발적인 사항이 있는 경우 그 내용</t>
    <phoneticPr fontId="1" type="noConversion"/>
  </si>
  <si>
    <t xml:space="preserve">⑹ </t>
    <phoneticPr fontId="1" type="noConversion"/>
  </si>
  <si>
    <t>계약을 구별할 수 있는 명칭</t>
    <phoneticPr fontId="1" type="noConversion"/>
  </si>
  <si>
    <t>계약일</t>
    <phoneticPr fontId="1" type="noConversion"/>
  </si>
  <si>
    <t>계약상 완성기한 또는 납품기한</t>
    <phoneticPr fontId="1" type="noConversion"/>
  </si>
  <si>
    <t>진행률</t>
    <phoneticPr fontId="1" type="noConversion"/>
  </si>
  <si>
    <t>공사미수금 금액과 대손충당금(청구분과 미청구분으로 나누어 공시한다)</t>
    <phoneticPr fontId="1" type="noConversion"/>
  </si>
  <si>
    <t>관련 법령에서 비밀이나 비공개 사항으로 규정하는 경우</t>
    <phoneticPr fontId="1" type="noConversion"/>
  </si>
  <si>
    <t>계약에서 비밀이나 비공개 사항으로 규정하고, 계약 당사자가 문단 16.64에 따른 공시를 동의하지 않아 같은 문단에 따라 공시 항목의 일부나 전부를 공시하면 기업에 현저한 손실을 초래할 가능성이 높은 경우</t>
    <phoneticPr fontId="1" type="noConversion"/>
  </si>
  <si>
    <t xml:space="preserve">⑶ </t>
    <phoneticPr fontId="1" type="noConversion"/>
  </si>
  <si>
    <t>계약별 공시를 생략한 사실과 사유(객관적인 근거를 제시하여야 함)</t>
    <phoneticPr fontId="1" type="noConversion"/>
  </si>
  <si>
    <t>다른 방법으로 공시하거나 공개하지 않았다는 사실</t>
    <phoneticPr fontId="1" type="noConversion"/>
  </si>
  <si>
    <t xml:space="preserve">일반기업회계기준 문단 16.65를 적용한다는 사실을 상법에 따른 감사위원회(감사위원회가 없는 경우에는 감사)에 보고 여부 </t>
    <phoneticPr fontId="1" type="noConversion"/>
  </si>
  <si>
    <t xml:space="preserve">⑵ </t>
    <phoneticPr fontId="1" type="noConversion"/>
  </si>
  <si>
    <t>공사손실충당부채</t>
    <phoneticPr fontId="1" type="noConversion"/>
  </si>
  <si>
    <t>회계추정 변경에 따른 공사손익 변동금액, 오류 수정에 따른 공사손익 변동금액</t>
    <phoneticPr fontId="1" type="noConversion"/>
  </si>
  <si>
    <t>회계추정 변경에 따른 추정총공사원가의 변동금액, 오류 수정에 따른 추정공사원가의 변동금액</t>
    <phoneticPr fontId="1" type="noConversion"/>
  </si>
  <si>
    <t xml:space="preserve">⑴ </t>
    <phoneticPr fontId="1" type="noConversion"/>
  </si>
  <si>
    <t>염가구매선택권 여부를 판단할 수 있는 단지별 입주비율, 공정가액(감정평가금액 또는 주위시세), 산정가격 등 임대주택자산 관련사항</t>
    <phoneticPr fontId="1" type="noConversion"/>
  </si>
  <si>
    <t>국민주택기금차입금, 표준임대보증금 및 전환임대보증금의 현재가치평가에 적용한 이자율 및 기간, 회계처리방법 등</t>
    <phoneticPr fontId="1" type="noConversion"/>
  </si>
  <si>
    <t>7.2 기타 업종별 회계처리준칙에서 요구하는 사항</t>
    <phoneticPr fontId="1" type="noConversion"/>
  </si>
  <si>
    <t>⑷</t>
    <phoneticPr fontId="1" type="noConversion"/>
  </si>
  <si>
    <t>⑸</t>
    <phoneticPr fontId="1" type="noConversion"/>
  </si>
  <si>
    <t>⑹</t>
    <phoneticPr fontId="1" type="noConversion"/>
  </si>
  <si>
    <t>보험업회계처리준칙</t>
    <phoneticPr fontId="1" type="noConversion"/>
  </si>
  <si>
    <t>상호금융기관의 신용사업회계처리기준</t>
    <phoneticPr fontId="1" type="noConversion"/>
  </si>
  <si>
    <t>유동화전문회사회계처리기준</t>
    <phoneticPr fontId="1" type="noConversion"/>
  </si>
  <si>
    <t>기업구조조정투자회사</t>
    <phoneticPr fontId="1" type="noConversion"/>
  </si>
  <si>
    <t>집합투자기구</t>
    <phoneticPr fontId="1" type="noConversion"/>
  </si>
  <si>
    <t>신탁업자의 신탁계정</t>
    <phoneticPr fontId="1" type="noConversion"/>
  </si>
  <si>
    <t>7.3 특수활동</t>
    <phoneticPr fontId="1" type="noConversion"/>
  </si>
  <si>
    <t>생물자산집단별 내역</t>
    <phoneticPr fontId="1" type="noConversion"/>
  </si>
  <si>
    <t>소유권이 제한된 생물자산의 존재 유무와 그 장부금액, 채무에 대한 담보로 제공된 생물자산의 장부금액</t>
    <phoneticPr fontId="1" type="noConversion"/>
  </si>
  <si>
    <t>생물자산을 개발하거나 취득하기 위한 약정금액</t>
    <phoneticPr fontId="1" type="noConversion"/>
  </si>
  <si>
    <t>기초에서 기말로의 생물자산 장부금액의 변동내용</t>
    <phoneticPr fontId="1" type="noConversion"/>
  </si>
  <si>
    <t>감가상각방법</t>
    <phoneticPr fontId="1" type="noConversion"/>
  </si>
  <si>
    <t>내용연수 또는 감가상각률</t>
    <phoneticPr fontId="1" type="noConversion"/>
  </si>
  <si>
    <t>기초와 기말의 총 장부금액, 감가상각누계액(손상차손누계액 포함)</t>
    <phoneticPr fontId="1" type="noConversion"/>
  </si>
  <si>
    <t>수확시점의 수확물집단별 공정가치와 생물자산집단별 공정가치를 산정할 때 적용한 방법과 유의적인 가정</t>
    <phoneticPr fontId="1" type="noConversion"/>
  </si>
  <si>
    <t>당기에 발생한 생물자산과 수확물의 최초인식시점의 평가손익 총액과 생물자산의 순공정가치 변동에 따른 평가손익 총액</t>
    <phoneticPr fontId="1" type="noConversion"/>
  </si>
  <si>
    <t>수확에 따른 감소</t>
    <phoneticPr fontId="1" type="noConversion"/>
  </si>
  <si>
    <t xml:space="preserve">⑷ </t>
    <phoneticPr fontId="1" type="noConversion"/>
  </si>
  <si>
    <t>사업결합에 따른 증가</t>
    <phoneticPr fontId="1" type="noConversion"/>
  </si>
  <si>
    <t>재무제표를 다른 표시통화로 환산할 때 발생하는 순외환차이와 해외사업장을 보고기업의 표시통화로 환산할 때 발생하는 순외환차이</t>
    <phoneticPr fontId="1" type="noConversion"/>
  </si>
  <si>
    <t>감가상각액, 당기손익으로 인식한 손상차손, 당기손익으로 환입한 손상차손</t>
    <phoneticPr fontId="1" type="noConversion"/>
  </si>
  <si>
    <t xml:space="preserve">⑺ </t>
    <phoneticPr fontId="1" type="noConversion"/>
  </si>
  <si>
    <t xml:space="preserve">⑹ </t>
    <phoneticPr fontId="1" type="noConversion"/>
  </si>
  <si>
    <t>그 밖의 변동</t>
    <phoneticPr fontId="1" type="noConversion"/>
  </si>
  <si>
    <t xml:space="preserve">⑻ </t>
    <phoneticPr fontId="1" type="noConversion"/>
  </si>
  <si>
    <t>순공정가치의 변동으로 발생한 평가손익</t>
    <phoneticPr fontId="1" type="noConversion"/>
  </si>
  <si>
    <t>매입에 따른 증가</t>
    <phoneticPr fontId="1" type="noConversion"/>
  </si>
  <si>
    <t>판매에 따른 감소</t>
    <phoneticPr fontId="1" type="noConversion"/>
  </si>
  <si>
    <t>7.4 온실가스 매출권과 배출부채</t>
    <phoneticPr fontId="1" type="noConversion"/>
  </si>
  <si>
    <t>배출권에 대한 주석 기재 사항</t>
    <phoneticPr fontId="1" type="noConversion"/>
  </si>
  <si>
    <t>배출부채에 대한 주석 기재 사항</t>
    <phoneticPr fontId="1" type="noConversion"/>
  </si>
  <si>
    <t>기초 및 기말 배출권의 수량, 장부금액과 당기 증감 내용</t>
    <phoneticPr fontId="1" type="noConversion"/>
  </si>
  <si>
    <t>담보로 제공한 배출권</t>
    <phoneticPr fontId="1" type="noConversion"/>
  </si>
  <si>
    <t>계획기간 및 이행연도별 무상할당 배출권의 수량</t>
    <phoneticPr fontId="1" type="noConversion"/>
  </si>
  <si>
    <t xml:space="preserve"> ㈎ </t>
    <phoneticPr fontId="1" type="noConversion"/>
  </si>
  <si>
    <t>기초 및 기말 배출권의 수량, 장부금액과 당기 증감 내용</t>
    <phoneticPr fontId="1" type="noConversion"/>
  </si>
  <si>
    <t>담보로 제공한 배출권</t>
    <phoneticPr fontId="1" type="noConversion"/>
  </si>
  <si>
    <t xml:space="preserve"> ㈐ </t>
    <phoneticPr fontId="1" type="noConversion"/>
  </si>
  <si>
    <t>기초 및 기말 장부금액과 당기 증감 내용</t>
    <phoneticPr fontId="1" type="noConversion"/>
  </si>
  <si>
    <t>보고기간의 온실가스 배출량 추정치. 다만 이행연도와 보고기간이 일치하지 않는 경우에는 보고기간 내에서 이행연도별로 구분한 추정치를 추가</t>
    <phoneticPr fontId="1" type="noConversion"/>
  </si>
  <si>
    <t>8. 연결재무제표</t>
    <phoneticPr fontId="1" type="noConversion"/>
  </si>
  <si>
    <t>재무상태표의 구성요소 중 자본은 지배기업지분과 비지배지분으로 구분하고 지배기업지분은 자본금, 연결자본잉여금, 연결자본조정, 연결기타포괄손익누계액,연결이익잉여금(또는 결손금)으로 구분한다.</t>
    <phoneticPr fontId="1" type="noConversion"/>
  </si>
  <si>
    <t xml:space="preserve">⑴ </t>
    <phoneticPr fontId="1" type="noConversion"/>
  </si>
  <si>
    <t>당기순손익은 지배기업지분순손익과 지배지분순손익으로 구분하여 연결손익계산서 본문에 표시한다.</t>
    <phoneticPr fontId="1" type="noConversion"/>
  </si>
  <si>
    <t xml:space="preserve">⑵ </t>
    <phoneticPr fontId="1" type="noConversion"/>
  </si>
  <si>
    <t>연결자본변동표는 비지배지분의 변동은 구분하여 별도항목으로 표시한다.</t>
    <phoneticPr fontId="1" type="noConversion"/>
  </si>
  <si>
    <t>연결현금흐름표는 종속기업이 연결실체에 새로 포함되거나 연결실체에서 제외되는 경우에는 연결실체의 변동으로 인한 현금의 증가(감소)항목을 추가하여 투자활동으로 구분 표시한다.</t>
    <phoneticPr fontId="1" type="noConversion"/>
  </si>
  <si>
    <t xml:space="preserve">⑷ </t>
    <phoneticPr fontId="1" type="noConversion"/>
  </si>
  <si>
    <t>⑸</t>
    <phoneticPr fontId="1" type="noConversion"/>
  </si>
  <si>
    <t>지배기업이 직접으로 또는 종속기업을 통하여 간접으로 종속기업의 의결권의 과반수를 소유하고 있지 않은 경우, 지배·종속관계의 성격</t>
    <phoneticPr fontId="1" type="noConversion"/>
  </si>
  <si>
    <t>직접으로 또는 종속기업을 통하여 간접으로 의결권(또는 잠재적 의결권)의 과반수를 소유하고 있으나 피투자자를 지배하지 못하는 이유</t>
    <phoneticPr fontId="1" type="noConversion"/>
  </si>
  <si>
    <t>연결재무제표를 작성할 때 지배기업 재무제표의 보고기간종료일이나 보고기간과 다른 종속기업의 재무제표를 사용한 경우, 그 종속기업 재무제표의 보고기간 종료일. 그리고 재무제표의 보고기간 종료일이 다르거나 보고기간이 다른 종속기업의 재무제표를 사용한 이유</t>
    <phoneticPr fontId="1" type="noConversion"/>
  </si>
  <si>
    <t>종속기업이 지배기업에게 현금배당이나 차입금 상환, 선수금 반환의 방법으로 자금을 이전하는 데 유의적인 제약(예: 차입약정이나 감독규제사항)이 있는 경우 그 성격과 범위</t>
    <phoneticPr fontId="1" type="noConversion"/>
  </si>
  <si>
    <t>지배력을 상실하지 않는 종속기업에 대한 지배기업의 소유지분 변동으로, 지배기업의 소유주에 귀속되는 자본에 미치는 영향을 나타내는 명세서</t>
    <phoneticPr fontId="1" type="noConversion"/>
  </si>
  <si>
    <t>9. 금융업 재무제표</t>
    <phoneticPr fontId="1" type="noConversion"/>
  </si>
  <si>
    <t>일반기준 3.17, 3.18</t>
    <phoneticPr fontId="1" type="noConversion"/>
  </si>
  <si>
    <t>일반기준 실3.34,  실3.18</t>
    <phoneticPr fontId="1" type="noConversion"/>
  </si>
  <si>
    <t xml:space="preserve">⑷ </t>
    <phoneticPr fontId="1" type="noConversion"/>
  </si>
  <si>
    <t xml:space="preserve">⑸ </t>
    <phoneticPr fontId="1" type="noConversion"/>
  </si>
  <si>
    <t xml:space="preserve">⑻ </t>
    <phoneticPr fontId="1" type="noConversion"/>
  </si>
  <si>
    <t xml:space="preserve">⑵ </t>
    <phoneticPr fontId="1" type="noConversion"/>
  </si>
  <si>
    <t xml:space="preserve"> ㈎ </t>
    <phoneticPr fontId="1" type="noConversion"/>
  </si>
  <si>
    <t xml:space="preserve"> ㈏ </t>
    <phoneticPr fontId="1" type="noConversion"/>
  </si>
  <si>
    <t xml:space="preserve"> ㈐</t>
    <phoneticPr fontId="1" type="noConversion"/>
  </si>
  <si>
    <t xml:space="preserve"> ㈑ </t>
    <phoneticPr fontId="1" type="noConversion"/>
  </si>
  <si>
    <t>1. 재무제표이용자가 회계기간에 존재한 주식기준보상약정의 성격과 범위를 이해하는 데 도움이 되는 정보를 주석으로 기재하며, 최소한 다음 사항을 주석으로 기재</t>
    <phoneticPr fontId="1" type="noConversion"/>
  </si>
  <si>
    <t>5. 잠재적보통주가 되는 금융상품과 계약 등에 기본주당이익과 희석주당이익의 계산에 영향을 미치는 조건이 수반되는 경우가 있음. 잠재적보통주와 관련된 이러한 조건은 주석으로 기재</t>
    <phoneticPr fontId="1" type="noConversion"/>
  </si>
  <si>
    <t>6. 보통주에 귀속되는 당기순이익(또는 계속사업이익) 외에 손익계산서의 다른 순이익의 구성요소에 대하여 계산한 기본 및 희석주당금액을 주석으로 기재하는 경우, 그러한 주당금액이 세전금액 또는 세후금액을 기준으로 산출되었는지 등의 산출근거를 주석에 포함함. 만약 그러한 순이익의 구성요소가 손익계산서의 별도 항목이 아닌 경우에는 이 구성요소와 손익계산서에 보고된 별도 항목 사이의 조정내용을 주석에 포함</t>
    <phoneticPr fontId="1" type="noConversion"/>
  </si>
  <si>
    <t>1. 당기순손익에 기타포괄손익을 가감하여 산출한 포괄손익의 내용을 주석으로 기재. 기타포괄손익의 각 항목과 관련된 법인세효과가 있다면 그 금액을 차감한 후의 금액으로 표시하고 법인세효과에 대한 내용을 별도로 기재</t>
    <phoneticPr fontId="1" type="noConversion"/>
  </si>
  <si>
    <t>⑻</t>
    <phoneticPr fontId="1" type="noConversion"/>
  </si>
  <si>
    <t>1. 재무제표 항목의 표시나 분류방법이 변경되는 경우에는 재분류 항목의 내용, 금액 및 재분류가 필요한 이유를 주석으로 기재. 단, 재분류가 실무적으로 불가능한 경우에는 그 이유와 재분류되어야 할 항목의 내용을 주석으로 기재</t>
    <phoneticPr fontId="1" type="noConversion"/>
  </si>
  <si>
    <t>회계기간 말 현재 존속하는 주식선택권의 행사가격 범위와 가중평균잔여만기. 행사가격 범위가 매우 넓은 경우에는 주식선택권의 행사로 발행되는 주식의 수와 발행시기, 그리고 행사대금으로 유입되는 현금흐름을 판단하는데 유용한 수준으로 범위를 세분할 필요가 있음. 이 주석사항은 주가차액보상권(주식결제형 또는 현금결제형)에도 동일하게 적용함</t>
    <phoneticPr fontId="1" type="noConversion"/>
  </si>
  <si>
    <t>거래상대방이 현금이나 기타자산을 받을 수 있는 권리(예: 주가차액보상권)를 보고기간종료일 현재 가득한 경우 당해 권리의 보고기간종료일 현재 총내재가치. 다만, 보고기간종료일 현재 관련 부채가 결제되지 않은 경우에 한함</t>
    <phoneticPr fontId="1" type="noConversion"/>
  </si>
  <si>
    <t xml:space="preserve"> ㈑ </t>
    <phoneticPr fontId="1" type="noConversion"/>
  </si>
  <si>
    <t>2.1.1</t>
    <phoneticPr fontId="1" type="noConversion"/>
  </si>
  <si>
    <t>2.1.2</t>
    <phoneticPr fontId="1" type="noConversion"/>
  </si>
  <si>
    <t>2.1.3</t>
    <phoneticPr fontId="1" type="noConversion"/>
  </si>
  <si>
    <t>2.1.4</t>
    <phoneticPr fontId="1" type="noConversion"/>
  </si>
  <si>
    <t>2.1.5</t>
    <phoneticPr fontId="1" type="noConversion"/>
  </si>
  <si>
    <t>2.1.6</t>
    <phoneticPr fontId="1" type="noConversion"/>
  </si>
  <si>
    <t>2.1.7</t>
    <phoneticPr fontId="1" type="noConversion"/>
  </si>
  <si>
    <t>2.1.8</t>
    <phoneticPr fontId="1" type="noConversion"/>
  </si>
  <si>
    <t>2.1.9</t>
    <phoneticPr fontId="1" type="noConversion"/>
  </si>
  <si>
    <t>2.1.10</t>
    <phoneticPr fontId="1" type="noConversion"/>
  </si>
  <si>
    <t>2.2.1</t>
    <phoneticPr fontId="1" type="noConversion"/>
  </si>
  <si>
    <t>2.2.2</t>
    <phoneticPr fontId="1" type="noConversion"/>
  </si>
  <si>
    <t>2.2.3</t>
    <phoneticPr fontId="1" type="noConversion"/>
  </si>
  <si>
    <t>2.2.4</t>
    <phoneticPr fontId="1" type="noConversion"/>
  </si>
  <si>
    <t>2.5.1</t>
    <phoneticPr fontId="1" type="noConversion"/>
  </si>
  <si>
    <t>2.5.2</t>
    <phoneticPr fontId="1" type="noConversion"/>
  </si>
  <si>
    <t>6.6.1</t>
    <phoneticPr fontId="1" type="noConversion"/>
  </si>
  <si>
    <t>6.10</t>
    <phoneticPr fontId="1" type="noConversion"/>
  </si>
  <si>
    <t>인쇄범위</t>
    <phoneticPr fontId="10" type="noConversion"/>
  </si>
  <si>
    <t>일련번호</t>
    <phoneticPr fontId="10" type="noConversion"/>
  </si>
  <si>
    <t>1</t>
    <phoneticPr fontId="10" type="noConversion"/>
  </si>
  <si>
    <t>1.1</t>
    <phoneticPr fontId="10" type="noConversion"/>
  </si>
  <si>
    <t>1.2</t>
    <phoneticPr fontId="10" type="noConversion"/>
  </si>
  <si>
    <t>2</t>
    <phoneticPr fontId="10" type="noConversion"/>
  </si>
  <si>
    <t>2.1</t>
    <phoneticPr fontId="10" type="noConversion"/>
  </si>
  <si>
    <t>2.1.1</t>
    <phoneticPr fontId="10" type="noConversion"/>
  </si>
  <si>
    <t>2.1.2</t>
    <phoneticPr fontId="10" type="noConversion"/>
  </si>
  <si>
    <t>2.1.3</t>
    <phoneticPr fontId="10" type="noConversion"/>
  </si>
  <si>
    <t>2.1.4</t>
    <phoneticPr fontId="10" type="noConversion"/>
  </si>
  <si>
    <t>2.1.5</t>
    <phoneticPr fontId="10" type="noConversion"/>
  </si>
  <si>
    <t>2.1.6</t>
    <phoneticPr fontId="10" type="noConversion"/>
  </si>
  <si>
    <t>2.1.7</t>
    <phoneticPr fontId="10" type="noConversion"/>
  </si>
  <si>
    <t>2.1.8</t>
    <phoneticPr fontId="10" type="noConversion"/>
  </si>
  <si>
    <t>2.1.9</t>
    <phoneticPr fontId="10" type="noConversion"/>
  </si>
  <si>
    <t>2.1.10</t>
    <phoneticPr fontId="10" type="noConversion"/>
  </si>
  <si>
    <t>2.2</t>
    <phoneticPr fontId="10" type="noConversion"/>
  </si>
  <si>
    <t>2.2.1</t>
    <phoneticPr fontId="10" type="noConversion"/>
  </si>
  <si>
    <t>2.2.2</t>
    <phoneticPr fontId="10" type="noConversion"/>
  </si>
  <si>
    <t>2.2.3</t>
    <phoneticPr fontId="10" type="noConversion"/>
  </si>
  <si>
    <t>2.2.4</t>
    <phoneticPr fontId="10" type="noConversion"/>
  </si>
  <si>
    <t>2.3</t>
    <phoneticPr fontId="10" type="noConversion"/>
  </si>
  <si>
    <t>2.4</t>
    <phoneticPr fontId="10" type="noConversion"/>
  </si>
  <si>
    <t>2.5</t>
    <phoneticPr fontId="10" type="noConversion"/>
  </si>
  <si>
    <t>2.5.1</t>
    <phoneticPr fontId="10" type="noConversion"/>
  </si>
  <si>
    <t>2.5.2</t>
    <phoneticPr fontId="10" type="noConversion"/>
  </si>
  <si>
    <t>3</t>
    <phoneticPr fontId="10" type="noConversion"/>
  </si>
  <si>
    <t>3.1</t>
    <phoneticPr fontId="10" type="noConversion"/>
  </si>
  <si>
    <t>3.2</t>
    <phoneticPr fontId="10" type="noConversion"/>
  </si>
  <si>
    <t>3.3</t>
    <phoneticPr fontId="10" type="noConversion"/>
  </si>
  <si>
    <t>3.4</t>
    <phoneticPr fontId="10" type="noConversion"/>
  </si>
  <si>
    <t>3.5</t>
    <phoneticPr fontId="10" type="noConversion"/>
  </si>
  <si>
    <t>3.6</t>
    <phoneticPr fontId="10" type="noConversion"/>
  </si>
  <si>
    <t>3.7</t>
    <phoneticPr fontId="10" type="noConversion"/>
  </si>
  <si>
    <t>4</t>
    <phoneticPr fontId="10" type="noConversion"/>
  </si>
  <si>
    <t>5</t>
    <phoneticPr fontId="10" type="noConversion"/>
  </si>
  <si>
    <t>5.1</t>
    <phoneticPr fontId="10" type="noConversion"/>
  </si>
  <si>
    <t>5.2</t>
    <phoneticPr fontId="10" type="noConversion"/>
  </si>
  <si>
    <t>5.3</t>
    <phoneticPr fontId="10" type="noConversion"/>
  </si>
  <si>
    <t>5.4</t>
    <phoneticPr fontId="10" type="noConversion"/>
  </si>
  <si>
    <t>6</t>
    <phoneticPr fontId="10" type="noConversion"/>
  </si>
  <si>
    <t>6.1</t>
    <phoneticPr fontId="10" type="noConversion"/>
  </si>
  <si>
    <t>6.2</t>
    <phoneticPr fontId="10" type="noConversion"/>
  </si>
  <si>
    <t>6.3</t>
    <phoneticPr fontId="10" type="noConversion"/>
  </si>
  <si>
    <t>6.4</t>
    <phoneticPr fontId="10" type="noConversion"/>
  </si>
  <si>
    <t>6.5</t>
    <phoneticPr fontId="10" type="noConversion"/>
  </si>
  <si>
    <t>6.6</t>
    <phoneticPr fontId="10" type="noConversion"/>
  </si>
  <si>
    <t>6.6.1</t>
    <phoneticPr fontId="10" type="noConversion"/>
  </si>
  <si>
    <t>6.7</t>
    <phoneticPr fontId="10" type="noConversion"/>
  </si>
  <si>
    <t>6.8</t>
    <phoneticPr fontId="10" type="noConversion"/>
  </si>
  <si>
    <t>6.9</t>
    <phoneticPr fontId="10" type="noConversion"/>
  </si>
  <si>
    <t>6.10</t>
    <phoneticPr fontId="10" type="noConversion"/>
  </si>
  <si>
    <t>7</t>
    <phoneticPr fontId="10" type="noConversion"/>
  </si>
  <si>
    <t>7.1</t>
    <phoneticPr fontId="10" type="noConversion"/>
  </si>
  <si>
    <t>7.2</t>
    <phoneticPr fontId="10" type="noConversion"/>
  </si>
  <si>
    <t>7.3</t>
    <phoneticPr fontId="10" type="noConversion"/>
  </si>
  <si>
    <t>7.4</t>
    <phoneticPr fontId="10" type="noConversion"/>
  </si>
  <si>
    <t>8</t>
    <phoneticPr fontId="10" type="noConversion"/>
  </si>
  <si>
    <t>9</t>
    <phoneticPr fontId="10" type="noConversion"/>
  </si>
  <si>
    <t xml:space="preserve">* 공시사항점검표 목차에서 해당되는 항목을 모두 선택한 후 아래의 "인쇄범위" 필터에서 "Y"를 선택하여 필터링 한후 출력합니다. </t>
    <phoneticPr fontId="1" type="noConversion"/>
  </si>
  <si>
    <t>재무제표에 영향을 미치는 회계정책 적용시 경영진이 내린 판단의 근거</t>
    <phoneticPr fontId="1" type="noConversion"/>
  </si>
  <si>
    <t>위험회피목적의 경우 해당목적을 당성하기 위한 전략(위험회피대상항목의 내역 및 위험회피대상법위 그리고 위험회피를 위한 구체적인 방법 및 사용된 파생상품의 종류 등)</t>
    <phoneticPr fontId="1" type="noConversion"/>
  </si>
  <si>
    <t>일반기준 2.14</t>
    <phoneticPr fontId="1" type="noConversion"/>
  </si>
  <si>
    <t>일반기준 2.84</t>
    <phoneticPr fontId="1" type="noConversion"/>
  </si>
  <si>
    <t>[2021-1] 온실가스 배출권과 배출부채 관련 주석공시</t>
    <phoneticPr fontId="10" type="noConversion"/>
  </si>
  <si>
    <t>FN2021-1</t>
    <phoneticPr fontId="10" type="noConversion"/>
  </si>
  <si>
    <t>담보로 제공한 유가증권의 주요한 담보약정 내용</t>
    <phoneticPr fontId="1" type="noConversion"/>
  </si>
  <si>
    <t>자본에 직접 부가되거나 차감된 당기법인세와 이연법인세의 내역</t>
    <phoneticPr fontId="1" type="noConversion"/>
  </si>
  <si>
    <t>상계 전 총액기준에 의한 이연법인세자산과 부채 및 당기법인세부채와 당기법인세자산</t>
    <phoneticPr fontId="1" type="noConversion"/>
  </si>
  <si>
    <t>세무상결손금이 발생한 회계연도의 당기순손익에 반영한 법인세효과</t>
    <phoneticPr fontId="1" type="noConversion"/>
  </si>
  <si>
    <t>이연법인세자산을 인식하지 않고 이월된 세무상결손금 중 당기에 소멸된 세무상결손금의 법인세효과</t>
    <phoneticPr fontId="1" type="noConversion"/>
  </si>
  <si>
    <t>1. 다음 사항은 주석으로 기재한다</t>
    <phoneticPr fontId="1" type="noConversion"/>
  </si>
  <si>
    <t>일반기준 22.2의3</t>
    <phoneticPr fontId="1" type="noConversion"/>
  </si>
  <si>
    <t>3. 필라2 법인세와 관련되는 다음 사항은 주석으로 기재한다.</t>
    <phoneticPr fontId="1" type="noConversion"/>
  </si>
  <si>
    <t>일반기준22.62</t>
    <phoneticPr fontId="1" type="noConversion"/>
  </si>
  <si>
    <t>2. 제22장에서는 경제협력개발기구(OECD)가 발표한 필라2 모범규칙을 시행하기 위하여 확정된 세법(그 규칙에서 기술하는 적격소재국 추가세를 시행하는 세법 포함)에서 생기는 법인세에 적용한다. 이하, 이러한 세법과 그 세법에서 생기는 법인세를 각각 '필라2 법률', '필라2 법인세'라고 한다. 이 장의 요구사항에 대한 예외로, 필라2 법인세와 관련되는 이연법인세 자산 및 부채를 인식하지 아니하고 이에 대한 정보도 공시하지 아니한다.</t>
    <phoneticPr fontId="1" type="noConversion"/>
  </si>
  <si>
    <t>10. 기준서 조기도입</t>
    <phoneticPr fontId="1" type="noConversion"/>
  </si>
  <si>
    <t>일반기준 
시행일 및 경과규정</t>
    <phoneticPr fontId="10" type="noConversion"/>
  </si>
  <si>
    <t>공시사항 점검표 목차</t>
    <phoneticPr fontId="10" type="noConversion"/>
  </si>
  <si>
    <t>개정 전</t>
    <phoneticPr fontId="10" type="noConversion"/>
  </si>
  <si>
    <t>개정 후</t>
    <phoneticPr fontId="10" type="noConversion"/>
  </si>
  <si>
    <t>주요변경 이유</t>
    <phoneticPr fontId="10" type="noConversion"/>
  </si>
  <si>
    <t>시행일과 경과규정</t>
    <phoneticPr fontId="10" type="noConversion"/>
  </si>
  <si>
    <t>이 장에서는 경제협력개발기구(OECD)가 발표한 필라2 모범규칙을 시행하기 위하여 확정된 세법(그 규칙에서 기술하는 적격소재국 추가세를 시행하는 세법 포함)에서 생기는 법인세에 적용한다. 이하, 이러한 세법과 그 세법에서 생기는 법인세를 각각 '필라2 법률', '필라2 법인세'라고 한다. 이 장의 요구사항에 대한 예외로, 필라2 법인세와 관련되는 이연법인세 자산 및 부채를 인식하지 아니하고 이에 대한 정보도 공시하지 아니한다.</t>
    <phoneticPr fontId="10" type="noConversion"/>
  </si>
  <si>
    <t>K-GAAP 제22장 ’법인세회계‘ 문단 22.2의3
신설</t>
    <phoneticPr fontId="10" type="noConversion"/>
  </si>
  <si>
    <r>
      <t xml:space="preserve">K-GAAP 제22장 ’법인세회계‘ 개정  '국제조세개혁 – 필라2 모범규칙' &gt;&gt; </t>
    </r>
    <r>
      <rPr>
        <b/>
        <sz val="11"/>
        <color indexed="10"/>
        <rFont val="맑은 고딕"/>
        <family val="3"/>
        <charset val="129"/>
      </rPr>
      <t>공표 전</t>
    </r>
    <r>
      <rPr>
        <b/>
        <sz val="11"/>
        <color indexed="8"/>
        <rFont val="맑은 고딕"/>
        <family val="3"/>
        <charset val="129"/>
      </rPr>
      <t xml:space="preserve">	&gt;&gt; </t>
    </r>
    <r>
      <rPr>
        <b/>
        <sz val="11"/>
        <color indexed="10"/>
        <rFont val="맑은 고딕"/>
        <family val="3"/>
        <charset val="129"/>
      </rPr>
      <t>공표되는 즉시 소급적용</t>
    </r>
    <phoneticPr fontId="10" type="noConversion"/>
  </si>
  <si>
    <t>K-GAAP 제22장 ’법인세회계‘ 문단 22.62
신설</t>
    <phoneticPr fontId="10" type="noConversion"/>
  </si>
  <si>
    <r>
      <t>필라2 법인세와 관련되는 다음 사항은 주석으로 기재한다.
       ⑴ 문단 22.2의3에 따라 이연법인세 자산</t>
    </r>
    <r>
      <rPr>
        <sz val="11"/>
        <color rgb="FFFF0000"/>
        <rFont val="Tahoma"/>
        <family val="3"/>
        <charset val="1"/>
      </rPr>
      <t>․</t>
    </r>
    <r>
      <rPr>
        <sz val="11"/>
        <color rgb="FFFF0000"/>
        <rFont val="맑은 고딕"/>
        <family val="3"/>
        <charset val="129"/>
        <scheme val="minor"/>
      </rPr>
      <t>부채 인식 및 공시에 대한 예외 규정을 적용하였다는 사실
       ⑵ 필라2 법인세와 관련되는 당기법인세비용(수익)
       ⑶ 특정 회계연도에 필라 2 법인세를 신뢰성 있게 추정할 수 없다고 판단하여 문단 22.46의1을 적용한 경우, 그 사실과 해당 세액을 신고·납부해야 하는 기간</t>
    </r>
    <r>
      <rPr>
        <sz val="11"/>
        <color indexed="10"/>
        <rFont val="맑은 고딕"/>
        <family val="3"/>
        <charset val="129"/>
      </rPr>
      <t>참조).</t>
    </r>
    <phoneticPr fontId="10" type="noConversion"/>
  </si>
  <si>
    <t>(배경) 2021년 12월, 경제협력개발기구(OECD)는 경제의 디지털화로 생기는 세금 문제 해결을 목표로 하는 필라2 모범규칙(Pillar Two Model Rules)을 발표하였음
 ㅇ 우리나라에서도 이를 반영하는 ’국제조세조정에 관한 법률’이 2022년 말에 개정되어 글로벌 최저한세 제도가 2024년부터 시행될 예정임 
 ㅇ IASB는 제도 시행 전까지 관련 법인세 회계처리를 명확히 할 시간이 부족하다고 판단하고 2023년 5월에 IAS 12를 개정(‘International Tax Reform-Pillar Two Model Rules’)하여,
  - 필라2 법인세와 관련되는 이연법인세 인식·공시의 예외 규정을 마련하고 관련 정보를 공시하도록 하였음
 ㅇ 일반기업회계기준 적용대상 중에도 추가세액 납부가 예상되는 기업이 있는 것으로 파악되어 일반기업회계기준 제22장 ‘법인세회계’도 개정이 필요함</t>
    <phoneticPr fontId="10" type="noConversion"/>
  </si>
  <si>
    <r>
      <t xml:space="preserve">1 일반기업회계기준 개정(2023년, 국제조세개혁 - 필라2 모범규칙)에 따라 문단 22.2의3, 22.46의1, 22.62를 추가하였다. </t>
    </r>
    <r>
      <rPr>
        <sz val="11"/>
        <color rgb="FFFF0000"/>
        <rFont val="맑은 고딕"/>
        <family val="3"/>
        <charset val="129"/>
        <scheme val="minor"/>
      </rPr>
      <t xml:space="preserve">문단 22.2의3과 22.62⑴의 개정 내용은 개정 내용이 공표되는 즉시 시행하고, 문단 22.46의1, 22.62⑵·⑶의 개정 내용은 2024년 1월 1일부터 시행한다.
</t>
    </r>
    <r>
      <rPr>
        <sz val="11"/>
        <color theme="1"/>
        <rFont val="맑은 고딕"/>
        <family val="3"/>
        <charset val="129"/>
        <scheme val="minor"/>
      </rPr>
      <t xml:space="preserve">
2 문단 22.2의3과 22.62⑴의 개정 내용은 공표일이 속한 회계연도부터 일반기업회계기준 제5장 ‘회계정책, 회계추정의 변경 및 오류’에 따라 소급 적용하고, 문단 22.46의1, 22.62⑵·⑶의 개정 내용은 시행일 이후 최초로 시작되는 회계연도부터 적용한다.</t>
    </r>
    <phoneticPr fontId="10" type="noConversion"/>
  </si>
  <si>
    <r>
      <t>시행일
1 다음 중 어느 하나에 해당하지 않는 지배기업은 일반기업회계기준 연차개선(2018년) 중 문단 4.4. 4.8⑴, 8.35, 32.3의 개정 내용을 적용하지 아니할 수 있다.
⑴ ‘자본시장과 금융투자업에 관한 법률’에 따른 상장법인, 증권신고서 제출법인, 사업보고서 제출대상법인
⑵ 제3장 ‘재무제표의 작성과 표시Ⅱ(금융업)’에서 정의하는 금융회사
⑶ ‘주식회사 등의 외부감사에 관한 법률’에 따른 대형비상장주식회사
⑷ 제4장 ‘연결재무제표’에서 정의하는 연결실체에 위의 ⑴~⑶의 기업이 포함된 경우의 지배기업
2</t>
    </r>
    <r>
      <rPr>
        <sz val="11"/>
        <color rgb="FFFF0000"/>
        <rFont val="맑은 고딕"/>
        <family val="3"/>
        <charset val="129"/>
        <scheme val="minor"/>
      </rPr>
      <t xml:space="preserve"> 이 개정 내용은 2022년 12월 31일부터 시행하고, 시행일이 속하는 회계연도부터 적용하며, 2027년 12월 31일이 속하는 회계연도까지 효력이 있다.</t>
    </r>
    <r>
      <rPr>
        <sz val="11"/>
        <color theme="1"/>
        <rFont val="맑은 고딕"/>
        <family val="3"/>
        <charset val="129"/>
        <scheme val="minor"/>
      </rPr>
      <t xml:space="preserve">
경과규정
3 문단 1의 개정 내용을 적용할 때 ‘주식회사 등의 외부감사에 관한 법률’ 제4조 및 같은 법 시행령 제5조에 따른 외부감사 대상이 아닌 기업을 종속기업으로 보지 아니한다. 다만, 계약 등에 의하여 다음 회계연도 말까지 처분이 예정된 기업은 종속기업으로 보지 아니하며, 해외종속기업의 경우에는 국내종속기업에 대한 규모기준을 준용하며, 분할하거나 다른 회사와 합병하여 새로운 회사를 설립하거나 새로 설립된 회사로서 직전 회계연도의 재무상태표가 없는 경우에는 설립시점의 금액 등으로 규모기준을 준용한다.</t>
    </r>
    <phoneticPr fontId="10" type="noConversion"/>
  </si>
  <si>
    <t>(제안이유)
소규모비상장 지배기업의 연결재무제표 작성 부담을 완화하기 위해 비외감기업을 연결재무제표 작성 시 제외할 수 있도록 일반기업회계기준 ‘시행일 및 경과규정’의 개정안을 붙임 내용으로 확정하여 발표하고자 함</t>
    <phoneticPr fontId="1" type="noConversion"/>
  </si>
  <si>
    <t>K-GAAP 시행일 및 경과규정 개정</t>
    <phoneticPr fontId="10" type="noConversion"/>
  </si>
  <si>
    <r>
      <t xml:space="preserve">K-GAAP 시행일 및 경과규정(2022.12.2.) 개정  '소규모비상장 지배기업의 비외감기업 연결제외' &gt;&gt; 의결 </t>
    </r>
    <r>
      <rPr>
        <b/>
        <sz val="11"/>
        <color indexed="10"/>
        <rFont val="맑은 고딕"/>
        <family val="3"/>
        <charset val="129"/>
      </rPr>
      <t>2022.12.2.</t>
    </r>
    <r>
      <rPr>
        <b/>
        <sz val="11"/>
        <color indexed="8"/>
        <rFont val="맑은 고딕"/>
        <family val="3"/>
        <charset val="129"/>
      </rPr>
      <t xml:space="preserve">	&gt;&gt; </t>
    </r>
    <r>
      <rPr>
        <b/>
        <sz val="11"/>
        <color rgb="FFFF0000"/>
        <rFont val="맑은 고딕"/>
        <family val="3"/>
        <charset val="129"/>
      </rPr>
      <t>22년부터 시행~27년까지 효력</t>
    </r>
    <phoneticPr fontId="10" type="noConversion"/>
  </si>
  <si>
    <t>(배경) 일반기업회계기준(이하 ‘일반기준‘) 제2장에 따라 부채를 유동·비유동으로 분류할 때, 부채의 결제를 연기할 수 있는 권리가 무엇인지 불명확하고 부채의 결제의 의미와 방식에 대한 규정이 모호하여 실무에 혼란이 있었고 K-IFRS의 최근 개정내용*과도 차이가 있으므로 개정을 검토함</t>
    <phoneticPr fontId="10" type="noConversion"/>
  </si>
  <si>
    <t>K-GAAP 제2장 '재무제표의 작성과 표시 I' 문단 2.28 수정</t>
    <phoneticPr fontId="10" type="noConversion"/>
  </si>
  <si>
    <r>
      <t xml:space="preserve">보고기간종료일과 재무제표가 사실상 확정된 날 사이에 발생한 다음과 같은 사건은 주석으로 기재한다. 
⑴ </t>
    </r>
    <r>
      <rPr>
        <sz val="11"/>
        <color rgb="FFFF0000"/>
        <rFont val="맑은 고딕"/>
        <family val="3"/>
        <charset val="129"/>
        <scheme val="minor"/>
      </rPr>
      <t>유동으로 분류된 부채</t>
    </r>
    <r>
      <rPr>
        <sz val="11"/>
        <color theme="1"/>
        <rFont val="맑은 고딕"/>
        <family val="3"/>
        <charset val="129"/>
        <scheme val="minor"/>
      </rPr>
      <t xml:space="preserve">를 장기채무로 차환한 경우(또는 만기연장)
⑵ </t>
    </r>
    <r>
      <rPr>
        <sz val="11"/>
        <color rgb="FFFF0000"/>
        <rFont val="맑은 고딕"/>
        <family val="3"/>
        <charset val="129"/>
        <scheme val="minor"/>
      </rPr>
      <t>장기</t>
    </r>
    <r>
      <rPr>
        <sz val="11"/>
        <color theme="1"/>
        <rFont val="맑은 고딕"/>
        <family val="3"/>
        <charset val="129"/>
        <scheme val="minor"/>
      </rPr>
      <t xml:space="preserve">차입약정 위반으로 </t>
    </r>
    <r>
      <rPr>
        <sz val="11"/>
        <color rgb="FFFF0000"/>
        <rFont val="맑은 고딕"/>
        <family val="3"/>
        <charset val="129"/>
        <scheme val="minor"/>
      </rPr>
      <t xml:space="preserve">유동으로 분류된 부채에서 해당 위반사항이 해소된 경우 </t>
    </r>
    <r>
      <rPr>
        <sz val="11"/>
        <color theme="1"/>
        <rFont val="맑은 고딕"/>
        <family val="3"/>
        <charset val="129"/>
        <scheme val="minor"/>
      </rPr>
      <t xml:space="preserve">
⑶ </t>
    </r>
    <r>
      <rPr>
        <sz val="11"/>
        <color rgb="FFFF0000"/>
        <rFont val="맑은 고딕"/>
        <family val="3"/>
        <charset val="129"/>
        <scheme val="minor"/>
      </rPr>
      <t>장기차입약정 위반으로 유동으로 분류된 부채에서 해당</t>
    </r>
    <r>
      <rPr>
        <sz val="11"/>
        <color theme="1"/>
        <rFont val="맑은 고딕"/>
        <family val="3"/>
        <charset val="129"/>
        <scheme val="minor"/>
      </rPr>
      <t xml:space="preserve"> 위반을 해소할 수 있도록 보고기간종료일로부터 1년을 초과하는 유예기간을 </t>
    </r>
    <r>
      <rPr>
        <sz val="11"/>
        <color rgb="FFFF0000"/>
        <rFont val="맑은 고딕"/>
        <family val="3"/>
        <charset val="129"/>
        <scheme val="minor"/>
      </rPr>
      <t>채권자로부터 획득한 경우</t>
    </r>
    <r>
      <rPr>
        <sz val="11"/>
        <color theme="1"/>
        <rFont val="맑은 고딕"/>
        <family val="3"/>
        <charset val="129"/>
        <scheme val="minor"/>
      </rPr>
      <t xml:space="preserve">
⑷ </t>
    </r>
    <r>
      <rPr>
        <sz val="11"/>
        <color rgb="FFFF0000"/>
        <rFont val="맑은 고딕"/>
        <family val="3"/>
        <charset val="129"/>
        <scheme val="minor"/>
      </rPr>
      <t>비유동으로 분류된 부채를 결제한 경우</t>
    </r>
    <phoneticPr fontId="10" type="noConversion"/>
  </si>
  <si>
    <t>보고기간종료일과 재무제표가 사실상 확정된 날 사이에 발생한 다음과 같은 사건은 주석으로 기재한다. 
⑴장기채무로의 차환(또는 만기연장)
⑵차입약정 위반의 해소
⑶차입약정 위반을 해소할 수 있도록 보고기간종료일로부터 1년을 초과하는 유예기간을 획득</t>
    <phoneticPr fontId="1" type="noConversion"/>
  </si>
  <si>
    <t>K-GAAP 제2장 '재무제표의 작성과 표시 I' 문단 2.28의2 신설</t>
    <phoneticPr fontId="10" type="noConversion"/>
  </si>
  <si>
    <t>문단 2.22~2.27을 적용할 때, 차입 약정으로 인해 발생한 부채의 결제를 연기할 수 있는 기업의 권리가 보고기간종료일로부터 1년 이내에 약정사항을 준수하는지 여부에 좌우될 때, 기업이 그 부채를 비유동으로 분류하는 경우가 있을 수 있다(문단 2.22의3 참조). 이러한 상황에서 보고기간종료일로부터 1년 이내에 부채가 상환될 수 있는 위험을 재무제표이용자가 이해할 수 있도록 기업은 다음의 정보를 주석에 공시한다.
 ⑴ 약정사항에 관한 정보(약정사항의 성격 및 기업이 약정사항을 준수해야 하는 시점 포함)와 관련 부채의 장부금액.
 ⑵ 기업이 약정사항을 준수하기 어려울 수 있음을 나타내는 사실과 상황이 있다면 그 내용(예를 들어, 기업이 잠재적 위반을 피하거나 완화하기 위해 보고기간 중 또는 보고기간 후 조치를 취한 사실). 그러한 사실과 상황에는 보고기간종료일 현재 기업의 상황을 기초로 평가한다면 약정사항이 준수되지 않았을 것이라는 사실도 포함될 수 있다.</t>
    <phoneticPr fontId="1" type="noConversion"/>
  </si>
  <si>
    <r>
      <t>시행일
1 	일반기업회계기준 개정(2023년, 부채의 유동·비유동 분류)에 따라 문단 2.22⑶, 2.25, 2.26, 2.28을 개정하고, 2.22의2, 2.22의3, 2.27의2, 2.28의2, 2.28의3, 2.28의4를 추가하였다. 이 개정 내용은</t>
    </r>
    <r>
      <rPr>
        <sz val="11"/>
        <color rgb="FFFF0000"/>
        <rFont val="맑은 고딕"/>
        <family val="3"/>
        <charset val="129"/>
        <scheme val="minor"/>
      </rPr>
      <t xml:space="preserve"> 2024년 1월 1일부터 시행한다.</t>
    </r>
    <r>
      <rPr>
        <sz val="11"/>
        <color theme="1"/>
        <rFont val="맑은 고딕"/>
        <family val="3"/>
        <charset val="129"/>
        <scheme val="minor"/>
      </rPr>
      <t xml:space="preserve">
2	이 개정 내용은 시행일 이후 최초로 시작되는 회계연도부터 적용하되, </t>
    </r>
    <r>
      <rPr>
        <sz val="11"/>
        <color rgb="FFFF0000"/>
        <rFont val="맑은 고딕"/>
        <family val="3"/>
        <charset val="129"/>
        <scheme val="minor"/>
      </rPr>
      <t>조기 적용할 수도 있다.</t>
    </r>
    <r>
      <rPr>
        <sz val="11"/>
        <color theme="1"/>
        <rFont val="맑은 고딕"/>
        <family val="3"/>
        <charset val="129"/>
        <scheme val="minor"/>
      </rPr>
      <t xml:space="preserve">
경과규정
3	이 개정 내용은 시행일 이후 최초로 시작되는 회계연도부터 일반기업회계기준 제5장 ‘회계정책, 회계추정의 변경 및 오류’에 따라 소급적용한다.</t>
    </r>
    <phoneticPr fontId="10" type="noConversion"/>
  </si>
  <si>
    <t>기준서 조기도입</t>
    <phoneticPr fontId="1" type="noConversion"/>
  </si>
  <si>
    <t>* "해당여부"를 선택하고 "해당여부"가 "Y"인 경우 해당주석번호를 기재함
** 해당주석번호는 회사제시 재무제표의 주석번호를 의미함
*** 2023년 추가사항 및 개정이 포함된 항목은 굵은글씨(파란색)로 표시되어 있음</t>
    <phoneticPr fontId="10" type="noConversion"/>
  </si>
  <si>
    <r>
      <t>일반기업회계기준 개정(2023년, 부채의 유동</t>
    </r>
    <r>
      <rPr>
        <b/>
        <sz val="12"/>
        <color rgb="FF0070C0"/>
        <rFont val="Calibri"/>
        <family val="1"/>
      </rPr>
      <t>·</t>
    </r>
    <r>
      <rPr>
        <b/>
        <sz val="12"/>
        <color rgb="FF0070C0"/>
        <rFont val="HY신명조"/>
        <family val="1"/>
        <charset val="129"/>
      </rPr>
      <t>비유동 분류)에 따라 문단 2.22⑶, 2.25, 2.26, 2.28을 개정하고, 2.22의2, 2.22의3, 2.27의2, 2.28의2, 2.28의3, 2.28의4를 추가하였다. 이 개정 내용은 2024년 1월 1일부터 시행한다.
이 개정 내용은 시행일 이후 최초로 시작되는 회계연도부터 적용하되, 조기 적용할 수도 있다.</t>
    </r>
    <phoneticPr fontId="1" type="noConversion"/>
  </si>
  <si>
    <r>
      <t>문단 22.2의3에 따라 이연법인세 자산</t>
    </r>
    <r>
      <rPr>
        <b/>
        <sz val="12"/>
        <color rgb="FF0070C0"/>
        <rFont val="Tahoma"/>
        <family val="1"/>
        <charset val="1"/>
      </rPr>
      <t>․</t>
    </r>
    <r>
      <rPr>
        <b/>
        <sz val="12"/>
        <color rgb="FF0070C0"/>
        <rFont val="HY신명조"/>
        <family val="1"/>
        <charset val="129"/>
      </rPr>
      <t>부채 인식 및 공시에 대한 예외 규정을 적용하였다는 사실</t>
    </r>
    <phoneticPr fontId="1" type="noConversion"/>
  </si>
  <si>
    <r>
      <t xml:space="preserve">K-GAAP 제2장 재무제표의 작성과 표시 I 개정  '- 부채의 유동·비유동 분류' &gt;&gt; </t>
    </r>
    <r>
      <rPr>
        <b/>
        <sz val="11"/>
        <color rgb="FFFF0000"/>
        <rFont val="맑은 고딕"/>
        <family val="3"/>
        <charset val="129"/>
        <scheme val="minor"/>
      </rPr>
      <t>공표전</t>
    </r>
    <r>
      <rPr>
        <b/>
        <sz val="11"/>
        <color indexed="8"/>
        <rFont val="맑은 고딕"/>
        <family val="3"/>
        <charset val="129"/>
      </rPr>
      <t xml:space="preserve">	&gt;&gt;</t>
    </r>
    <r>
      <rPr>
        <b/>
        <sz val="11"/>
        <color rgb="FFFF0000"/>
        <rFont val="맑은 고딕"/>
        <family val="3"/>
        <charset val="129"/>
      </rPr>
      <t>2024년 1월 1일 이후 최초로 시작되는 회계연도부터 적용, 조기적용가능</t>
    </r>
    <phoneticPr fontId="10" type="noConversion"/>
  </si>
  <si>
    <t>(본 공시사항점검표는 2023년 08월 25일 현재 유효한 회계기준에 따라 작성되었으며, 이후의 제/개정사항에 대해 추가로 검토하여야 함)</t>
    <phoneticPr fontId="1" type="noConversion"/>
  </si>
  <si>
    <t>23년4분기중
공표예정</t>
    <phoneticPr fontId="1" type="noConversion"/>
  </si>
  <si>
    <t>7.1.1</t>
    <phoneticPr fontId="10" type="noConversion"/>
  </si>
  <si>
    <r>
      <t>K-GAAP 제2장 재무제표의 작성과 표시 I 개정  '- 부채의 유동</t>
    </r>
    <r>
      <rPr>
        <b/>
        <sz val="11"/>
        <color rgb="FF0070C0"/>
        <rFont val="Calibri"/>
        <family val="1"/>
      </rPr>
      <t>·</t>
    </r>
    <r>
      <rPr>
        <b/>
        <sz val="11"/>
        <color rgb="FF0070C0"/>
        <rFont val="HY신명조"/>
        <family val="1"/>
        <charset val="129"/>
      </rPr>
      <t>비유동 분류'</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</si>
</sst>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0\)"/>
  </numFmts>
  <fonts count="35">
    <font>
      <sz val="11"/>
      <color theme="1"/>
      <name val="맑은 고딕"/>
      <family val="2"/>
      <charset val="129"/>
      <scheme val="minor"/>
    </font>
    <font>
      <sz val="8"/>
      <name val="맑은 고딕"/>
      <family val="2"/>
      <charset val="129"/>
      <scheme val="minor"/>
    </font>
    <font>
      <sz val="12"/>
      <name val="HY신명조"/>
      <family val="1"/>
      <charset val="129"/>
    </font>
    <font>
      <b/>
      <u/>
      <sz val="12"/>
      <name val="HY신명조"/>
      <family val="1"/>
      <charset val="129"/>
    </font>
    <font>
      <b/>
      <sz val="14"/>
      <name val="HY신명조"/>
      <family val="1"/>
      <charset val="129"/>
    </font>
    <font>
      <sz val="14"/>
      <name val="HY신명조"/>
      <family val="1"/>
      <charset val="129"/>
    </font>
    <font>
      <sz val="11"/>
      <name val="HY신명조"/>
      <family val="1"/>
      <charset val="129"/>
    </font>
    <font>
      <sz val="12"/>
      <name val="맑은 고딕"/>
      <family val="3"/>
      <charset val="129"/>
      <scheme val="minor"/>
    </font>
    <font>
      <sz val="10"/>
      <name val="HY신명조"/>
      <family val="1"/>
      <charset val="129"/>
    </font>
    <font>
      <strike/>
      <sz val="12"/>
      <name val="HY신명조"/>
      <family val="1"/>
      <charset val="129"/>
    </font>
    <font>
      <sz val="8"/>
      <name val="맑은 고딕"/>
      <family val="3"/>
      <charset val="129"/>
    </font>
    <font>
      <b/>
      <sz val="12"/>
      <color rgb="FFFF0000"/>
      <name val="HY신명조"/>
      <family val="1"/>
      <charset val="129"/>
    </font>
    <font>
      <sz val="11"/>
      <color rgb="FFFF0000"/>
      <name val="HY신명조"/>
      <family val="1"/>
      <charset val="129"/>
    </font>
    <font>
      <sz val="10"/>
      <color rgb="FFFF0000"/>
      <name val="맑은 고딕"/>
      <family val="3"/>
      <charset val="129"/>
      <scheme val="minor"/>
    </font>
    <font>
      <b/>
      <sz val="12"/>
      <name val="HY신명조"/>
      <family val="1"/>
      <charset val="129"/>
    </font>
    <font>
      <sz val="11"/>
      <color theme="1"/>
      <name val="맑은 고딕"/>
      <family val="3"/>
      <charset val="129"/>
      <scheme val="minor"/>
    </font>
    <font>
      <b/>
      <sz val="11"/>
      <name val="HY신명조"/>
      <family val="1"/>
      <charset val="129"/>
    </font>
    <font>
      <sz val="11"/>
      <name val="Arial Unicode MS"/>
      <family val="3"/>
      <charset val="129"/>
    </font>
    <font>
      <sz val="9"/>
      <name val="HY신명조"/>
      <family val="1"/>
      <charset val="129"/>
    </font>
    <font>
      <sz val="10"/>
      <name val="맑은 고딕"/>
      <family val="3"/>
      <charset val="129"/>
      <scheme val="minor"/>
    </font>
    <font>
      <b/>
      <sz val="11"/>
      <color theme="4" tint="-0.249977111117893"/>
      <name val="HY신명조"/>
      <family val="1"/>
      <charset val="129"/>
    </font>
    <font>
      <b/>
      <sz val="11"/>
      <color theme="1"/>
      <name val="맑은 고딕"/>
      <family val="3"/>
      <charset val="129"/>
      <scheme val="minor"/>
    </font>
    <font>
      <b/>
      <sz val="11"/>
      <color indexed="10"/>
      <name val="맑은 고딕"/>
      <family val="3"/>
      <charset val="129"/>
    </font>
    <font>
      <b/>
      <sz val="11"/>
      <color indexed="8"/>
      <name val="맑은 고딕"/>
      <family val="3"/>
      <charset val="129"/>
    </font>
    <font>
      <sz val="11"/>
      <color rgb="FFFF0000"/>
      <name val="맑은 고딕"/>
      <family val="3"/>
      <charset val="129"/>
      <scheme val="minor"/>
    </font>
    <font>
      <sz val="11"/>
      <color indexed="10"/>
      <name val="맑은 고딕"/>
      <family val="3"/>
      <charset val="129"/>
    </font>
    <font>
      <sz val="11"/>
      <color rgb="FFFF0000"/>
      <name val="Tahoma"/>
      <family val="3"/>
      <charset val="1"/>
    </font>
    <font>
      <b/>
      <sz val="11"/>
      <color rgb="FFFF0000"/>
      <name val="맑은 고딕"/>
      <family val="3"/>
      <charset val="129"/>
    </font>
    <font>
      <b/>
      <sz val="11"/>
      <color rgb="FF0070C0"/>
      <name val="HY신명조"/>
      <family val="1"/>
      <charset val="129"/>
    </font>
    <font>
      <b/>
      <sz val="12"/>
      <color rgb="FF0070C0"/>
      <name val="HY신명조"/>
      <family val="1"/>
      <charset val="129"/>
    </font>
    <font>
      <b/>
      <sz val="12"/>
      <color rgb="FF0070C0"/>
      <name val="Calibri"/>
      <family val="1"/>
    </font>
    <font>
      <b/>
      <sz val="10"/>
      <color rgb="FF0070C0"/>
      <name val="HY신명조"/>
      <family val="1"/>
      <charset val="129"/>
    </font>
    <font>
      <b/>
      <sz val="12"/>
      <color rgb="FF0070C0"/>
      <name val="Tahoma"/>
      <family val="1"/>
      <charset val="1"/>
    </font>
    <font>
      <b/>
      <sz val="11"/>
      <color rgb="FFFF0000"/>
      <name val="맑은 고딕"/>
      <family val="3"/>
      <charset val="129"/>
      <scheme val="minor"/>
    </font>
    <font>
      <b/>
      <sz val="11"/>
      <color rgb="FF0070C0"/>
      <name val="Calibri"/>
      <family val="1"/>
    </font>
  </fonts>
  <fills count="5">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9" tint="0.59999389629810485"/>
        <bgColor indexed="64"/>
      </patternFill>
    </fill>
  </fills>
  <borders count="49">
    <border>
      <left/>
      <right/>
      <top/>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right style="thin">
        <color rgb="FF000000"/>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rgb="FF000000"/>
      </right>
      <top style="thin">
        <color indexed="64"/>
      </top>
      <bottom/>
      <diagonal/>
    </border>
    <border>
      <left/>
      <right style="thin">
        <color rgb="FF000000"/>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bottom/>
      <diagonal/>
    </border>
    <border>
      <left style="thin">
        <color indexed="64"/>
      </left>
      <right/>
      <top style="hair">
        <color indexed="64"/>
      </top>
      <bottom style="thin">
        <color indexed="64"/>
      </bottom>
      <diagonal/>
    </border>
    <border>
      <left/>
      <right style="thin">
        <color indexed="64"/>
      </right>
      <top style="thin">
        <color indexed="64"/>
      </top>
      <bottom/>
      <diagonal/>
    </border>
    <border>
      <left style="thin">
        <color rgb="FF000000"/>
      </left>
      <right/>
      <top/>
      <bottom/>
      <diagonal/>
    </border>
    <border>
      <left style="thin">
        <color indexed="64"/>
      </left>
      <right/>
      <top/>
      <bottom/>
      <diagonal/>
    </border>
    <border>
      <left style="thin">
        <color indexed="64"/>
      </left>
      <right/>
      <top/>
      <bottom style="thin">
        <color indexed="64"/>
      </bottom>
      <diagonal/>
    </border>
    <border>
      <left style="thin">
        <color rgb="FF000000"/>
      </left>
      <right/>
      <top/>
      <bottom style="thin">
        <color indexed="64"/>
      </bottom>
      <diagonal/>
    </border>
    <border>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top style="thin">
        <color indexed="64"/>
      </top>
      <bottom/>
      <diagonal/>
    </border>
    <border>
      <left style="thin">
        <color indexed="64"/>
      </left>
      <right style="thin">
        <color rgb="FF000000"/>
      </right>
      <top/>
      <bottom style="thin">
        <color indexed="64"/>
      </bottom>
      <diagonal/>
    </border>
    <border>
      <left style="thin">
        <color indexed="64"/>
      </left>
      <right/>
      <top style="thin">
        <color indexed="64"/>
      </top>
      <bottom/>
      <diagonal/>
    </border>
    <border>
      <left style="thin">
        <color indexed="64"/>
      </left>
      <right style="thin">
        <color rgb="FF000000"/>
      </right>
      <top style="thin">
        <color indexed="64"/>
      </top>
      <bottom style="thin">
        <color indexed="64"/>
      </bottom>
      <diagonal/>
    </border>
  </borders>
  <cellStyleXfs count="2">
    <xf numFmtId="0" fontId="0" fillId="0" borderId="0">
      <alignment vertical="center"/>
    </xf>
    <xf numFmtId="0" fontId="15" fillId="0" borderId="0">
      <alignment vertical="center"/>
    </xf>
  </cellStyleXfs>
  <cellXfs count="309">
    <xf numFmtId="0" fontId="0" fillId="0" borderId="0" xfId="0">
      <alignment vertical="center"/>
    </xf>
    <xf numFmtId="0" fontId="2" fillId="0" borderId="0" xfId="1" applyFont="1">
      <alignment vertical="center"/>
    </xf>
    <xf numFmtId="0" fontId="8" fillId="0" borderId="0" xfId="1" applyFont="1">
      <alignment vertical="center"/>
    </xf>
    <xf numFmtId="0" fontId="8" fillId="0" borderId="0" xfId="1" applyFont="1" applyAlignment="1">
      <alignment horizontal="right" vertical="center" shrinkToFit="1"/>
    </xf>
    <xf numFmtId="0" fontId="8" fillId="0" borderId="0" xfId="1" applyFont="1" applyAlignment="1">
      <alignment horizontal="center" vertical="center" wrapText="1"/>
    </xf>
    <xf numFmtId="0" fontId="2" fillId="0" borderId="0" xfId="1" applyFont="1" applyAlignment="1">
      <alignment horizontal="left" vertical="center" wrapText="1"/>
    </xf>
    <xf numFmtId="0" fontId="2" fillId="0" borderId="0" xfId="1" applyFont="1" applyAlignment="1">
      <alignment horizontal="center" vertical="center" wrapText="1"/>
    </xf>
    <xf numFmtId="0" fontId="2" fillId="0" borderId="8" xfId="1" applyFont="1" applyBorder="1" applyAlignment="1">
      <alignment horizontal="center" vertical="center" wrapText="1"/>
    </xf>
    <xf numFmtId="0" fontId="2" fillId="0" borderId="8" xfId="1" applyFont="1" applyBorder="1" applyAlignment="1">
      <alignment horizontal="left" vertical="center" wrapText="1"/>
    </xf>
    <xf numFmtId="0" fontId="2" fillId="0" borderId="9" xfId="1" applyFont="1" applyBorder="1" applyAlignment="1">
      <alignment horizontal="center" vertical="center" wrapText="1"/>
    </xf>
    <xf numFmtId="0" fontId="2" fillId="0" borderId="9" xfId="1" applyFont="1" applyBorder="1" applyAlignment="1">
      <alignment horizontal="justify" vertical="center" wrapText="1"/>
    </xf>
    <xf numFmtId="0" fontId="16" fillId="0" borderId="0" xfId="1" applyFont="1" applyAlignment="1">
      <alignment horizontal="center"/>
    </xf>
    <xf numFmtId="0" fontId="6" fillId="0" borderId="0" xfId="1" applyFont="1">
      <alignment vertical="center"/>
    </xf>
    <xf numFmtId="0" fontId="16" fillId="0" borderId="17" xfId="1" applyFont="1" applyBorder="1" applyAlignment="1">
      <alignment horizontal="center" wrapText="1"/>
    </xf>
    <xf numFmtId="0" fontId="16" fillId="0" borderId="12" xfId="1" applyFont="1" applyBorder="1" applyAlignment="1">
      <alignment horizontal="center" vertical="center" wrapText="1"/>
    </xf>
    <xf numFmtId="0" fontId="16" fillId="0" borderId="13" xfId="1" applyFont="1" applyBorder="1" applyAlignment="1">
      <alignment horizontal="center" vertical="center"/>
    </xf>
    <xf numFmtId="0" fontId="6" fillId="0" borderId="12" xfId="1" applyFont="1" applyBorder="1">
      <alignment vertical="center"/>
    </xf>
    <xf numFmtId="0" fontId="6" fillId="0" borderId="12" xfId="1" applyFont="1" applyBorder="1" applyAlignment="1">
      <alignment horizontal="center" vertical="center" wrapText="1"/>
    </xf>
    <xf numFmtId="0" fontId="6" fillId="0" borderId="12" xfId="1" applyFont="1" applyBorder="1" applyAlignment="1">
      <alignment horizontal="center" vertical="center"/>
    </xf>
    <xf numFmtId="0" fontId="6" fillId="0" borderId="6" xfId="1" applyFont="1" applyBorder="1" applyAlignment="1"/>
    <xf numFmtId="0" fontId="6" fillId="0" borderId="18" xfId="1" applyFont="1" applyBorder="1" applyAlignment="1"/>
    <xf numFmtId="0" fontId="6" fillId="0" borderId="19" xfId="1" applyFont="1" applyBorder="1" applyAlignment="1"/>
    <xf numFmtId="0" fontId="6" fillId="0" borderId="20" xfId="1" applyFont="1" applyBorder="1" applyAlignment="1"/>
    <xf numFmtId="0" fontId="6" fillId="0" borderId="19" xfId="1" applyFont="1" applyBorder="1" applyAlignment="1">
      <alignment horizontal="center"/>
    </xf>
    <xf numFmtId="0" fontId="6" fillId="0" borderId="21" xfId="1" applyFont="1" applyBorder="1" applyAlignment="1">
      <alignment horizontal="center" vertical="center"/>
    </xf>
    <xf numFmtId="0" fontId="6" fillId="0" borderId="22" xfId="1" applyFont="1" applyBorder="1" applyAlignment="1">
      <alignment horizontal="center" vertical="center"/>
    </xf>
    <xf numFmtId="0" fontId="6" fillId="0" borderId="23" xfId="1" applyFont="1" applyBorder="1" applyAlignment="1"/>
    <xf numFmtId="0" fontId="6" fillId="0" borderId="24" xfId="1" applyFont="1" applyBorder="1" applyAlignment="1"/>
    <xf numFmtId="0" fontId="6" fillId="0" borderId="25" xfId="1" applyFont="1" applyBorder="1" applyAlignment="1"/>
    <xf numFmtId="0" fontId="6" fillId="0" borderId="24" xfId="1" applyFont="1" applyBorder="1" applyAlignment="1">
      <alignment horizontal="center"/>
    </xf>
    <xf numFmtId="0" fontId="6" fillId="0" borderId="26" xfId="1" applyFont="1" applyBorder="1" applyAlignment="1">
      <alignment horizontal="center" vertical="center"/>
    </xf>
    <xf numFmtId="0" fontId="6" fillId="0" borderId="25" xfId="1" applyFont="1" applyBorder="1" applyAlignment="1">
      <alignment horizontal="center" vertical="center"/>
    </xf>
    <xf numFmtId="0" fontId="6" fillId="0" borderId="27" xfId="1" applyFont="1" applyBorder="1" applyAlignment="1"/>
    <xf numFmtId="0" fontId="6" fillId="0" borderId="28" xfId="1" applyFont="1" applyBorder="1" applyAlignment="1"/>
    <xf numFmtId="0" fontId="6" fillId="0" borderId="29" xfId="1" applyFont="1" applyBorder="1" applyAlignment="1"/>
    <xf numFmtId="0" fontId="6" fillId="0" borderId="26" xfId="1" applyFont="1" applyBorder="1" applyAlignment="1"/>
    <xf numFmtId="0" fontId="6" fillId="0" borderId="7" xfId="1" applyFont="1" applyBorder="1" applyAlignment="1"/>
    <xf numFmtId="0" fontId="6" fillId="0" borderId="8" xfId="1" applyFont="1" applyBorder="1" applyAlignment="1"/>
    <xf numFmtId="0" fontId="6" fillId="0" borderId="15" xfId="1" applyFont="1" applyBorder="1" applyAlignment="1"/>
    <xf numFmtId="0" fontId="6" fillId="0" borderId="8" xfId="1" applyFont="1" applyBorder="1" applyAlignment="1">
      <alignment horizontal="center"/>
    </xf>
    <xf numFmtId="0" fontId="6" fillId="0" borderId="30" xfId="1" applyFont="1" applyBorder="1" applyAlignment="1">
      <alignment horizontal="center" vertical="center"/>
    </xf>
    <xf numFmtId="0" fontId="6" fillId="0" borderId="31" xfId="1" applyFont="1" applyBorder="1" applyAlignment="1">
      <alignment horizontal="center" vertical="center"/>
    </xf>
    <xf numFmtId="0" fontId="6" fillId="0" borderId="32" xfId="1" applyFont="1" applyBorder="1" applyAlignment="1"/>
    <xf numFmtId="0" fontId="6" fillId="0" borderId="33" xfId="1" applyFont="1" applyBorder="1" applyAlignment="1"/>
    <xf numFmtId="0" fontId="6" fillId="0" borderId="22" xfId="1" applyFont="1" applyBorder="1" applyAlignment="1"/>
    <xf numFmtId="0" fontId="6" fillId="0" borderId="33" xfId="1" applyFont="1" applyBorder="1" applyAlignment="1">
      <alignment horizontal="center"/>
    </xf>
    <xf numFmtId="0" fontId="6" fillId="0" borderId="34" xfId="1" applyFont="1" applyBorder="1" applyAlignment="1"/>
    <xf numFmtId="0" fontId="6" fillId="0" borderId="35" xfId="1" applyFont="1" applyBorder="1" applyAlignment="1"/>
    <xf numFmtId="0" fontId="6" fillId="0" borderId="31" xfId="1" applyFont="1" applyBorder="1" applyAlignment="1"/>
    <xf numFmtId="0" fontId="6" fillId="0" borderId="35" xfId="1" applyFont="1" applyBorder="1" applyAlignment="1">
      <alignment horizontal="center"/>
    </xf>
    <xf numFmtId="0" fontId="6" fillId="0" borderId="29" xfId="1" applyFont="1" applyBorder="1" applyAlignment="1">
      <alignment horizontal="center" vertical="center"/>
    </xf>
    <xf numFmtId="0" fontId="6" fillId="0" borderId="20" xfId="1" applyFont="1" applyBorder="1" applyAlignment="1">
      <alignment horizontal="center" vertical="center"/>
    </xf>
    <xf numFmtId="0" fontId="6" fillId="0" borderId="26" xfId="1" applyFont="1" applyBorder="1" applyAlignment="1">
      <alignment horizontal="center"/>
    </xf>
    <xf numFmtId="0" fontId="6" fillId="0" borderId="0" xfId="1" applyFont="1" applyAlignment="1">
      <alignment horizontal="center"/>
    </xf>
    <xf numFmtId="0" fontId="6" fillId="0" borderId="6" xfId="1" quotePrefix="1" applyFont="1" applyBorder="1" applyAlignment="1">
      <alignment horizontal="right"/>
    </xf>
    <xf numFmtId="0" fontId="6" fillId="0" borderId="23" xfId="1" applyFont="1" applyBorder="1" applyAlignment="1">
      <alignment horizontal="center" vertical="center"/>
    </xf>
    <xf numFmtId="0" fontId="6" fillId="0" borderId="28" xfId="1" applyFont="1" applyBorder="1" applyAlignment="1">
      <alignment horizontal="center" vertical="center"/>
    </xf>
    <xf numFmtId="0" fontId="6" fillId="0" borderId="37" xfId="1" applyFont="1" applyBorder="1" applyAlignment="1">
      <alignment horizontal="center"/>
    </xf>
    <xf numFmtId="0" fontId="6" fillId="0" borderId="19" xfId="1" applyFont="1" applyBorder="1">
      <alignment vertical="center"/>
    </xf>
    <xf numFmtId="0" fontId="6" fillId="0" borderId="24" xfId="1" applyFont="1" applyBorder="1">
      <alignment vertical="center"/>
    </xf>
    <xf numFmtId="0" fontId="6" fillId="0" borderId="30" xfId="1" applyFont="1" applyBorder="1" applyAlignment="1">
      <alignment horizontal="center"/>
    </xf>
    <xf numFmtId="0" fontId="6" fillId="0" borderId="12" xfId="1" applyFont="1" applyBorder="1" applyAlignment="1"/>
    <xf numFmtId="0" fontId="6" fillId="0" borderId="9" xfId="1" applyFont="1" applyBorder="1" applyAlignment="1"/>
    <xf numFmtId="0" fontId="6" fillId="0" borderId="13" xfId="1" applyFont="1" applyBorder="1" applyAlignment="1"/>
    <xf numFmtId="0" fontId="6" fillId="0" borderId="13" xfId="1" applyFont="1" applyBorder="1" applyAlignment="1">
      <alignment horizontal="center" vertical="center"/>
    </xf>
    <xf numFmtId="0" fontId="17" fillId="0" borderId="5" xfId="1" applyFont="1" applyBorder="1" applyAlignment="1">
      <alignment horizontal="right" vertical="center"/>
    </xf>
    <xf numFmtId="0" fontId="6" fillId="0" borderId="6" xfId="1" applyFont="1" applyBorder="1">
      <alignment vertical="center"/>
    </xf>
    <xf numFmtId="0" fontId="6" fillId="0" borderId="34" xfId="1" applyFont="1" applyBorder="1">
      <alignment vertical="center"/>
    </xf>
    <xf numFmtId="0" fontId="6" fillId="0" borderId="25" xfId="1" applyFont="1" applyBorder="1">
      <alignment vertical="center"/>
    </xf>
    <xf numFmtId="0" fontId="6" fillId="0" borderId="23" xfId="1" applyFont="1" applyBorder="1" applyAlignment="1">
      <alignment horizontal="center"/>
    </xf>
    <xf numFmtId="0" fontId="6" fillId="0" borderId="9" xfId="1" applyFont="1" applyBorder="1" applyAlignment="1">
      <alignment horizontal="center"/>
    </xf>
    <xf numFmtId="0" fontId="6" fillId="0" borderId="17" xfId="1" applyFont="1" applyBorder="1" applyAlignment="1"/>
    <xf numFmtId="0" fontId="6" fillId="0" borderId="30" xfId="1" quotePrefix="1" applyFont="1" applyBorder="1" applyAlignment="1">
      <alignment horizontal="right"/>
    </xf>
    <xf numFmtId="0" fontId="6" fillId="0" borderId="6" xfId="1" applyFont="1" applyBorder="1" applyAlignment="1">
      <alignment horizontal="center" vertical="center"/>
    </xf>
    <xf numFmtId="0" fontId="6" fillId="0" borderId="36" xfId="1" applyFont="1" applyBorder="1" applyAlignment="1">
      <alignment horizontal="center" vertical="center"/>
    </xf>
    <xf numFmtId="0" fontId="6" fillId="0" borderId="5" xfId="1" applyFont="1" applyBorder="1" applyAlignment="1"/>
    <xf numFmtId="0" fontId="6" fillId="0" borderId="21" xfId="1" applyFont="1" applyBorder="1" applyAlignment="1">
      <alignment horizontal="center"/>
    </xf>
    <xf numFmtId="0" fontId="6" fillId="0" borderId="0" xfId="1" applyFont="1" applyAlignment="1"/>
    <xf numFmtId="0" fontId="6" fillId="0" borderId="36" xfId="1" applyFont="1" applyBorder="1" applyAlignment="1"/>
    <xf numFmtId="0" fontId="6" fillId="0" borderId="6" xfId="1" applyFont="1" applyBorder="1" applyAlignment="1">
      <alignment horizontal="center"/>
    </xf>
    <xf numFmtId="0" fontId="6" fillId="0" borderId="12" xfId="1" applyFont="1" applyBorder="1" applyAlignment="1">
      <alignment horizontal="center"/>
    </xf>
    <xf numFmtId="0" fontId="6" fillId="0" borderId="12" xfId="1" applyFont="1" applyBorder="1" applyAlignment="1">
      <alignment horizontal="left" vertical="center"/>
    </xf>
    <xf numFmtId="0" fontId="6" fillId="0" borderId="12" xfId="1" quotePrefix="1" applyFont="1" applyBorder="1" applyAlignment="1">
      <alignment horizontal="left" vertical="center"/>
    </xf>
    <xf numFmtId="0" fontId="2" fillId="0" borderId="0" xfId="0" applyFont="1">
      <alignment vertical="center"/>
    </xf>
    <xf numFmtId="176" fontId="2" fillId="0" borderId="0" xfId="0" applyNumberFormat="1" applyFont="1">
      <alignment vertical="center"/>
    </xf>
    <xf numFmtId="0" fontId="2" fillId="0" borderId="0" xfId="0" applyFont="1" applyAlignment="1">
      <alignment vertical="center" wrapText="1"/>
    </xf>
    <xf numFmtId="0" fontId="2" fillId="0" borderId="0" xfId="0" applyFont="1" applyAlignment="1">
      <alignment horizontal="center" vertical="center"/>
    </xf>
    <xf numFmtId="0" fontId="5" fillId="0" borderId="0" xfId="0" applyFont="1">
      <alignment vertical="center"/>
    </xf>
    <xf numFmtId="176" fontId="5" fillId="0" borderId="0" xfId="0" applyNumberFormat="1" applyFont="1">
      <alignment vertical="center"/>
    </xf>
    <xf numFmtId="0" fontId="4" fillId="0" borderId="0" xfId="0" applyFont="1" applyAlignment="1">
      <alignment horizontal="center" vertical="center" wrapText="1"/>
    </xf>
    <xf numFmtId="0" fontId="2" fillId="0" borderId="0" xfId="0" applyFont="1" applyAlignment="1">
      <alignment horizontal="center" vertical="center" wrapText="1"/>
    </xf>
    <xf numFmtId="0" fontId="6" fillId="0" borderId="0" xfId="0" applyFont="1">
      <alignment vertical="center"/>
    </xf>
    <xf numFmtId="176" fontId="6" fillId="0" borderId="0" xfId="0" applyNumberFormat="1" applyFont="1">
      <alignment vertical="center"/>
    </xf>
    <xf numFmtId="0" fontId="6" fillId="0" borderId="0" xfId="0" applyFont="1" applyAlignment="1">
      <alignment vertical="center" wrapText="1"/>
    </xf>
    <xf numFmtId="0" fontId="6" fillId="0" borderId="0" xfId="0" applyFont="1" applyAlignment="1">
      <alignment horizontal="center" vertical="center" wrapText="1"/>
    </xf>
    <xf numFmtId="0" fontId="2" fillId="0" borderId="15"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5" xfId="0" applyFont="1" applyBorder="1" applyAlignment="1">
      <alignment horizontal="justify" vertical="center" wrapText="1"/>
    </xf>
    <xf numFmtId="0" fontId="2" fillId="0" borderId="8" xfId="0" applyFont="1" applyBorder="1" applyAlignment="1">
      <alignment horizontal="justify" vertical="center" wrapText="1"/>
    </xf>
    <xf numFmtId="0" fontId="6" fillId="0" borderId="16" xfId="0" applyFont="1" applyBorder="1">
      <alignment vertical="center"/>
    </xf>
    <xf numFmtId="176" fontId="6" fillId="0" borderId="16" xfId="0" applyNumberFormat="1" applyFont="1" applyBorder="1">
      <alignment vertical="center"/>
    </xf>
    <xf numFmtId="0" fontId="6" fillId="0" borderId="16" xfId="0" applyFont="1" applyBorder="1" applyAlignment="1">
      <alignment vertical="center" wrapText="1"/>
    </xf>
    <xf numFmtId="0" fontId="2" fillId="0" borderId="13"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3" xfId="0" applyFont="1" applyBorder="1" applyAlignment="1">
      <alignment horizontal="justify" vertical="center" wrapText="1"/>
    </xf>
    <xf numFmtId="0" fontId="2" fillId="0" borderId="9" xfId="0" applyFont="1" applyBorder="1" applyAlignment="1">
      <alignment horizontal="justify" vertical="center" wrapText="1"/>
    </xf>
    <xf numFmtId="0" fontId="6" fillId="0" borderId="0" xfId="0" applyFont="1" applyAlignment="1">
      <alignment horizontal="left" vertical="center"/>
    </xf>
    <xf numFmtId="0" fontId="2" fillId="0" borderId="0" xfId="0" applyFont="1" applyAlignment="1">
      <alignment horizontal="justify" vertical="center" wrapText="1"/>
    </xf>
    <xf numFmtId="0" fontId="2" fillId="0" borderId="0" xfId="0" applyFont="1" applyAlignment="1">
      <alignment horizontal="left" vertical="center"/>
    </xf>
    <xf numFmtId="0" fontId="14" fillId="0" borderId="12" xfId="0" applyFont="1" applyBorder="1" applyAlignment="1">
      <alignment horizontal="center" vertical="center"/>
    </xf>
    <xf numFmtId="49" fontId="16" fillId="0" borderId="12" xfId="0" applyNumberFormat="1" applyFont="1" applyBorder="1">
      <alignment vertical="center"/>
    </xf>
    <xf numFmtId="0" fontId="14" fillId="0" borderId="0" xfId="0" applyFont="1">
      <alignment vertical="center"/>
    </xf>
    <xf numFmtId="49" fontId="6" fillId="0" borderId="12" xfId="0" applyNumberFormat="1" applyFont="1" applyBorder="1">
      <alignment vertical="center"/>
    </xf>
    <xf numFmtId="0" fontId="14" fillId="0" borderId="8" xfId="0" applyFont="1" applyBorder="1" applyAlignment="1">
      <alignment horizontal="left" vertical="center"/>
    </xf>
    <xf numFmtId="0" fontId="2" fillId="0" borderId="12" xfId="0" applyFont="1" applyBorder="1" applyAlignment="1">
      <alignment horizontal="center" vertical="center" wrapText="1"/>
    </xf>
    <xf numFmtId="0" fontId="2" fillId="0" borderId="6" xfId="0" applyFont="1" applyBorder="1">
      <alignment vertical="center"/>
    </xf>
    <xf numFmtId="0" fontId="2" fillId="0" borderId="36" xfId="0" applyFont="1" applyBorder="1" applyAlignment="1">
      <alignment vertical="center" wrapText="1"/>
    </xf>
    <xf numFmtId="0" fontId="2" fillId="0" borderId="4" xfId="0" applyFont="1" applyBorder="1" applyAlignment="1">
      <alignment vertical="center" wrapText="1"/>
    </xf>
    <xf numFmtId="0" fontId="2" fillId="0" borderId="2" xfId="0" applyFont="1" applyBorder="1" applyAlignment="1">
      <alignment vertical="center" wrapText="1"/>
    </xf>
    <xf numFmtId="0" fontId="7" fillId="0" borderId="0" xfId="0" applyFont="1" applyAlignment="1">
      <alignment horizontal="justify" vertical="center"/>
    </xf>
    <xf numFmtId="0" fontId="2" fillId="0" borderId="40" xfId="0" applyFont="1" applyBorder="1">
      <alignment vertical="center"/>
    </xf>
    <xf numFmtId="0" fontId="2" fillId="0" borderId="36" xfId="0" applyFont="1" applyBorder="1">
      <alignment vertical="center"/>
    </xf>
    <xf numFmtId="0" fontId="2" fillId="0" borderId="41" xfId="0" applyFont="1" applyBorder="1">
      <alignment vertical="center"/>
    </xf>
    <xf numFmtId="176" fontId="2" fillId="0" borderId="8" xfId="0" applyNumberFormat="1" applyFont="1" applyBorder="1">
      <alignment vertical="center"/>
    </xf>
    <xf numFmtId="0" fontId="2" fillId="0" borderId="15" xfId="0" applyFont="1" applyBorder="1">
      <alignment vertical="center"/>
    </xf>
    <xf numFmtId="0" fontId="2" fillId="0" borderId="8" xfId="0" applyFont="1" applyBorder="1" applyAlignment="1">
      <alignment vertical="center" wrapText="1"/>
    </xf>
    <xf numFmtId="0" fontId="2" fillId="0" borderId="11" xfId="0" applyFont="1" applyBorder="1" applyAlignment="1">
      <alignment vertical="center" wrapText="1"/>
    </xf>
    <xf numFmtId="0" fontId="2" fillId="0" borderId="3" xfId="0" applyFont="1" applyBorder="1" applyAlignment="1">
      <alignment vertical="center" wrapText="1"/>
    </xf>
    <xf numFmtId="0" fontId="14" fillId="0" borderId="39" xfId="0" applyFont="1" applyBorder="1">
      <alignment vertical="center"/>
    </xf>
    <xf numFmtId="176" fontId="3" fillId="0" borderId="0" xfId="0" applyNumberFormat="1" applyFont="1">
      <alignment vertical="center"/>
    </xf>
    <xf numFmtId="0" fontId="3" fillId="0" borderId="0" xfId="0" applyFont="1">
      <alignment vertical="center"/>
    </xf>
    <xf numFmtId="0" fontId="2" fillId="0" borderId="0" xfId="0" applyFont="1" applyAlignment="1">
      <alignment vertical="top"/>
    </xf>
    <xf numFmtId="0" fontId="2" fillId="0" borderId="14" xfId="0" applyFont="1" applyBorder="1" applyAlignment="1">
      <alignment vertical="center" wrapText="1"/>
    </xf>
    <xf numFmtId="0" fontId="2" fillId="0" borderId="8" xfId="0" applyFont="1" applyBorder="1">
      <alignment vertical="center"/>
    </xf>
    <xf numFmtId="0" fontId="2" fillId="0" borderId="15" xfId="0" applyFont="1" applyBorder="1" applyAlignment="1">
      <alignment vertical="center" wrapText="1"/>
    </xf>
    <xf numFmtId="0" fontId="2" fillId="0" borderId="47" xfId="0" applyFont="1" applyBorder="1">
      <alignment vertical="center"/>
    </xf>
    <xf numFmtId="176" fontId="2" fillId="0" borderId="16" xfId="0" applyNumberFormat="1" applyFont="1" applyBorder="1">
      <alignment vertical="center"/>
    </xf>
    <xf numFmtId="0" fontId="2" fillId="0" borderId="10" xfId="0" applyFont="1" applyBorder="1" applyAlignment="1">
      <alignment vertical="center" wrapText="1"/>
    </xf>
    <xf numFmtId="0" fontId="2" fillId="0" borderId="1" xfId="0" applyFont="1" applyBorder="1" applyAlignment="1">
      <alignment vertical="center" wrapText="1"/>
    </xf>
    <xf numFmtId="0" fontId="2" fillId="0" borderId="17" xfId="0" applyFont="1" applyBorder="1">
      <alignment vertical="center"/>
    </xf>
    <xf numFmtId="176" fontId="2" fillId="0" borderId="9" xfId="0" applyNumberFormat="1" applyFont="1" applyBorder="1">
      <alignment vertical="center"/>
    </xf>
    <xf numFmtId="0" fontId="3" fillId="0" borderId="9" xfId="0" applyFont="1" applyBorder="1">
      <alignment vertical="center"/>
    </xf>
    <xf numFmtId="0" fontId="2" fillId="0" borderId="9" xfId="0" applyFont="1" applyBorder="1" applyAlignment="1">
      <alignment vertical="center" wrapText="1"/>
    </xf>
    <xf numFmtId="0" fontId="2" fillId="0" borderId="43" xfId="0" applyFont="1" applyBorder="1" applyAlignment="1">
      <alignment vertical="center" wrapText="1"/>
    </xf>
    <xf numFmtId="0" fontId="2" fillId="0" borderId="44" xfId="0" applyFont="1" applyBorder="1" applyAlignment="1">
      <alignment vertical="center" wrapText="1"/>
    </xf>
    <xf numFmtId="176" fontId="2" fillId="0" borderId="0" xfId="0" applyNumberFormat="1" applyFont="1" applyAlignment="1">
      <alignment vertical="top"/>
    </xf>
    <xf numFmtId="0" fontId="2" fillId="0" borderId="6" xfId="0" applyFont="1" applyBorder="1" applyAlignment="1">
      <alignment horizontal="center" vertical="center"/>
    </xf>
    <xf numFmtId="0" fontId="2" fillId="0" borderId="40" xfId="0" applyFont="1" applyBorder="1" applyAlignment="1">
      <alignment horizontal="left" vertical="center"/>
    </xf>
    <xf numFmtId="0" fontId="2" fillId="0" borderId="41" xfId="0" applyFont="1" applyBorder="1" applyAlignment="1">
      <alignment horizontal="left" vertical="center"/>
    </xf>
    <xf numFmtId="176" fontId="2" fillId="0" borderId="8" xfId="0" applyNumberFormat="1" applyFont="1" applyBorder="1" applyAlignment="1">
      <alignment vertical="top"/>
    </xf>
    <xf numFmtId="0" fontId="2" fillId="0" borderId="47" xfId="0" applyFont="1" applyBorder="1" applyAlignment="1">
      <alignment horizontal="left" vertical="center"/>
    </xf>
    <xf numFmtId="176" fontId="2" fillId="0" borderId="16" xfId="0" applyNumberFormat="1" applyFont="1" applyBorder="1" applyAlignment="1">
      <alignment vertical="top"/>
    </xf>
    <xf numFmtId="0" fontId="2" fillId="0" borderId="6" xfId="0" applyFont="1" applyBorder="1" applyAlignment="1">
      <alignment vertical="center" wrapText="1"/>
    </xf>
    <xf numFmtId="0" fontId="2" fillId="0" borderId="7" xfId="0" applyFont="1" applyBorder="1" applyAlignment="1">
      <alignment vertical="center" wrapText="1"/>
    </xf>
    <xf numFmtId="0" fontId="2" fillId="0" borderId="5" xfId="0" applyFont="1" applyBorder="1" applyAlignment="1">
      <alignment vertical="center" wrapText="1"/>
    </xf>
    <xf numFmtId="0" fontId="6" fillId="0" borderId="6" xfId="0" applyFont="1" applyBorder="1" applyAlignment="1">
      <alignment horizontal="center" vertical="center" wrapText="1"/>
    </xf>
    <xf numFmtId="0" fontId="2" fillId="0" borderId="4"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9" xfId="0" applyFont="1" applyBorder="1" applyAlignment="1">
      <alignment horizontal="left" vertical="center"/>
    </xf>
    <xf numFmtId="0" fontId="2" fillId="0" borderId="46" xfId="0" applyFont="1" applyBorder="1" applyAlignment="1">
      <alignment vertical="center" wrapText="1"/>
    </xf>
    <xf numFmtId="0" fontId="2" fillId="0" borderId="9" xfId="0" applyFont="1" applyBorder="1">
      <alignment vertical="center"/>
    </xf>
    <xf numFmtId="0" fontId="2" fillId="0" borderId="13" xfId="0" applyFont="1" applyBorder="1">
      <alignment vertical="center"/>
    </xf>
    <xf numFmtId="176" fontId="2" fillId="0" borderId="0" xfId="0" applyNumberFormat="1" applyFont="1" applyAlignment="1">
      <alignment horizontal="left" vertical="top"/>
    </xf>
    <xf numFmtId="176" fontId="2" fillId="0" borderId="0" xfId="0" applyNumberFormat="1" applyFont="1" applyAlignment="1">
      <alignment horizontal="left" vertical="center"/>
    </xf>
    <xf numFmtId="0" fontId="2" fillId="0" borderId="0" xfId="0" applyFont="1" applyAlignment="1">
      <alignment horizontal="left" vertical="top"/>
    </xf>
    <xf numFmtId="176" fontId="2" fillId="0" borderId="8" xfId="0" applyNumberFormat="1" applyFont="1" applyBorder="1" applyAlignment="1">
      <alignment horizontal="left" vertical="center"/>
    </xf>
    <xf numFmtId="176" fontId="2" fillId="0" borderId="8" xfId="0" applyNumberFormat="1" applyFont="1" applyBorder="1" applyAlignment="1">
      <alignment horizontal="left" vertical="top"/>
    </xf>
    <xf numFmtId="0" fontId="2" fillId="0" borderId="8" xfId="0" applyFont="1" applyBorder="1" applyAlignment="1">
      <alignment vertical="top"/>
    </xf>
    <xf numFmtId="0" fontId="2" fillId="0" borderId="17" xfId="0" applyFont="1" applyBorder="1" applyAlignment="1">
      <alignment horizontal="left" vertical="center"/>
    </xf>
    <xf numFmtId="176" fontId="2" fillId="0" borderId="9" xfId="0" applyNumberFormat="1" applyFont="1" applyBorder="1" applyAlignment="1">
      <alignment horizontal="left" vertical="top"/>
    </xf>
    <xf numFmtId="0" fontId="2" fillId="0" borderId="48" xfId="0" applyFont="1" applyBorder="1" applyAlignment="1">
      <alignment vertical="center" wrapText="1"/>
    </xf>
    <xf numFmtId="0" fontId="2" fillId="0" borderId="7" xfId="0" applyFont="1" applyBorder="1" applyAlignment="1">
      <alignment horizontal="center" vertical="center"/>
    </xf>
    <xf numFmtId="0" fontId="2" fillId="0" borderId="4" xfId="0" applyFont="1" applyBorder="1" applyAlignment="1">
      <alignment horizontal="center" vertical="center" wrapText="1"/>
    </xf>
    <xf numFmtId="0" fontId="2" fillId="0" borderId="36" xfId="0" quotePrefix="1" applyFont="1" applyBorder="1" applyAlignment="1">
      <alignment horizontal="left" vertical="center" wrapText="1"/>
    </xf>
    <xf numFmtId="176" fontId="18" fillId="0" borderId="0" xfId="0" applyNumberFormat="1" applyFont="1" applyAlignment="1">
      <alignment horizontal="left" vertical="top" wrapText="1"/>
    </xf>
    <xf numFmtId="0" fontId="2" fillId="0" borderId="8" xfId="0" applyFont="1" applyBorder="1" applyAlignment="1">
      <alignment horizontal="left" vertical="top"/>
    </xf>
    <xf numFmtId="49" fontId="6" fillId="0" borderId="12" xfId="0" quotePrefix="1" applyNumberFormat="1" applyFont="1" applyBorder="1">
      <alignment vertical="center"/>
    </xf>
    <xf numFmtId="0" fontId="2" fillId="0" borderId="0" xfId="0" quotePrefix="1" applyFont="1" applyAlignment="1">
      <alignment horizontal="left" vertical="center"/>
    </xf>
    <xf numFmtId="176" fontId="2" fillId="0" borderId="40" xfId="0" applyNumberFormat="1" applyFont="1" applyBorder="1" applyAlignment="1">
      <alignment horizontal="left" vertical="top"/>
    </xf>
    <xf numFmtId="0" fontId="2" fillId="0" borderId="6" xfId="0" applyFont="1" applyBorder="1" applyAlignment="1">
      <alignment horizontal="center" vertical="top" wrapText="1"/>
    </xf>
    <xf numFmtId="0" fontId="2" fillId="0" borderId="7" xfId="0" applyFont="1" applyBorder="1" applyAlignment="1">
      <alignment horizontal="center" vertical="top" wrapText="1"/>
    </xf>
    <xf numFmtId="0" fontId="9" fillId="0" borderId="6" xfId="0" applyFont="1" applyBorder="1" applyAlignment="1">
      <alignment horizontal="center" vertical="center" wrapText="1"/>
    </xf>
    <xf numFmtId="0" fontId="14" fillId="0" borderId="9" xfId="0" applyFont="1" applyBorder="1">
      <alignment vertical="center"/>
    </xf>
    <xf numFmtId="176" fontId="14" fillId="0" borderId="9" xfId="0" applyNumberFormat="1" applyFont="1" applyBorder="1">
      <alignment vertical="center"/>
    </xf>
    <xf numFmtId="0" fontId="11" fillId="0" borderId="9" xfId="0" applyFont="1" applyBorder="1" applyAlignment="1">
      <alignment horizontal="left" vertical="center" shrinkToFit="1"/>
    </xf>
    <xf numFmtId="0" fontId="12" fillId="0" borderId="7" xfId="0" applyFont="1" applyBorder="1">
      <alignment vertical="center"/>
    </xf>
    <xf numFmtId="0" fontId="13" fillId="0" borderId="7" xfId="0" applyFont="1" applyBorder="1">
      <alignment vertical="center"/>
    </xf>
    <xf numFmtId="49" fontId="6" fillId="0" borderId="5" xfId="0" applyNumberFormat="1" applyFont="1" applyBorder="1">
      <alignment vertical="center"/>
    </xf>
    <xf numFmtId="0" fontId="14" fillId="0" borderId="7" xfId="0" applyFont="1" applyBorder="1" applyAlignment="1">
      <alignment horizontal="center" vertical="center"/>
    </xf>
    <xf numFmtId="49" fontId="6" fillId="0" borderId="7" xfId="0" applyNumberFormat="1" applyFont="1" applyBorder="1">
      <alignment vertical="center"/>
    </xf>
    <xf numFmtId="0" fontId="14" fillId="0" borderId="0" xfId="0" applyFont="1" applyAlignment="1">
      <alignment horizontal="center" vertical="center"/>
    </xf>
    <xf numFmtId="49" fontId="6" fillId="0" borderId="0" xfId="0" applyNumberFormat="1" applyFont="1">
      <alignment vertical="center"/>
    </xf>
    <xf numFmtId="0" fontId="2" fillId="0" borderId="0" xfId="0" applyFont="1" applyAlignment="1">
      <alignment horizontal="left" vertical="center" wrapText="1"/>
    </xf>
    <xf numFmtId="0" fontId="2" fillId="0" borderId="36" xfId="0" applyFont="1" applyBorder="1" applyAlignment="1">
      <alignment horizontal="left" vertical="center" wrapText="1"/>
    </xf>
    <xf numFmtId="0" fontId="2" fillId="0" borderId="15" xfId="0" applyFont="1" applyBorder="1" applyAlignment="1">
      <alignment horizontal="left"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6" fillId="0" borderId="8" xfId="0" applyFont="1" applyBorder="1" applyAlignment="1">
      <alignment horizontal="left" vertical="center" wrapText="1"/>
    </xf>
    <xf numFmtId="0" fontId="14" fillId="2" borderId="12" xfId="0" applyFont="1" applyFill="1" applyBorder="1" applyAlignment="1">
      <alignment horizontal="center" vertical="center"/>
    </xf>
    <xf numFmtId="49" fontId="6" fillId="2" borderId="12" xfId="0" applyNumberFormat="1" applyFont="1" applyFill="1" applyBorder="1">
      <alignment vertical="center"/>
    </xf>
    <xf numFmtId="0" fontId="19" fillId="2" borderId="0" xfId="0" applyFont="1" applyFill="1">
      <alignment vertical="center"/>
    </xf>
    <xf numFmtId="0" fontId="20" fillId="0" borderId="6" xfId="0" applyFont="1" applyBorder="1">
      <alignment vertical="center"/>
    </xf>
    <xf numFmtId="0" fontId="20" fillId="0" borderId="24" xfId="0" applyFont="1" applyBorder="1">
      <alignment vertical="center"/>
    </xf>
    <xf numFmtId="0" fontId="20" fillId="0" borderId="25" xfId="0" applyFont="1" applyBorder="1">
      <alignment vertical="center"/>
    </xf>
    <xf numFmtId="0" fontId="20" fillId="0" borderId="26" xfId="0" applyFont="1" applyBorder="1" applyAlignment="1">
      <alignment horizontal="center" vertical="center"/>
    </xf>
    <xf numFmtId="0" fontId="20" fillId="0" borderId="25" xfId="0" applyFont="1" applyBorder="1" applyAlignment="1">
      <alignment horizontal="center" vertical="center"/>
    </xf>
    <xf numFmtId="0" fontId="20" fillId="0" borderId="12" xfId="0" applyFont="1" applyBorder="1">
      <alignment vertical="center"/>
    </xf>
    <xf numFmtId="0" fontId="20" fillId="0" borderId="12" xfId="0" applyFont="1" applyBorder="1" applyAlignment="1">
      <alignment horizontal="center" vertical="center"/>
    </xf>
    <xf numFmtId="0" fontId="20" fillId="0" borderId="0" xfId="0" applyFont="1">
      <alignment vertical="center"/>
    </xf>
    <xf numFmtId="0" fontId="14" fillId="0" borderId="38" xfId="0" applyFont="1" applyBorder="1" applyAlignment="1">
      <alignment horizontal="center" vertical="center"/>
    </xf>
    <xf numFmtId="0" fontId="2" fillId="0" borderId="16" xfId="0" applyFont="1" applyBorder="1" applyAlignment="1">
      <alignment horizontal="center" vertical="center" wrapText="1"/>
    </xf>
    <xf numFmtId="0" fontId="2" fillId="0" borderId="16" xfId="0" applyFont="1" applyBorder="1" applyAlignment="1">
      <alignment vertical="center" wrapText="1"/>
    </xf>
    <xf numFmtId="0" fontId="14" fillId="0" borderId="40" xfId="0" applyFont="1" applyBorder="1">
      <alignment vertical="center"/>
    </xf>
    <xf numFmtId="0" fontId="21" fillId="0" borderId="0" xfId="1" applyFont="1">
      <alignment vertical="center"/>
    </xf>
    <xf numFmtId="0" fontId="15" fillId="0" borderId="0" xfId="1">
      <alignment vertical="center"/>
    </xf>
    <xf numFmtId="0" fontId="21" fillId="3" borderId="5" xfId="1" applyFont="1" applyFill="1" applyBorder="1" applyAlignment="1">
      <alignment horizontal="center" vertical="center"/>
    </xf>
    <xf numFmtId="0" fontId="21" fillId="0" borderId="0" xfId="1" applyFont="1" applyAlignment="1">
      <alignment vertical="center" wrapText="1"/>
    </xf>
    <xf numFmtId="0" fontId="15" fillId="0" borderId="12" xfId="1" applyBorder="1" applyAlignment="1">
      <alignment vertical="top" wrapText="1"/>
    </xf>
    <xf numFmtId="0" fontId="21" fillId="0" borderId="12" xfId="1" applyFont="1" applyBorder="1" applyAlignment="1">
      <alignment horizontal="center" vertical="center"/>
    </xf>
    <xf numFmtId="0" fontId="24" fillId="0" borderId="12" xfId="1" applyFont="1" applyBorder="1" applyAlignment="1">
      <alignment horizontal="left" vertical="center" wrapText="1"/>
    </xf>
    <xf numFmtId="0" fontId="24" fillId="0" borderId="12" xfId="1" applyFont="1" applyBorder="1" applyAlignment="1">
      <alignment vertical="center" wrapText="1"/>
    </xf>
    <xf numFmtId="0" fontId="24" fillId="0" borderId="12" xfId="1" applyFont="1" applyBorder="1" applyAlignment="1">
      <alignment vertical="top" wrapText="1"/>
    </xf>
    <xf numFmtId="0" fontId="15" fillId="0" borderId="12" xfId="1" applyBorder="1">
      <alignment vertical="center"/>
    </xf>
    <xf numFmtId="0" fontId="13" fillId="0" borderId="12" xfId="1" applyFont="1" applyBorder="1" applyAlignment="1">
      <alignment horizontal="left" vertical="top" wrapText="1"/>
    </xf>
    <xf numFmtId="0" fontId="6" fillId="0" borderId="17" xfId="0" applyFont="1" applyBorder="1" applyAlignment="1">
      <alignment horizontal="left" vertical="center"/>
    </xf>
    <xf numFmtId="0" fontId="6" fillId="0" borderId="9" xfId="0" applyFont="1" applyBorder="1" applyAlignment="1">
      <alignment horizontal="left" vertical="center"/>
    </xf>
    <xf numFmtId="0" fontId="6" fillId="0" borderId="13" xfId="0" applyFont="1" applyBorder="1" applyAlignment="1">
      <alignment horizontal="left" vertical="center"/>
    </xf>
    <xf numFmtId="0" fontId="6" fillId="0" borderId="13" xfId="0" applyFont="1" applyBorder="1">
      <alignment vertical="center"/>
    </xf>
    <xf numFmtId="0" fontId="19" fillId="0" borderId="12" xfId="0" applyFont="1" applyBorder="1" applyAlignment="1">
      <alignment horizontal="center" vertical="center"/>
    </xf>
    <xf numFmtId="0" fontId="6" fillId="0" borderId="12" xfId="0" applyFont="1" applyBorder="1" applyAlignment="1">
      <alignment horizontal="left" vertical="center"/>
    </xf>
    <xf numFmtId="0" fontId="6" fillId="0" borderId="5" xfId="1" applyFont="1" applyBorder="1" applyAlignment="1">
      <alignment horizontal="center"/>
    </xf>
    <xf numFmtId="0" fontId="6" fillId="0" borderId="5" xfId="1" applyFont="1" applyBorder="1" applyAlignment="1">
      <alignment horizontal="center" vertical="center"/>
    </xf>
    <xf numFmtId="0" fontId="6" fillId="0" borderId="38" xfId="1" applyFont="1" applyBorder="1" applyAlignment="1">
      <alignment horizontal="center" vertical="center"/>
    </xf>
    <xf numFmtId="0" fontId="6" fillId="0" borderId="34" xfId="0" applyFont="1" applyBorder="1">
      <alignment vertical="center"/>
    </xf>
    <xf numFmtId="0" fontId="29" fillId="0" borderId="6" xfId="0" applyFont="1" applyBorder="1" applyAlignment="1">
      <alignment horizontal="center" vertical="center" wrapText="1"/>
    </xf>
    <xf numFmtId="0" fontId="29" fillId="0" borderId="4" xfId="0" applyFont="1" applyBorder="1" applyAlignment="1">
      <alignment vertical="center" wrapText="1"/>
    </xf>
    <xf numFmtId="0" fontId="29" fillId="0" borderId="41" xfId="0" applyFont="1" applyBorder="1" applyAlignment="1">
      <alignment horizontal="left" vertical="center" wrapText="1"/>
    </xf>
    <xf numFmtId="176" fontId="29" fillId="0" borderId="8" xfId="0" applyNumberFormat="1" applyFont="1" applyBorder="1" applyAlignment="1">
      <alignment horizontal="left" vertical="top"/>
    </xf>
    <xf numFmtId="0" fontId="29" fillId="0" borderId="7" xfId="0" applyFont="1" applyBorder="1" applyAlignment="1">
      <alignment horizontal="center" vertical="center" wrapText="1"/>
    </xf>
    <xf numFmtId="0" fontId="29" fillId="0" borderId="2" xfId="0" applyFont="1" applyBorder="1" applyAlignment="1">
      <alignment vertical="center" wrapText="1"/>
    </xf>
    <xf numFmtId="0" fontId="29" fillId="0" borderId="0" xfId="0" applyFont="1" applyAlignment="1">
      <alignment vertical="center" wrapText="1"/>
    </xf>
    <xf numFmtId="0" fontId="29" fillId="0" borderId="8" xfId="0" applyFont="1" applyBorder="1" applyAlignment="1">
      <alignment vertical="center" wrapText="1"/>
    </xf>
    <xf numFmtId="0" fontId="31" fillId="0" borderId="5" xfId="0" applyFont="1" applyBorder="1" applyAlignment="1">
      <alignment vertical="center" wrapText="1"/>
    </xf>
    <xf numFmtId="0" fontId="31" fillId="0" borderId="6" xfId="0" applyFont="1" applyBorder="1" applyAlignment="1">
      <alignment vertical="center" wrapText="1"/>
    </xf>
    <xf numFmtId="0" fontId="31" fillId="0" borderId="7" xfId="0" applyFont="1" applyBorder="1" applyAlignment="1">
      <alignment vertical="center" wrapText="1"/>
    </xf>
    <xf numFmtId="0" fontId="28" fillId="0" borderId="26" xfId="1" applyFont="1" applyBorder="1" applyAlignment="1"/>
    <xf numFmtId="0" fontId="28" fillId="0" borderId="24" xfId="1" applyFont="1" applyBorder="1" applyAlignment="1"/>
    <xf numFmtId="0" fontId="28" fillId="0" borderId="47" xfId="1" applyFont="1" applyBorder="1" applyAlignment="1"/>
    <xf numFmtId="0" fontId="6" fillId="0" borderId="16" xfId="1" applyFont="1" applyBorder="1" applyAlignment="1"/>
    <xf numFmtId="0" fontId="6" fillId="0" borderId="38" xfId="1" applyFont="1" applyBorder="1" applyAlignment="1"/>
    <xf numFmtId="0" fontId="6" fillId="0" borderId="18" xfId="1" applyFont="1" applyBorder="1">
      <alignment vertical="center"/>
    </xf>
    <xf numFmtId="0" fontId="6" fillId="0" borderId="20" xfId="1" applyFont="1" applyBorder="1">
      <alignment vertical="center"/>
    </xf>
    <xf numFmtId="0" fontId="6" fillId="0" borderId="16" xfId="1" applyFont="1" applyBorder="1">
      <alignment vertical="center"/>
    </xf>
    <xf numFmtId="0" fontId="28" fillId="0" borderId="7" xfId="1" applyFont="1" applyBorder="1" applyAlignment="1"/>
    <xf numFmtId="0" fontId="28" fillId="0" borderId="12" xfId="0" applyFont="1" applyBorder="1" applyAlignment="1"/>
    <xf numFmtId="0" fontId="6" fillId="0" borderId="12" xfId="0" applyFont="1" applyBorder="1" applyAlignment="1">
      <alignment horizontal="center"/>
    </xf>
    <xf numFmtId="0" fontId="28" fillId="0" borderId="9" xfId="0" applyFont="1" applyBorder="1" applyAlignment="1"/>
    <xf numFmtId="0" fontId="16" fillId="0" borderId="13" xfId="0" applyFont="1" applyBorder="1" applyAlignment="1"/>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21" fillId="4" borderId="17" xfId="1" applyFont="1" applyFill="1" applyBorder="1" applyAlignment="1">
      <alignment horizontal="left" vertical="center" wrapText="1"/>
    </xf>
    <xf numFmtId="0" fontId="21" fillId="4" borderId="9" xfId="1" applyFont="1" applyFill="1" applyBorder="1" applyAlignment="1">
      <alignment horizontal="left" vertical="center" wrapText="1"/>
    </xf>
    <xf numFmtId="0" fontId="21" fillId="4" borderId="13" xfId="1" applyFont="1" applyFill="1" applyBorder="1" applyAlignment="1">
      <alignment horizontal="left" vertical="center" wrapText="1"/>
    </xf>
    <xf numFmtId="0" fontId="15" fillId="0" borderId="5" xfId="1" applyBorder="1" applyAlignment="1">
      <alignment horizontal="left" vertical="top" wrapText="1"/>
    </xf>
    <xf numFmtId="0" fontId="15" fillId="0" borderId="7" xfId="1" applyBorder="1" applyAlignment="1">
      <alignment horizontal="left" vertical="top" wrapText="1"/>
    </xf>
    <xf numFmtId="0" fontId="29" fillId="0" borderId="47" xfId="0" applyFont="1" applyBorder="1" applyAlignment="1">
      <alignment horizontal="left" vertical="center" wrapText="1"/>
    </xf>
    <xf numFmtId="0" fontId="29" fillId="0" borderId="16" xfId="0" applyFont="1" applyBorder="1" applyAlignment="1">
      <alignment horizontal="left" vertical="center" wrapText="1"/>
    </xf>
    <xf numFmtId="0" fontId="29" fillId="0" borderId="38" xfId="0" applyFont="1" applyBorder="1" applyAlignment="1">
      <alignment horizontal="left" vertical="center" wrapText="1"/>
    </xf>
    <xf numFmtId="0" fontId="2" fillId="0" borderId="17" xfId="0" applyFont="1" applyBorder="1" applyAlignment="1">
      <alignment horizontal="center" vertical="center"/>
    </xf>
    <xf numFmtId="0" fontId="2" fillId="0" borderId="9" xfId="0" applyFont="1" applyBorder="1" applyAlignment="1">
      <alignment horizontal="center" vertical="center"/>
    </xf>
    <xf numFmtId="0" fontId="2" fillId="0" borderId="13" xfId="0" applyFont="1" applyBorder="1" applyAlignment="1">
      <alignment horizontal="center" vertical="center"/>
    </xf>
    <xf numFmtId="0" fontId="6" fillId="0" borderId="8" xfId="0" applyFont="1" applyBorder="1" applyAlignment="1">
      <alignment horizontal="left" vertical="center"/>
    </xf>
    <xf numFmtId="0" fontId="6" fillId="0" borderId="0" xfId="0" applyFont="1" applyAlignment="1">
      <alignment horizontal="left" vertical="center" wrapText="1"/>
    </xf>
    <xf numFmtId="0" fontId="6" fillId="0" borderId="8" xfId="0" applyFont="1" applyBorder="1" applyAlignment="1">
      <alignment horizontal="left" vertical="center" wrapText="1"/>
    </xf>
    <xf numFmtId="0" fontId="6" fillId="0" borderId="36" xfId="0" applyFont="1" applyBorder="1" applyAlignment="1">
      <alignment horizontal="left" vertical="center" wrapText="1"/>
    </xf>
    <xf numFmtId="0" fontId="2" fillId="0" borderId="41" xfId="0" applyFont="1" applyBorder="1" applyAlignment="1">
      <alignment horizontal="center" vertical="center"/>
    </xf>
    <xf numFmtId="0" fontId="2" fillId="0" borderId="8" xfId="0" applyFont="1" applyBorder="1" applyAlignment="1">
      <alignment horizontal="center" vertical="center"/>
    </xf>
    <xf numFmtId="0" fontId="2" fillId="0" borderId="15" xfId="0" applyFont="1" applyBorder="1" applyAlignment="1">
      <alignment horizontal="center" vertical="center"/>
    </xf>
    <xf numFmtId="0" fontId="2" fillId="0" borderId="47" xfId="0" applyFont="1" applyBorder="1" applyAlignment="1">
      <alignment horizontal="left" vertical="center" wrapText="1"/>
    </xf>
    <xf numFmtId="0" fontId="2" fillId="0" borderId="16" xfId="0" applyFont="1" applyBorder="1" applyAlignment="1">
      <alignment horizontal="left" vertical="center" wrapText="1"/>
    </xf>
    <xf numFmtId="0" fontId="2" fillId="0" borderId="38" xfId="0" applyFont="1" applyBorder="1" applyAlignment="1">
      <alignment horizontal="left" vertical="center" wrapText="1"/>
    </xf>
    <xf numFmtId="0" fontId="2" fillId="0" borderId="40" xfId="0" applyFont="1" applyBorder="1" applyAlignment="1">
      <alignment horizontal="left" vertical="center" wrapText="1"/>
    </xf>
    <xf numFmtId="0" fontId="2" fillId="0" borderId="0" xfId="0" applyFont="1" applyAlignment="1">
      <alignment horizontal="left" vertical="center" wrapText="1"/>
    </xf>
    <xf numFmtId="0" fontId="2" fillId="0" borderId="36" xfId="0" applyFont="1" applyBorder="1" applyAlignment="1">
      <alignment horizontal="left" vertical="center" wrapText="1"/>
    </xf>
    <xf numFmtId="0" fontId="2" fillId="0" borderId="41" xfId="0" applyFont="1" applyBorder="1" applyAlignment="1">
      <alignment horizontal="left" vertical="center" wrapText="1"/>
    </xf>
    <xf numFmtId="0" fontId="2" fillId="0" borderId="8" xfId="0" applyFont="1" applyBorder="1" applyAlignment="1">
      <alignment horizontal="left" vertical="center" wrapText="1"/>
    </xf>
    <xf numFmtId="0" fontId="2" fillId="0" borderId="15" xfId="0" applyFont="1" applyBorder="1" applyAlignment="1">
      <alignment horizontal="left"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7" xfId="0" applyFont="1" applyBorder="1" applyAlignment="1">
      <alignment horizontal="left" vertical="center" wrapText="1"/>
    </xf>
    <xf numFmtId="0" fontId="2" fillId="0" borderId="9" xfId="0" applyFont="1" applyBorder="1" applyAlignment="1">
      <alignment horizontal="left" vertical="center" wrapText="1"/>
    </xf>
    <xf numFmtId="0" fontId="2" fillId="0" borderId="13" xfId="0" applyFont="1" applyBorder="1" applyAlignment="1">
      <alignment horizontal="left" vertical="center" wrapText="1"/>
    </xf>
    <xf numFmtId="0" fontId="2" fillId="0" borderId="45" xfId="0" applyFont="1" applyBorder="1" applyAlignment="1">
      <alignment horizontal="left" vertical="center" wrapText="1"/>
    </xf>
    <xf numFmtId="0" fontId="2" fillId="0" borderId="39" xfId="0" applyFont="1" applyBorder="1" applyAlignment="1">
      <alignment horizontal="left" vertical="center" wrapText="1"/>
    </xf>
    <xf numFmtId="0" fontId="2" fillId="0" borderId="42" xfId="0" applyFont="1" applyBorder="1" applyAlignment="1">
      <alignment horizontal="left" vertical="center" wrapText="1"/>
    </xf>
    <xf numFmtId="0" fontId="29" fillId="0" borderId="40" xfId="0" applyFont="1" applyBorder="1" applyAlignment="1">
      <alignment horizontal="left" vertical="center" wrapText="1"/>
    </xf>
    <xf numFmtId="0" fontId="29" fillId="0" borderId="0" xfId="0" applyFont="1" applyAlignment="1">
      <alignment horizontal="left" vertical="center" wrapText="1"/>
    </xf>
    <xf numFmtId="0" fontId="29" fillId="0" borderId="8" xfId="0" applyFont="1" applyBorder="1" applyAlignment="1">
      <alignment horizontal="left" vertical="center" wrapText="1"/>
    </xf>
    <xf numFmtId="0" fontId="6" fillId="0" borderId="8" xfId="1" applyFont="1" applyBorder="1" applyAlignment="1">
      <alignment horizontal="left" wrapText="1"/>
    </xf>
    <xf numFmtId="0" fontId="6" fillId="0" borderId="8" xfId="1" applyFont="1" applyBorder="1" applyAlignment="1">
      <alignment horizontal="left"/>
    </xf>
    <xf numFmtId="0" fontId="16" fillId="0" borderId="12" xfId="1" applyFont="1" applyBorder="1" applyAlignment="1">
      <alignment horizontal="center"/>
    </xf>
    <xf numFmtId="0" fontId="4" fillId="0" borderId="0" xfId="1" applyFont="1" applyAlignment="1">
      <alignment horizontal="center" vertical="center" wrapText="1"/>
    </xf>
    <xf numFmtId="0" fontId="8" fillId="0" borderId="0" xfId="1" applyFont="1" applyAlignment="1">
      <alignment horizontal="center" vertical="center" wrapText="1"/>
    </xf>
    <xf numFmtId="0" fontId="2" fillId="0" borderId="0" xfId="1" applyFont="1" applyAlignment="1">
      <alignment horizontal="center" vertical="center" wrapText="1"/>
    </xf>
    <xf numFmtId="0" fontId="2" fillId="0" borderId="0" xfId="1" applyFont="1" applyAlignment="1">
      <alignment horizontal="left" vertical="center" wrapText="1"/>
    </xf>
    <xf numFmtId="0" fontId="2" fillId="0" borderId="8" xfId="1" applyFont="1" applyBorder="1" applyAlignment="1">
      <alignment horizontal="left" vertical="center" wrapText="1"/>
    </xf>
    <xf numFmtId="0" fontId="2" fillId="0" borderId="16" xfId="1" applyFont="1" applyBorder="1" applyAlignment="1">
      <alignment horizontal="left" vertical="center" wrapText="1"/>
    </xf>
  </cellXfs>
  <cellStyles count="2">
    <cellStyle name="표준" xfId="0" builtinId="0"/>
    <cellStyle name="표준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DF40A-DED5-4082-993E-0FACBF0D9D98}">
  <dimension ref="A1:E10"/>
  <sheetViews>
    <sheetView tabSelected="1" zoomScale="85" zoomScaleNormal="85" workbookViewId="0">
      <selection activeCell="B4" sqref="B4"/>
    </sheetView>
  </sheetViews>
  <sheetFormatPr defaultRowHeight="16.5"/>
  <cols>
    <col min="1" max="1" width="22" style="215" customWidth="1"/>
    <col min="2" max="2" width="37.25" style="215" customWidth="1"/>
    <col min="3" max="3" width="61.5" style="215" customWidth="1"/>
    <col min="4" max="4" width="46.875" style="215" customWidth="1"/>
    <col min="5" max="5" width="60.75" style="215" customWidth="1"/>
    <col min="6" max="256" width="8.75" style="215"/>
    <col min="257" max="257" width="22" style="215" customWidth="1"/>
    <col min="258" max="258" width="37.25" style="215" customWidth="1"/>
    <col min="259" max="259" width="61.5" style="215" customWidth="1"/>
    <col min="260" max="260" width="46.875" style="215" customWidth="1"/>
    <col min="261" max="261" width="60.75" style="215" customWidth="1"/>
    <col min="262" max="512" width="8.75" style="215"/>
    <col min="513" max="513" width="22" style="215" customWidth="1"/>
    <col min="514" max="514" width="37.25" style="215" customWidth="1"/>
    <col min="515" max="515" width="61.5" style="215" customWidth="1"/>
    <col min="516" max="516" width="46.875" style="215" customWidth="1"/>
    <col min="517" max="517" width="60.75" style="215" customWidth="1"/>
    <col min="518" max="768" width="8.75" style="215"/>
    <col min="769" max="769" width="22" style="215" customWidth="1"/>
    <col min="770" max="770" width="37.25" style="215" customWidth="1"/>
    <col min="771" max="771" width="61.5" style="215" customWidth="1"/>
    <col min="772" max="772" width="46.875" style="215" customWidth="1"/>
    <col min="773" max="773" width="60.75" style="215" customWidth="1"/>
    <col min="774" max="1024" width="8.75" style="215"/>
    <col min="1025" max="1025" width="22" style="215" customWidth="1"/>
    <col min="1026" max="1026" width="37.25" style="215" customWidth="1"/>
    <col min="1027" max="1027" width="61.5" style="215" customWidth="1"/>
    <col min="1028" max="1028" width="46.875" style="215" customWidth="1"/>
    <col min="1029" max="1029" width="60.75" style="215" customWidth="1"/>
    <col min="1030" max="1280" width="8.75" style="215"/>
    <col min="1281" max="1281" width="22" style="215" customWidth="1"/>
    <col min="1282" max="1282" width="37.25" style="215" customWidth="1"/>
    <col min="1283" max="1283" width="61.5" style="215" customWidth="1"/>
    <col min="1284" max="1284" width="46.875" style="215" customWidth="1"/>
    <col min="1285" max="1285" width="60.75" style="215" customWidth="1"/>
    <col min="1286" max="1536" width="8.75" style="215"/>
    <col min="1537" max="1537" width="22" style="215" customWidth="1"/>
    <col min="1538" max="1538" width="37.25" style="215" customWidth="1"/>
    <col min="1539" max="1539" width="61.5" style="215" customWidth="1"/>
    <col min="1540" max="1540" width="46.875" style="215" customWidth="1"/>
    <col min="1541" max="1541" width="60.75" style="215" customWidth="1"/>
    <col min="1542" max="1792" width="8.75" style="215"/>
    <col min="1793" max="1793" width="22" style="215" customWidth="1"/>
    <col min="1794" max="1794" width="37.25" style="215" customWidth="1"/>
    <col min="1795" max="1795" width="61.5" style="215" customWidth="1"/>
    <col min="1796" max="1796" width="46.875" style="215" customWidth="1"/>
    <col min="1797" max="1797" width="60.75" style="215" customWidth="1"/>
    <col min="1798" max="2048" width="8.75" style="215"/>
    <col min="2049" max="2049" width="22" style="215" customWidth="1"/>
    <col min="2050" max="2050" width="37.25" style="215" customWidth="1"/>
    <col min="2051" max="2051" width="61.5" style="215" customWidth="1"/>
    <col min="2052" max="2052" width="46.875" style="215" customWidth="1"/>
    <col min="2053" max="2053" width="60.75" style="215" customWidth="1"/>
    <col min="2054" max="2304" width="8.75" style="215"/>
    <col min="2305" max="2305" width="22" style="215" customWidth="1"/>
    <col min="2306" max="2306" width="37.25" style="215" customWidth="1"/>
    <col min="2307" max="2307" width="61.5" style="215" customWidth="1"/>
    <col min="2308" max="2308" width="46.875" style="215" customWidth="1"/>
    <col min="2309" max="2309" width="60.75" style="215" customWidth="1"/>
    <col min="2310" max="2560" width="8.75" style="215"/>
    <col min="2561" max="2561" width="22" style="215" customWidth="1"/>
    <col min="2562" max="2562" width="37.25" style="215" customWidth="1"/>
    <col min="2563" max="2563" width="61.5" style="215" customWidth="1"/>
    <col min="2564" max="2564" width="46.875" style="215" customWidth="1"/>
    <col min="2565" max="2565" width="60.75" style="215" customWidth="1"/>
    <col min="2566" max="2816" width="8.75" style="215"/>
    <col min="2817" max="2817" width="22" style="215" customWidth="1"/>
    <col min="2818" max="2818" width="37.25" style="215" customWidth="1"/>
    <col min="2819" max="2819" width="61.5" style="215" customWidth="1"/>
    <col min="2820" max="2820" width="46.875" style="215" customWidth="1"/>
    <col min="2821" max="2821" width="60.75" style="215" customWidth="1"/>
    <col min="2822" max="3072" width="8.75" style="215"/>
    <col min="3073" max="3073" width="22" style="215" customWidth="1"/>
    <col min="3074" max="3074" width="37.25" style="215" customWidth="1"/>
    <col min="3075" max="3075" width="61.5" style="215" customWidth="1"/>
    <col min="3076" max="3076" width="46.875" style="215" customWidth="1"/>
    <col min="3077" max="3077" width="60.75" style="215" customWidth="1"/>
    <col min="3078" max="3328" width="8.75" style="215"/>
    <col min="3329" max="3329" width="22" style="215" customWidth="1"/>
    <col min="3330" max="3330" width="37.25" style="215" customWidth="1"/>
    <col min="3331" max="3331" width="61.5" style="215" customWidth="1"/>
    <col min="3332" max="3332" width="46.875" style="215" customWidth="1"/>
    <col min="3333" max="3333" width="60.75" style="215" customWidth="1"/>
    <col min="3334" max="3584" width="8.75" style="215"/>
    <col min="3585" max="3585" width="22" style="215" customWidth="1"/>
    <col min="3586" max="3586" width="37.25" style="215" customWidth="1"/>
    <col min="3587" max="3587" width="61.5" style="215" customWidth="1"/>
    <col min="3588" max="3588" width="46.875" style="215" customWidth="1"/>
    <col min="3589" max="3589" width="60.75" style="215" customWidth="1"/>
    <col min="3590" max="3840" width="8.75" style="215"/>
    <col min="3841" max="3841" width="22" style="215" customWidth="1"/>
    <col min="3842" max="3842" width="37.25" style="215" customWidth="1"/>
    <col min="3843" max="3843" width="61.5" style="215" customWidth="1"/>
    <col min="3844" max="3844" width="46.875" style="215" customWidth="1"/>
    <col min="3845" max="3845" width="60.75" style="215" customWidth="1"/>
    <col min="3846" max="4096" width="8.75" style="215"/>
    <col min="4097" max="4097" width="22" style="215" customWidth="1"/>
    <col min="4098" max="4098" width="37.25" style="215" customWidth="1"/>
    <col min="4099" max="4099" width="61.5" style="215" customWidth="1"/>
    <col min="4100" max="4100" width="46.875" style="215" customWidth="1"/>
    <col min="4101" max="4101" width="60.75" style="215" customWidth="1"/>
    <col min="4102" max="4352" width="8.75" style="215"/>
    <col min="4353" max="4353" width="22" style="215" customWidth="1"/>
    <col min="4354" max="4354" width="37.25" style="215" customWidth="1"/>
    <col min="4355" max="4355" width="61.5" style="215" customWidth="1"/>
    <col min="4356" max="4356" width="46.875" style="215" customWidth="1"/>
    <col min="4357" max="4357" width="60.75" style="215" customWidth="1"/>
    <col min="4358" max="4608" width="8.75" style="215"/>
    <col min="4609" max="4609" width="22" style="215" customWidth="1"/>
    <col min="4610" max="4610" width="37.25" style="215" customWidth="1"/>
    <col min="4611" max="4611" width="61.5" style="215" customWidth="1"/>
    <col min="4612" max="4612" width="46.875" style="215" customWidth="1"/>
    <col min="4613" max="4613" width="60.75" style="215" customWidth="1"/>
    <col min="4614" max="4864" width="8.75" style="215"/>
    <col min="4865" max="4865" width="22" style="215" customWidth="1"/>
    <col min="4866" max="4866" width="37.25" style="215" customWidth="1"/>
    <col min="4867" max="4867" width="61.5" style="215" customWidth="1"/>
    <col min="4868" max="4868" width="46.875" style="215" customWidth="1"/>
    <col min="4869" max="4869" width="60.75" style="215" customWidth="1"/>
    <col min="4870" max="5120" width="8.75" style="215"/>
    <col min="5121" max="5121" width="22" style="215" customWidth="1"/>
    <col min="5122" max="5122" width="37.25" style="215" customWidth="1"/>
    <col min="5123" max="5123" width="61.5" style="215" customWidth="1"/>
    <col min="5124" max="5124" width="46.875" style="215" customWidth="1"/>
    <col min="5125" max="5125" width="60.75" style="215" customWidth="1"/>
    <col min="5126" max="5376" width="8.75" style="215"/>
    <col min="5377" max="5377" width="22" style="215" customWidth="1"/>
    <col min="5378" max="5378" width="37.25" style="215" customWidth="1"/>
    <col min="5379" max="5379" width="61.5" style="215" customWidth="1"/>
    <col min="5380" max="5380" width="46.875" style="215" customWidth="1"/>
    <col min="5381" max="5381" width="60.75" style="215" customWidth="1"/>
    <col min="5382" max="5632" width="8.75" style="215"/>
    <col min="5633" max="5633" width="22" style="215" customWidth="1"/>
    <col min="5634" max="5634" width="37.25" style="215" customWidth="1"/>
    <col min="5635" max="5635" width="61.5" style="215" customWidth="1"/>
    <col min="5636" max="5636" width="46.875" style="215" customWidth="1"/>
    <col min="5637" max="5637" width="60.75" style="215" customWidth="1"/>
    <col min="5638" max="5888" width="8.75" style="215"/>
    <col min="5889" max="5889" width="22" style="215" customWidth="1"/>
    <col min="5890" max="5890" width="37.25" style="215" customWidth="1"/>
    <col min="5891" max="5891" width="61.5" style="215" customWidth="1"/>
    <col min="5892" max="5892" width="46.875" style="215" customWidth="1"/>
    <col min="5893" max="5893" width="60.75" style="215" customWidth="1"/>
    <col min="5894" max="6144" width="8.75" style="215"/>
    <col min="6145" max="6145" width="22" style="215" customWidth="1"/>
    <col min="6146" max="6146" width="37.25" style="215" customWidth="1"/>
    <col min="6147" max="6147" width="61.5" style="215" customWidth="1"/>
    <col min="6148" max="6148" width="46.875" style="215" customWidth="1"/>
    <col min="6149" max="6149" width="60.75" style="215" customWidth="1"/>
    <col min="6150" max="6400" width="8.75" style="215"/>
    <col min="6401" max="6401" width="22" style="215" customWidth="1"/>
    <col min="6402" max="6402" width="37.25" style="215" customWidth="1"/>
    <col min="6403" max="6403" width="61.5" style="215" customWidth="1"/>
    <col min="6404" max="6404" width="46.875" style="215" customWidth="1"/>
    <col min="6405" max="6405" width="60.75" style="215" customWidth="1"/>
    <col min="6406" max="6656" width="8.75" style="215"/>
    <col min="6657" max="6657" width="22" style="215" customWidth="1"/>
    <col min="6658" max="6658" width="37.25" style="215" customWidth="1"/>
    <col min="6659" max="6659" width="61.5" style="215" customWidth="1"/>
    <col min="6660" max="6660" width="46.875" style="215" customWidth="1"/>
    <col min="6661" max="6661" width="60.75" style="215" customWidth="1"/>
    <col min="6662" max="6912" width="8.75" style="215"/>
    <col min="6913" max="6913" width="22" style="215" customWidth="1"/>
    <col min="6914" max="6914" width="37.25" style="215" customWidth="1"/>
    <col min="6915" max="6915" width="61.5" style="215" customWidth="1"/>
    <col min="6916" max="6916" width="46.875" style="215" customWidth="1"/>
    <col min="6917" max="6917" width="60.75" style="215" customWidth="1"/>
    <col min="6918" max="7168" width="8.75" style="215"/>
    <col min="7169" max="7169" width="22" style="215" customWidth="1"/>
    <col min="7170" max="7170" width="37.25" style="215" customWidth="1"/>
    <col min="7171" max="7171" width="61.5" style="215" customWidth="1"/>
    <col min="7172" max="7172" width="46.875" style="215" customWidth="1"/>
    <col min="7173" max="7173" width="60.75" style="215" customWidth="1"/>
    <col min="7174" max="7424" width="8.75" style="215"/>
    <col min="7425" max="7425" width="22" style="215" customWidth="1"/>
    <col min="7426" max="7426" width="37.25" style="215" customWidth="1"/>
    <col min="7427" max="7427" width="61.5" style="215" customWidth="1"/>
    <col min="7428" max="7428" width="46.875" style="215" customWidth="1"/>
    <col min="7429" max="7429" width="60.75" style="215" customWidth="1"/>
    <col min="7430" max="7680" width="8.75" style="215"/>
    <col min="7681" max="7681" width="22" style="215" customWidth="1"/>
    <col min="7682" max="7682" width="37.25" style="215" customWidth="1"/>
    <col min="7683" max="7683" width="61.5" style="215" customWidth="1"/>
    <col min="7684" max="7684" width="46.875" style="215" customWidth="1"/>
    <col min="7685" max="7685" width="60.75" style="215" customWidth="1"/>
    <col min="7686" max="7936" width="8.75" style="215"/>
    <col min="7937" max="7937" width="22" style="215" customWidth="1"/>
    <col min="7938" max="7938" width="37.25" style="215" customWidth="1"/>
    <col min="7939" max="7939" width="61.5" style="215" customWidth="1"/>
    <col min="7940" max="7940" width="46.875" style="215" customWidth="1"/>
    <col min="7941" max="7941" width="60.75" style="215" customWidth="1"/>
    <col min="7942" max="8192" width="8.75" style="215"/>
    <col min="8193" max="8193" width="22" style="215" customWidth="1"/>
    <col min="8194" max="8194" width="37.25" style="215" customWidth="1"/>
    <col min="8195" max="8195" width="61.5" style="215" customWidth="1"/>
    <col min="8196" max="8196" width="46.875" style="215" customWidth="1"/>
    <col min="8197" max="8197" width="60.75" style="215" customWidth="1"/>
    <col min="8198" max="8448" width="8.75" style="215"/>
    <col min="8449" max="8449" width="22" style="215" customWidth="1"/>
    <col min="8450" max="8450" width="37.25" style="215" customWidth="1"/>
    <col min="8451" max="8451" width="61.5" style="215" customWidth="1"/>
    <col min="8452" max="8452" width="46.875" style="215" customWidth="1"/>
    <col min="8453" max="8453" width="60.75" style="215" customWidth="1"/>
    <col min="8454" max="8704" width="8.75" style="215"/>
    <col min="8705" max="8705" width="22" style="215" customWidth="1"/>
    <col min="8706" max="8706" width="37.25" style="215" customWidth="1"/>
    <col min="8707" max="8707" width="61.5" style="215" customWidth="1"/>
    <col min="8708" max="8708" width="46.875" style="215" customWidth="1"/>
    <col min="8709" max="8709" width="60.75" style="215" customWidth="1"/>
    <col min="8710" max="8960" width="8.75" style="215"/>
    <col min="8961" max="8961" width="22" style="215" customWidth="1"/>
    <col min="8962" max="8962" width="37.25" style="215" customWidth="1"/>
    <col min="8963" max="8963" width="61.5" style="215" customWidth="1"/>
    <col min="8964" max="8964" width="46.875" style="215" customWidth="1"/>
    <col min="8965" max="8965" width="60.75" style="215" customWidth="1"/>
    <col min="8966" max="9216" width="8.75" style="215"/>
    <col min="9217" max="9217" width="22" style="215" customWidth="1"/>
    <col min="9218" max="9218" width="37.25" style="215" customWidth="1"/>
    <col min="9219" max="9219" width="61.5" style="215" customWidth="1"/>
    <col min="9220" max="9220" width="46.875" style="215" customWidth="1"/>
    <col min="9221" max="9221" width="60.75" style="215" customWidth="1"/>
    <col min="9222" max="9472" width="8.75" style="215"/>
    <col min="9473" max="9473" width="22" style="215" customWidth="1"/>
    <col min="9474" max="9474" width="37.25" style="215" customWidth="1"/>
    <col min="9475" max="9475" width="61.5" style="215" customWidth="1"/>
    <col min="9476" max="9476" width="46.875" style="215" customWidth="1"/>
    <col min="9477" max="9477" width="60.75" style="215" customWidth="1"/>
    <col min="9478" max="9728" width="8.75" style="215"/>
    <col min="9729" max="9729" width="22" style="215" customWidth="1"/>
    <col min="9730" max="9730" width="37.25" style="215" customWidth="1"/>
    <col min="9731" max="9731" width="61.5" style="215" customWidth="1"/>
    <col min="9732" max="9732" width="46.875" style="215" customWidth="1"/>
    <col min="9733" max="9733" width="60.75" style="215" customWidth="1"/>
    <col min="9734" max="9984" width="8.75" style="215"/>
    <col min="9985" max="9985" width="22" style="215" customWidth="1"/>
    <col min="9986" max="9986" width="37.25" style="215" customWidth="1"/>
    <col min="9987" max="9987" width="61.5" style="215" customWidth="1"/>
    <col min="9988" max="9988" width="46.875" style="215" customWidth="1"/>
    <col min="9989" max="9989" width="60.75" style="215" customWidth="1"/>
    <col min="9990" max="10240" width="8.75" style="215"/>
    <col min="10241" max="10241" width="22" style="215" customWidth="1"/>
    <col min="10242" max="10242" width="37.25" style="215" customWidth="1"/>
    <col min="10243" max="10243" width="61.5" style="215" customWidth="1"/>
    <col min="10244" max="10244" width="46.875" style="215" customWidth="1"/>
    <col min="10245" max="10245" width="60.75" style="215" customWidth="1"/>
    <col min="10246" max="10496" width="8.75" style="215"/>
    <col min="10497" max="10497" width="22" style="215" customWidth="1"/>
    <col min="10498" max="10498" width="37.25" style="215" customWidth="1"/>
    <col min="10499" max="10499" width="61.5" style="215" customWidth="1"/>
    <col min="10500" max="10500" width="46.875" style="215" customWidth="1"/>
    <col min="10501" max="10501" width="60.75" style="215" customWidth="1"/>
    <col min="10502" max="10752" width="8.75" style="215"/>
    <col min="10753" max="10753" width="22" style="215" customWidth="1"/>
    <col min="10754" max="10754" width="37.25" style="215" customWidth="1"/>
    <col min="10755" max="10755" width="61.5" style="215" customWidth="1"/>
    <col min="10756" max="10756" width="46.875" style="215" customWidth="1"/>
    <col min="10757" max="10757" width="60.75" style="215" customWidth="1"/>
    <col min="10758" max="11008" width="8.75" style="215"/>
    <col min="11009" max="11009" width="22" style="215" customWidth="1"/>
    <col min="11010" max="11010" width="37.25" style="215" customWidth="1"/>
    <col min="11011" max="11011" width="61.5" style="215" customWidth="1"/>
    <col min="11012" max="11012" width="46.875" style="215" customWidth="1"/>
    <col min="11013" max="11013" width="60.75" style="215" customWidth="1"/>
    <col min="11014" max="11264" width="8.75" style="215"/>
    <col min="11265" max="11265" width="22" style="215" customWidth="1"/>
    <col min="11266" max="11266" width="37.25" style="215" customWidth="1"/>
    <col min="11267" max="11267" width="61.5" style="215" customWidth="1"/>
    <col min="11268" max="11268" width="46.875" style="215" customWidth="1"/>
    <col min="11269" max="11269" width="60.75" style="215" customWidth="1"/>
    <col min="11270" max="11520" width="8.75" style="215"/>
    <col min="11521" max="11521" width="22" style="215" customWidth="1"/>
    <col min="11522" max="11522" width="37.25" style="215" customWidth="1"/>
    <col min="11523" max="11523" width="61.5" style="215" customWidth="1"/>
    <col min="11524" max="11524" width="46.875" style="215" customWidth="1"/>
    <col min="11525" max="11525" width="60.75" style="215" customWidth="1"/>
    <col min="11526" max="11776" width="8.75" style="215"/>
    <col min="11777" max="11777" width="22" style="215" customWidth="1"/>
    <col min="11778" max="11778" width="37.25" style="215" customWidth="1"/>
    <col min="11779" max="11779" width="61.5" style="215" customWidth="1"/>
    <col min="11780" max="11780" width="46.875" style="215" customWidth="1"/>
    <col min="11781" max="11781" width="60.75" style="215" customWidth="1"/>
    <col min="11782" max="12032" width="8.75" style="215"/>
    <col min="12033" max="12033" width="22" style="215" customWidth="1"/>
    <col min="12034" max="12034" width="37.25" style="215" customWidth="1"/>
    <col min="12035" max="12035" width="61.5" style="215" customWidth="1"/>
    <col min="12036" max="12036" width="46.875" style="215" customWidth="1"/>
    <col min="12037" max="12037" width="60.75" style="215" customWidth="1"/>
    <col min="12038" max="12288" width="8.75" style="215"/>
    <col min="12289" max="12289" width="22" style="215" customWidth="1"/>
    <col min="12290" max="12290" width="37.25" style="215" customWidth="1"/>
    <col min="12291" max="12291" width="61.5" style="215" customWidth="1"/>
    <col min="12292" max="12292" width="46.875" style="215" customWidth="1"/>
    <col min="12293" max="12293" width="60.75" style="215" customWidth="1"/>
    <col min="12294" max="12544" width="8.75" style="215"/>
    <col min="12545" max="12545" width="22" style="215" customWidth="1"/>
    <col min="12546" max="12546" width="37.25" style="215" customWidth="1"/>
    <col min="12547" max="12547" width="61.5" style="215" customWidth="1"/>
    <col min="12548" max="12548" width="46.875" style="215" customWidth="1"/>
    <col min="12549" max="12549" width="60.75" style="215" customWidth="1"/>
    <col min="12550" max="12800" width="8.75" style="215"/>
    <col min="12801" max="12801" width="22" style="215" customWidth="1"/>
    <col min="12802" max="12802" width="37.25" style="215" customWidth="1"/>
    <col min="12803" max="12803" width="61.5" style="215" customWidth="1"/>
    <col min="12804" max="12804" width="46.875" style="215" customWidth="1"/>
    <col min="12805" max="12805" width="60.75" style="215" customWidth="1"/>
    <col min="12806" max="13056" width="8.75" style="215"/>
    <col min="13057" max="13057" width="22" style="215" customWidth="1"/>
    <col min="13058" max="13058" width="37.25" style="215" customWidth="1"/>
    <col min="13059" max="13059" width="61.5" style="215" customWidth="1"/>
    <col min="13060" max="13060" width="46.875" style="215" customWidth="1"/>
    <col min="13061" max="13061" width="60.75" style="215" customWidth="1"/>
    <col min="13062" max="13312" width="8.75" style="215"/>
    <col min="13313" max="13313" width="22" style="215" customWidth="1"/>
    <col min="13314" max="13314" width="37.25" style="215" customWidth="1"/>
    <col min="13315" max="13315" width="61.5" style="215" customWidth="1"/>
    <col min="13316" max="13316" width="46.875" style="215" customWidth="1"/>
    <col min="13317" max="13317" width="60.75" style="215" customWidth="1"/>
    <col min="13318" max="13568" width="8.75" style="215"/>
    <col min="13569" max="13569" width="22" style="215" customWidth="1"/>
    <col min="13570" max="13570" width="37.25" style="215" customWidth="1"/>
    <col min="13571" max="13571" width="61.5" style="215" customWidth="1"/>
    <col min="13572" max="13572" width="46.875" style="215" customWidth="1"/>
    <col min="13573" max="13573" width="60.75" style="215" customWidth="1"/>
    <col min="13574" max="13824" width="8.75" style="215"/>
    <col min="13825" max="13825" width="22" style="215" customWidth="1"/>
    <col min="13826" max="13826" width="37.25" style="215" customWidth="1"/>
    <col min="13827" max="13827" width="61.5" style="215" customWidth="1"/>
    <col min="13828" max="13828" width="46.875" style="215" customWidth="1"/>
    <col min="13829" max="13829" width="60.75" style="215" customWidth="1"/>
    <col min="13830" max="14080" width="8.75" style="215"/>
    <col min="14081" max="14081" width="22" style="215" customWidth="1"/>
    <col min="14082" max="14082" width="37.25" style="215" customWidth="1"/>
    <col min="14083" max="14083" width="61.5" style="215" customWidth="1"/>
    <col min="14084" max="14084" width="46.875" style="215" customWidth="1"/>
    <col min="14085" max="14085" width="60.75" style="215" customWidth="1"/>
    <col min="14086" max="14336" width="8.75" style="215"/>
    <col min="14337" max="14337" width="22" style="215" customWidth="1"/>
    <col min="14338" max="14338" width="37.25" style="215" customWidth="1"/>
    <col min="14339" max="14339" width="61.5" style="215" customWidth="1"/>
    <col min="14340" max="14340" width="46.875" style="215" customWidth="1"/>
    <col min="14341" max="14341" width="60.75" style="215" customWidth="1"/>
    <col min="14342" max="14592" width="8.75" style="215"/>
    <col min="14593" max="14593" width="22" style="215" customWidth="1"/>
    <col min="14594" max="14594" width="37.25" style="215" customWidth="1"/>
    <col min="14595" max="14595" width="61.5" style="215" customWidth="1"/>
    <col min="14596" max="14596" width="46.875" style="215" customWidth="1"/>
    <col min="14597" max="14597" width="60.75" style="215" customWidth="1"/>
    <col min="14598" max="14848" width="8.75" style="215"/>
    <col min="14849" max="14849" width="22" style="215" customWidth="1"/>
    <col min="14850" max="14850" width="37.25" style="215" customWidth="1"/>
    <col min="14851" max="14851" width="61.5" style="215" customWidth="1"/>
    <col min="14852" max="14852" width="46.875" style="215" customWidth="1"/>
    <col min="14853" max="14853" width="60.75" style="215" customWidth="1"/>
    <col min="14854" max="15104" width="8.75" style="215"/>
    <col min="15105" max="15105" width="22" style="215" customWidth="1"/>
    <col min="15106" max="15106" width="37.25" style="215" customWidth="1"/>
    <col min="15107" max="15107" width="61.5" style="215" customWidth="1"/>
    <col min="15108" max="15108" width="46.875" style="215" customWidth="1"/>
    <col min="15109" max="15109" width="60.75" style="215" customWidth="1"/>
    <col min="15110" max="15360" width="8.75" style="215"/>
    <col min="15361" max="15361" width="22" style="215" customWidth="1"/>
    <col min="15362" max="15362" width="37.25" style="215" customWidth="1"/>
    <col min="15363" max="15363" width="61.5" style="215" customWidth="1"/>
    <col min="15364" max="15364" width="46.875" style="215" customWidth="1"/>
    <col min="15365" max="15365" width="60.75" style="215" customWidth="1"/>
    <col min="15366" max="15616" width="8.75" style="215"/>
    <col min="15617" max="15617" width="22" style="215" customWidth="1"/>
    <col min="15618" max="15618" width="37.25" style="215" customWidth="1"/>
    <col min="15619" max="15619" width="61.5" style="215" customWidth="1"/>
    <col min="15620" max="15620" width="46.875" style="215" customWidth="1"/>
    <col min="15621" max="15621" width="60.75" style="215" customWidth="1"/>
    <col min="15622" max="15872" width="8.75" style="215"/>
    <col min="15873" max="15873" width="22" style="215" customWidth="1"/>
    <col min="15874" max="15874" width="37.25" style="215" customWidth="1"/>
    <col min="15875" max="15875" width="61.5" style="215" customWidth="1"/>
    <col min="15876" max="15876" width="46.875" style="215" customWidth="1"/>
    <col min="15877" max="15877" width="60.75" style="215" customWidth="1"/>
    <col min="15878" max="16128" width="8.75" style="215"/>
    <col min="16129" max="16129" width="22" style="215" customWidth="1"/>
    <col min="16130" max="16130" width="37.25" style="215" customWidth="1"/>
    <col min="16131" max="16131" width="61.5" style="215" customWidth="1"/>
    <col min="16132" max="16132" width="46.875" style="215" customWidth="1"/>
    <col min="16133" max="16133" width="60.75" style="215" customWidth="1"/>
    <col min="16134" max="16384" width="8.75" style="215"/>
  </cols>
  <sheetData>
    <row r="1" spans="1:5">
      <c r="A1" s="214"/>
    </row>
    <row r="2" spans="1:5">
      <c r="A2" s="216" t="s">
        <v>1185</v>
      </c>
      <c r="B2" s="216" t="s">
        <v>1186</v>
      </c>
      <c r="C2" s="216" t="s">
        <v>1187</v>
      </c>
      <c r="D2" s="216" t="s">
        <v>1188</v>
      </c>
      <c r="E2" s="216" t="s">
        <v>1189</v>
      </c>
    </row>
    <row r="3" spans="1:5" s="217" customFormat="1" ht="17.45" customHeight="1">
      <c r="A3" s="261" t="s">
        <v>1192</v>
      </c>
      <c r="B3" s="262"/>
      <c r="C3" s="262"/>
      <c r="D3" s="262"/>
      <c r="E3" s="263"/>
    </row>
    <row r="4" spans="1:5" ht="147.6" customHeight="1">
      <c r="A4" s="218" t="s">
        <v>1191</v>
      </c>
      <c r="B4" s="219"/>
      <c r="C4" s="220" t="s">
        <v>1190</v>
      </c>
      <c r="D4" s="264" t="s">
        <v>1195</v>
      </c>
      <c r="E4" s="264" t="s">
        <v>1196</v>
      </c>
    </row>
    <row r="5" spans="1:5" ht="147.6" customHeight="1">
      <c r="A5" s="218" t="s">
        <v>1193</v>
      </c>
      <c r="B5" s="219"/>
      <c r="C5" s="221" t="s">
        <v>1194</v>
      </c>
      <c r="D5" s="265"/>
      <c r="E5" s="265"/>
    </row>
    <row r="6" spans="1:5" ht="17.45" customHeight="1">
      <c r="A6" s="261" t="s">
        <v>1212</v>
      </c>
      <c r="B6" s="262"/>
      <c r="C6" s="262"/>
      <c r="D6" s="262"/>
      <c r="E6" s="263"/>
    </row>
    <row r="7" spans="1:5" ht="160.15" customHeight="1">
      <c r="A7" s="218" t="s">
        <v>1202</v>
      </c>
      <c r="B7" s="218" t="s">
        <v>1204</v>
      </c>
      <c r="C7" s="218" t="s">
        <v>1203</v>
      </c>
      <c r="D7" s="264" t="s">
        <v>1201</v>
      </c>
      <c r="E7" s="264" t="s">
        <v>1207</v>
      </c>
    </row>
    <row r="8" spans="1:5" ht="237" customHeight="1">
      <c r="A8" s="218" t="s">
        <v>1205</v>
      </c>
      <c r="B8" s="218"/>
      <c r="C8" s="222" t="s">
        <v>1206</v>
      </c>
      <c r="D8" s="265"/>
      <c r="E8" s="265"/>
    </row>
    <row r="9" spans="1:5" ht="17.45" customHeight="1">
      <c r="A9" s="261" t="s">
        <v>1200</v>
      </c>
      <c r="B9" s="262"/>
      <c r="C9" s="262"/>
      <c r="D9" s="262"/>
      <c r="E9" s="263"/>
    </row>
    <row r="10" spans="1:5" ht="363">
      <c r="A10" s="218" t="s">
        <v>1199</v>
      </c>
      <c r="B10" s="223"/>
      <c r="C10" s="224"/>
      <c r="D10" s="218" t="s">
        <v>1198</v>
      </c>
      <c r="E10" s="218" t="s">
        <v>1197</v>
      </c>
    </row>
  </sheetData>
  <mergeCells count="7">
    <mergeCell ref="A3:E3"/>
    <mergeCell ref="A6:E6"/>
    <mergeCell ref="A9:E9"/>
    <mergeCell ref="E4:E5"/>
    <mergeCell ref="D4:D5"/>
    <mergeCell ref="D7:D8"/>
    <mergeCell ref="E7:E8"/>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J776"/>
  <sheetViews>
    <sheetView view="pageBreakPreview" zoomScaleNormal="100" zoomScaleSheetLayoutView="100" zoomScalePageLayoutView="85" workbookViewId="0">
      <selection activeCell="E4" sqref="E4"/>
    </sheetView>
  </sheetViews>
  <sheetFormatPr defaultColWidth="9" defaultRowHeight="14.25" outlineLevelRow="1"/>
  <cols>
    <col min="1" max="1" width="4.125" style="83" customWidth="1"/>
    <col min="2" max="2" width="3.875" style="84" customWidth="1"/>
    <col min="3" max="3" width="4.25" style="83" customWidth="1"/>
    <col min="4" max="4" width="62.625" style="85" customWidth="1"/>
    <col min="5" max="5" width="9.75" style="86" customWidth="1"/>
    <col min="6" max="6" width="8.25" style="83" customWidth="1"/>
    <col min="7" max="7" width="7.125" style="83" customWidth="1"/>
    <col min="8" max="8" width="15" style="83" hidden="1" customWidth="1"/>
    <col min="9" max="9" width="9" style="83" hidden="1" customWidth="1"/>
    <col min="10" max="10" width="60.25" style="83" hidden="1" customWidth="1"/>
    <col min="11" max="12" width="9" style="83" customWidth="1"/>
    <col min="13" max="16384" width="9" style="83"/>
  </cols>
  <sheetData>
    <row r="4" spans="1:9" s="87" customFormat="1" ht="18.75">
      <c r="B4" s="88"/>
      <c r="D4" s="89" t="s">
        <v>158</v>
      </c>
      <c r="E4" s="89"/>
      <c r="F4" s="89"/>
      <c r="G4" s="89"/>
    </row>
    <row r="5" spans="1:9" s="87" customFormat="1" ht="18.75">
      <c r="B5" s="88"/>
      <c r="D5" s="89"/>
      <c r="E5" s="89"/>
      <c r="F5" s="89"/>
      <c r="G5" s="89"/>
    </row>
    <row r="6" spans="1:9">
      <c r="E6" s="90"/>
      <c r="F6" s="85"/>
      <c r="G6" s="85"/>
    </row>
    <row r="7" spans="1:9" ht="39.6" customHeight="1">
      <c r="A7" s="283" t="s">
        <v>1213</v>
      </c>
      <c r="B7" s="283"/>
      <c r="C7" s="283"/>
      <c r="D7" s="283"/>
      <c r="E7" s="283"/>
      <c r="F7" s="283"/>
      <c r="G7" s="283"/>
    </row>
    <row r="8" spans="1:9">
      <c r="E8" s="192"/>
      <c r="F8" s="192"/>
      <c r="G8" s="192"/>
    </row>
    <row r="9" spans="1:9">
      <c r="E9" s="90"/>
      <c r="F9" s="85"/>
      <c r="G9" s="85"/>
    </row>
    <row r="10" spans="1:9" s="91" customFormat="1" ht="17.45" customHeight="1">
      <c r="A10" s="91" t="s">
        <v>3</v>
      </c>
      <c r="B10" s="92"/>
      <c r="D10" s="93"/>
      <c r="E10" s="94"/>
      <c r="F10" s="95" t="s">
        <v>302</v>
      </c>
      <c r="G10" s="96" t="s">
        <v>303</v>
      </c>
      <c r="H10" s="273" t="s">
        <v>1166</v>
      </c>
      <c r="I10" s="273"/>
    </row>
    <row r="11" spans="1:9" s="91" customFormat="1">
      <c r="A11" s="272"/>
      <c r="B11" s="272"/>
      <c r="C11" s="272"/>
      <c r="D11" s="272"/>
      <c r="E11" s="94"/>
      <c r="F11" s="97"/>
      <c r="G11" s="98"/>
      <c r="H11" s="273"/>
      <c r="I11" s="273"/>
    </row>
    <row r="12" spans="1:9" s="91" customFormat="1" ht="17.45" customHeight="1">
      <c r="A12" s="99" t="s">
        <v>4</v>
      </c>
      <c r="B12" s="100"/>
      <c r="C12" s="99"/>
      <c r="D12" s="101"/>
      <c r="E12" s="94"/>
      <c r="F12" s="102" t="s">
        <v>304</v>
      </c>
      <c r="G12" s="103" t="s">
        <v>303</v>
      </c>
      <c r="H12" s="273"/>
      <c r="I12" s="273"/>
    </row>
    <row r="13" spans="1:9" s="91" customFormat="1">
      <c r="A13" s="272"/>
      <c r="B13" s="272"/>
      <c r="C13" s="272"/>
      <c r="D13" s="272"/>
      <c r="E13" s="94"/>
      <c r="F13" s="104"/>
      <c r="G13" s="105"/>
      <c r="H13" s="273"/>
      <c r="I13" s="273"/>
    </row>
    <row r="14" spans="1:9" s="91" customFormat="1">
      <c r="A14" s="106"/>
      <c r="B14" s="106"/>
      <c r="C14" s="106"/>
      <c r="D14" s="106"/>
      <c r="E14" s="94"/>
      <c r="F14" s="107"/>
      <c r="G14" s="107"/>
      <c r="H14" s="273"/>
      <c r="I14" s="273"/>
    </row>
    <row r="15" spans="1:9" s="91" customFormat="1">
      <c r="A15" s="106"/>
      <c r="B15" s="106"/>
      <c r="C15" s="106"/>
      <c r="D15" s="106"/>
      <c r="E15" s="94"/>
      <c r="F15" s="107"/>
      <c r="G15" s="107"/>
      <c r="H15" s="273"/>
      <c r="I15" s="273"/>
    </row>
    <row r="16" spans="1:9" s="91" customFormat="1">
      <c r="A16" s="106"/>
      <c r="B16" s="106"/>
      <c r="C16" s="106"/>
      <c r="D16" s="106"/>
      <c r="E16" s="94"/>
      <c r="F16" s="107"/>
      <c r="G16" s="107"/>
      <c r="H16" s="273"/>
      <c r="I16" s="273"/>
    </row>
    <row r="17" spans="1:10" s="91" customFormat="1" ht="17.45" customHeight="1">
      <c r="A17" s="91" t="s">
        <v>305</v>
      </c>
      <c r="B17" s="92"/>
      <c r="D17" s="93"/>
      <c r="E17" s="94"/>
      <c r="F17" s="107"/>
      <c r="G17" s="107"/>
      <c r="H17" s="273"/>
      <c r="I17" s="273"/>
    </row>
    <row r="18" spans="1:10" ht="17.45" customHeight="1">
      <c r="A18" s="83" t="s">
        <v>306</v>
      </c>
      <c r="E18" s="108"/>
      <c r="F18" s="108"/>
      <c r="G18" s="108"/>
      <c r="H18" s="274"/>
      <c r="I18" s="274"/>
    </row>
    <row r="19" spans="1:10" ht="17.45" customHeight="1">
      <c r="E19" s="108"/>
      <c r="F19" s="108"/>
      <c r="G19" s="108"/>
      <c r="H19" s="198"/>
      <c r="I19" s="198"/>
    </row>
    <row r="20" spans="1:10" ht="17.45" customHeight="1">
      <c r="E20" s="108"/>
      <c r="F20" s="108"/>
      <c r="G20" s="108"/>
      <c r="H20" s="109" t="s">
        <v>1106</v>
      </c>
      <c r="I20" s="110" t="s">
        <v>1107</v>
      </c>
    </row>
    <row r="21" spans="1:10">
      <c r="A21" s="111" t="s">
        <v>434</v>
      </c>
      <c r="H21" s="109" t="e">
        <f>VLOOKUP(I21,'공시사항점검표 목차(2023)'!$K$11:$L$73,2,FALSE)</f>
        <v>#N/A</v>
      </c>
      <c r="I21" s="112" t="s">
        <v>1108</v>
      </c>
    </row>
    <row r="22" spans="1:10">
      <c r="A22" s="113" t="s">
        <v>442</v>
      </c>
      <c r="H22" s="109" t="e">
        <f>VLOOKUP(I22,'공시사항점검표 목차(2023)'!$K$11:$L$73,2,FALSE)</f>
        <v>#N/A</v>
      </c>
      <c r="I22" s="112" t="s">
        <v>1109</v>
      </c>
    </row>
    <row r="23" spans="1:10" ht="31.15" customHeight="1">
      <c r="A23" s="269" t="s">
        <v>360</v>
      </c>
      <c r="B23" s="270"/>
      <c r="C23" s="270"/>
      <c r="D23" s="271"/>
      <c r="E23" s="114" t="s">
        <v>157</v>
      </c>
      <c r="F23" s="102" t="s">
        <v>301</v>
      </c>
      <c r="G23" s="114" t="s">
        <v>0</v>
      </c>
      <c r="H23" s="109" t="e">
        <f>VLOOKUP(I23,'공시사항점검표 목차(2023)'!$K$11:$L$73,2,FALSE)</f>
        <v>#N/A</v>
      </c>
      <c r="I23" s="112" t="s">
        <v>1109</v>
      </c>
    </row>
    <row r="24" spans="1:10" ht="17.25">
      <c r="A24" s="115" t="s">
        <v>468</v>
      </c>
      <c r="D24" s="116"/>
      <c r="E24" s="288" t="s">
        <v>5</v>
      </c>
      <c r="F24" s="117"/>
      <c r="G24" s="118"/>
      <c r="H24" s="109" t="e">
        <f>VLOOKUP(I24,'공시사항점검표 목차(2023)'!$K$11:$L$73,2,FALSE)</f>
        <v>#N/A</v>
      </c>
      <c r="I24" s="112" t="s">
        <v>1109</v>
      </c>
      <c r="J24" s="119"/>
    </row>
    <row r="25" spans="1:10" ht="17.25">
      <c r="A25" s="120"/>
      <c r="B25" s="84" t="s">
        <v>444</v>
      </c>
      <c r="C25" s="121" t="s">
        <v>435</v>
      </c>
      <c r="E25" s="288"/>
      <c r="F25" s="117"/>
      <c r="G25" s="118"/>
      <c r="H25" s="109" t="e">
        <f>VLOOKUP(I25,'공시사항점검표 목차(2023)'!$K$11:$L$73,2,FALSE)</f>
        <v>#N/A</v>
      </c>
      <c r="I25" s="112" t="s">
        <v>1109</v>
      </c>
      <c r="J25" s="119"/>
    </row>
    <row r="26" spans="1:10" ht="17.25">
      <c r="A26" s="120"/>
      <c r="B26" s="84" t="s">
        <v>446</v>
      </c>
      <c r="C26" s="121" t="s">
        <v>436</v>
      </c>
      <c r="E26" s="288"/>
      <c r="F26" s="117"/>
      <c r="G26" s="118"/>
      <c r="H26" s="109" t="e">
        <f>VLOOKUP(I26,'공시사항점검표 목차(2023)'!$K$11:$L$73,2,FALSE)</f>
        <v>#N/A</v>
      </c>
      <c r="I26" s="112" t="s">
        <v>1109</v>
      </c>
      <c r="J26" s="119"/>
    </row>
    <row r="27" spans="1:10" ht="17.25">
      <c r="A27" s="120"/>
      <c r="B27" s="84" t="s">
        <v>449</v>
      </c>
      <c r="C27" s="121" t="s">
        <v>437</v>
      </c>
      <c r="E27" s="288"/>
      <c r="F27" s="117"/>
      <c r="G27" s="118"/>
      <c r="H27" s="109" t="e">
        <f>VLOOKUP(I27,'공시사항점검표 목차(2023)'!$K$11:$L$73,2,FALSE)</f>
        <v>#N/A</v>
      </c>
      <c r="I27" s="112" t="s">
        <v>1109</v>
      </c>
      <c r="J27" s="119"/>
    </row>
    <row r="28" spans="1:10" ht="17.25">
      <c r="A28" s="120"/>
      <c r="B28" s="84" t="s">
        <v>460</v>
      </c>
      <c r="C28" s="121" t="s">
        <v>438</v>
      </c>
      <c r="E28" s="288"/>
      <c r="F28" s="117"/>
      <c r="G28" s="118"/>
      <c r="H28" s="109" t="e">
        <f>VLOOKUP(I28,'공시사항점검표 목차(2023)'!$K$11:$L$73,2,FALSE)</f>
        <v>#N/A</v>
      </c>
      <c r="I28" s="112" t="s">
        <v>1109</v>
      </c>
      <c r="J28" s="119"/>
    </row>
    <row r="29" spans="1:10" ht="17.25">
      <c r="A29" s="120"/>
      <c r="B29" s="84" t="s">
        <v>498</v>
      </c>
      <c r="C29" s="121" t="s">
        <v>439</v>
      </c>
      <c r="E29" s="288"/>
      <c r="F29" s="117"/>
      <c r="G29" s="118"/>
      <c r="H29" s="109" t="e">
        <f>VLOOKUP(I29,'공시사항점검표 목차(2023)'!$K$11:$L$73,2,FALSE)</f>
        <v>#N/A</v>
      </c>
      <c r="I29" s="112" t="s">
        <v>1109</v>
      </c>
      <c r="J29" s="119"/>
    </row>
    <row r="30" spans="1:10" ht="17.25">
      <c r="A30" s="120"/>
      <c r="B30" s="84" t="s">
        <v>504</v>
      </c>
      <c r="C30" s="121" t="s">
        <v>440</v>
      </c>
      <c r="E30" s="288"/>
      <c r="F30" s="117"/>
      <c r="G30" s="118"/>
      <c r="H30" s="109" t="e">
        <f>VLOOKUP(I30,'공시사항점검표 목차(2023)'!$K$11:$L$73,2,FALSE)</f>
        <v>#N/A</v>
      </c>
      <c r="I30" s="112" t="s">
        <v>1109</v>
      </c>
      <c r="J30" s="119"/>
    </row>
    <row r="31" spans="1:10" ht="17.25">
      <c r="A31" s="122"/>
      <c r="B31" s="123" t="s">
        <v>532</v>
      </c>
      <c r="C31" s="124" t="s">
        <v>441</v>
      </c>
      <c r="D31" s="125"/>
      <c r="E31" s="289"/>
      <c r="F31" s="126"/>
      <c r="G31" s="127"/>
      <c r="H31" s="109" t="e">
        <f>VLOOKUP(I31,'공시사항점검표 목차(2023)'!$K$11:$L$73,2,FALSE)</f>
        <v>#N/A</v>
      </c>
      <c r="I31" s="112" t="s">
        <v>1109</v>
      </c>
      <c r="J31" s="119"/>
    </row>
    <row r="32" spans="1:10" ht="25.9" customHeight="1">
      <c r="A32" s="128" t="s">
        <v>466</v>
      </c>
      <c r="B32" s="129"/>
      <c r="C32" s="130"/>
      <c r="E32" s="196"/>
      <c r="F32" s="117"/>
      <c r="G32" s="118"/>
      <c r="H32" s="109" t="e">
        <f>VLOOKUP(I32,'공시사항점검표 목차(2023)'!$K$11:$L$73,2,FALSE)</f>
        <v>#N/A</v>
      </c>
      <c r="I32" s="112" t="s">
        <v>1110</v>
      </c>
      <c r="J32" s="119"/>
    </row>
    <row r="33" spans="1:10" ht="31.15" customHeight="1">
      <c r="A33" s="269" t="s">
        <v>360</v>
      </c>
      <c r="B33" s="270"/>
      <c r="C33" s="270"/>
      <c r="D33" s="271"/>
      <c r="E33" s="114" t="s">
        <v>157</v>
      </c>
      <c r="F33" s="102" t="s">
        <v>301</v>
      </c>
      <c r="G33" s="114" t="s">
        <v>0</v>
      </c>
      <c r="H33" s="109" t="e">
        <f>VLOOKUP(I33,'공시사항점검표 목차(2023)'!$K$11:$L$73,2,FALSE)</f>
        <v>#N/A</v>
      </c>
      <c r="I33" s="112" t="s">
        <v>1110</v>
      </c>
    </row>
    <row r="34" spans="1:10" ht="31.9" customHeight="1">
      <c r="A34" s="279" t="s">
        <v>469</v>
      </c>
      <c r="B34" s="280"/>
      <c r="C34" s="280"/>
      <c r="D34" s="281"/>
      <c r="E34" s="196" t="s">
        <v>249</v>
      </c>
      <c r="F34" s="117"/>
      <c r="G34" s="118"/>
      <c r="H34" s="109" t="e">
        <f>VLOOKUP(I34,'공시사항점검표 목차(2023)'!$K$11:$L$73,2,FALSE)</f>
        <v>#N/A</v>
      </c>
      <c r="I34" s="112" t="s">
        <v>1110</v>
      </c>
      <c r="J34" s="119"/>
    </row>
    <row r="35" spans="1:10">
      <c r="A35" s="120"/>
      <c r="B35" s="84" t="s">
        <v>444</v>
      </c>
      <c r="C35" s="83" t="s">
        <v>443</v>
      </c>
      <c r="D35" s="116"/>
      <c r="E35" s="196"/>
      <c r="F35" s="117"/>
      <c r="G35" s="118"/>
      <c r="H35" s="109" t="e">
        <f>VLOOKUP(I35,'공시사항점검표 목차(2023)'!$K$11:$L$73,2,FALSE)</f>
        <v>#N/A</v>
      </c>
      <c r="I35" s="112" t="s">
        <v>1110</v>
      </c>
    </row>
    <row r="36" spans="1:10" ht="28.5">
      <c r="A36" s="120"/>
      <c r="B36" s="84" t="s">
        <v>446</v>
      </c>
      <c r="C36" s="283" t="s">
        <v>445</v>
      </c>
      <c r="D36" s="284"/>
      <c r="E36" s="196" t="s">
        <v>159</v>
      </c>
      <c r="F36" s="117"/>
      <c r="G36" s="118"/>
      <c r="H36" s="109" t="e">
        <f>VLOOKUP(I36,'공시사항점검표 목차(2023)'!$K$11:$L$73,2,FALSE)</f>
        <v>#N/A</v>
      </c>
      <c r="I36" s="112" t="s">
        <v>1110</v>
      </c>
    </row>
    <row r="37" spans="1:10" ht="28.5">
      <c r="A37" s="120"/>
      <c r="B37" s="84" t="s">
        <v>449</v>
      </c>
      <c r="C37" s="83" t="s">
        <v>447</v>
      </c>
      <c r="D37" s="116"/>
      <c r="E37" s="196" t="s">
        <v>160</v>
      </c>
      <c r="F37" s="117"/>
      <c r="G37" s="118"/>
      <c r="H37" s="109" t="e">
        <f>VLOOKUP(I37,'공시사항점검표 목차(2023)'!$K$11:$L$73,2,FALSE)</f>
        <v>#N/A</v>
      </c>
      <c r="I37" s="112" t="s">
        <v>1110</v>
      </c>
    </row>
    <row r="38" spans="1:10">
      <c r="A38" s="120"/>
      <c r="C38" s="83" t="s">
        <v>452</v>
      </c>
      <c r="D38" s="116" t="s">
        <v>450</v>
      </c>
      <c r="E38" s="196"/>
      <c r="F38" s="117"/>
      <c r="G38" s="118"/>
      <c r="H38" s="109" t="e">
        <f>VLOOKUP(I38,'공시사항점검표 목차(2023)'!$K$11:$L$73,2,FALSE)</f>
        <v>#N/A</v>
      </c>
      <c r="I38" s="112" t="s">
        <v>1110</v>
      </c>
    </row>
    <row r="39" spans="1:10">
      <c r="A39" s="120"/>
      <c r="C39" s="83" t="s">
        <v>454</v>
      </c>
      <c r="D39" s="116" t="s">
        <v>453</v>
      </c>
      <c r="E39" s="196"/>
      <c r="F39" s="117"/>
      <c r="G39" s="118"/>
      <c r="H39" s="109" t="e">
        <f>VLOOKUP(I39,'공시사항점검표 목차(2023)'!$K$11:$L$73,2,FALSE)</f>
        <v>#N/A</v>
      </c>
      <c r="I39" s="112" t="s">
        <v>1110</v>
      </c>
    </row>
    <row r="40" spans="1:10">
      <c r="A40" s="120"/>
      <c r="C40" s="83" t="s">
        <v>455</v>
      </c>
      <c r="D40" s="116" t="s">
        <v>458</v>
      </c>
      <c r="E40" s="196"/>
      <c r="F40" s="117"/>
      <c r="G40" s="118"/>
      <c r="H40" s="109" t="e">
        <f>VLOOKUP(I40,'공시사항점검표 목차(2023)'!$K$11:$L$73,2,FALSE)</f>
        <v>#N/A</v>
      </c>
      <c r="I40" s="112" t="s">
        <v>1110</v>
      </c>
    </row>
    <row r="41" spans="1:10">
      <c r="A41" s="120"/>
      <c r="C41" s="83" t="s">
        <v>457</v>
      </c>
      <c r="D41" s="116" t="s">
        <v>456</v>
      </c>
      <c r="E41" s="196"/>
      <c r="F41" s="117"/>
      <c r="G41" s="118"/>
      <c r="H41" s="109" t="e">
        <f>VLOOKUP(I41,'공시사항점검표 목차(2023)'!$K$11:$L$73,2,FALSE)</f>
        <v>#N/A</v>
      </c>
      <c r="I41" s="112" t="s">
        <v>1110</v>
      </c>
    </row>
    <row r="42" spans="1:10" ht="28.5">
      <c r="A42" s="120"/>
      <c r="B42" s="84" t="s">
        <v>460</v>
      </c>
      <c r="C42" s="83" t="s">
        <v>459</v>
      </c>
      <c r="D42" s="116"/>
      <c r="E42" s="196" t="s">
        <v>161</v>
      </c>
      <c r="F42" s="117"/>
      <c r="G42" s="118"/>
      <c r="H42" s="109" t="e">
        <f>VLOOKUP(I42,'공시사항점검표 목차(2023)'!$K$11:$L$73,2,FALSE)</f>
        <v>#N/A</v>
      </c>
      <c r="I42" s="112" t="s">
        <v>1110</v>
      </c>
    </row>
    <row r="43" spans="1:10" ht="57">
      <c r="A43" s="120"/>
      <c r="C43" s="131" t="s">
        <v>452</v>
      </c>
      <c r="D43" s="116" t="s">
        <v>461</v>
      </c>
      <c r="E43" s="196"/>
      <c r="F43" s="117"/>
      <c r="G43" s="118"/>
      <c r="H43" s="109" t="e">
        <f>VLOOKUP(I43,'공시사항점검표 목차(2023)'!$K$11:$L$73,2,FALSE)</f>
        <v>#N/A</v>
      </c>
      <c r="I43" s="112" t="s">
        <v>1110</v>
      </c>
    </row>
    <row r="44" spans="1:10" ht="28.5">
      <c r="A44" s="120"/>
      <c r="C44" s="131" t="s">
        <v>454</v>
      </c>
      <c r="D44" s="116" t="s">
        <v>462</v>
      </c>
      <c r="E44" s="196" t="s">
        <v>162</v>
      </c>
      <c r="F44" s="132"/>
      <c r="G44" s="118"/>
      <c r="H44" s="109" t="e">
        <f>VLOOKUP(I44,'공시사항점검표 목차(2023)'!$K$11:$L$73,2,FALSE)</f>
        <v>#N/A</v>
      </c>
      <c r="I44" s="112" t="s">
        <v>1110</v>
      </c>
    </row>
    <row r="45" spans="1:10">
      <c r="A45" s="120"/>
      <c r="B45" s="84" t="s">
        <v>498</v>
      </c>
      <c r="C45" s="83" t="s">
        <v>463</v>
      </c>
      <c r="D45" s="116"/>
      <c r="E45" s="196"/>
      <c r="F45" s="117"/>
      <c r="G45" s="118"/>
      <c r="H45" s="109" t="e">
        <f>VLOOKUP(I45,'공시사항점검표 목차(2023)'!$K$11:$L$73,2,FALSE)</f>
        <v>#N/A</v>
      </c>
      <c r="I45" s="112" t="s">
        <v>1110</v>
      </c>
    </row>
    <row r="46" spans="1:10" ht="28.5">
      <c r="A46" s="120"/>
      <c r="C46" s="83" t="s">
        <v>452</v>
      </c>
      <c r="D46" s="116" t="s">
        <v>464</v>
      </c>
      <c r="E46" s="196" t="s">
        <v>163</v>
      </c>
      <c r="F46" s="117"/>
      <c r="G46" s="118"/>
      <c r="H46" s="109" t="e">
        <f>VLOOKUP(I46,'공시사항점검표 목차(2023)'!$K$11:$L$73,2,FALSE)</f>
        <v>#N/A</v>
      </c>
      <c r="I46" s="112" t="s">
        <v>1110</v>
      </c>
    </row>
    <row r="47" spans="1:10">
      <c r="A47" s="120"/>
      <c r="C47" s="83" t="s">
        <v>454</v>
      </c>
      <c r="D47" s="116" t="s">
        <v>465</v>
      </c>
      <c r="E47" s="196"/>
      <c r="F47" s="117"/>
      <c r="G47" s="118"/>
      <c r="H47" s="109" t="e">
        <f>VLOOKUP(I47,'공시사항점검표 목차(2023)'!$K$11:$L$73,2,FALSE)</f>
        <v>#N/A</v>
      </c>
      <c r="I47" s="112" t="s">
        <v>1110</v>
      </c>
    </row>
    <row r="48" spans="1:10" ht="28.5">
      <c r="A48" s="122"/>
      <c r="B48" s="123"/>
      <c r="C48" s="133" t="s">
        <v>455</v>
      </c>
      <c r="D48" s="134" t="s">
        <v>1167</v>
      </c>
      <c r="E48" s="197" t="s">
        <v>164</v>
      </c>
      <c r="F48" s="126"/>
      <c r="G48" s="127"/>
      <c r="H48" s="109" t="e">
        <f>VLOOKUP(I48,'공시사항점검표 목차(2023)'!$K$11:$L$73,2,FALSE)</f>
        <v>#N/A</v>
      </c>
      <c r="I48" s="112" t="s">
        <v>1110</v>
      </c>
    </row>
    <row r="49" spans="1:9" ht="26.45" customHeight="1">
      <c r="A49" s="111" t="s">
        <v>650</v>
      </c>
      <c r="H49" s="109" t="e">
        <f>VLOOKUP(I49,'공시사항점검표 목차(2023)'!$K$11:$L$73,2,FALSE)</f>
        <v>#N/A</v>
      </c>
      <c r="I49" s="112" t="s">
        <v>1111</v>
      </c>
    </row>
    <row r="50" spans="1:9" ht="26.45" customHeight="1">
      <c r="A50" s="111" t="s">
        <v>467</v>
      </c>
      <c r="H50" s="109" t="e">
        <f>VLOOKUP(I50,'공시사항점검표 목차(2023)'!$K$11:$L$73,2,FALSE)</f>
        <v>#N/A</v>
      </c>
      <c r="I50" s="112" t="s">
        <v>1111</v>
      </c>
    </row>
    <row r="51" spans="1:9" ht="26.45" customHeight="1">
      <c r="A51" s="111" t="s">
        <v>470</v>
      </c>
      <c r="H51" s="109" t="e">
        <f>VLOOKUP(I51,'공시사항점검표 목차(2023)'!$K$11:$L$73,2,FALSE)</f>
        <v>#N/A</v>
      </c>
      <c r="I51" s="112" t="s">
        <v>1112</v>
      </c>
    </row>
    <row r="52" spans="1:9" ht="26.45" customHeight="1">
      <c r="A52" s="269" t="s">
        <v>360</v>
      </c>
      <c r="B52" s="270"/>
      <c r="C52" s="270"/>
      <c r="D52" s="271"/>
      <c r="E52" s="114" t="s">
        <v>157</v>
      </c>
      <c r="F52" s="102" t="s">
        <v>301</v>
      </c>
      <c r="G52" s="114" t="s">
        <v>0</v>
      </c>
      <c r="H52" s="109" t="e">
        <f>VLOOKUP(I52,'공시사항점검표 목차(2023)'!$K$11:$L$73,2,FALSE)</f>
        <v>#N/A</v>
      </c>
      <c r="I52" s="112" t="s">
        <v>1113</v>
      </c>
    </row>
    <row r="53" spans="1:9" ht="28.5">
      <c r="A53" s="139" t="s">
        <v>472</v>
      </c>
      <c r="B53" s="140"/>
      <c r="C53" s="141"/>
      <c r="D53" s="142"/>
      <c r="E53" s="114" t="s">
        <v>5</v>
      </c>
      <c r="F53" s="143"/>
      <c r="G53" s="144"/>
      <c r="H53" s="109" t="e">
        <f>VLOOKUP(I53,'공시사항점검표 목차(2023)'!$K$11:$L$73,2,FALSE)</f>
        <v>#N/A</v>
      </c>
      <c r="I53" s="112" t="s">
        <v>1113</v>
      </c>
    </row>
    <row r="54" spans="1:9" ht="26.45" customHeight="1">
      <c r="A54" s="111" t="s">
        <v>471</v>
      </c>
      <c r="H54" s="109" t="e">
        <f>VLOOKUP(I54,'공시사항점검표 목차(2023)'!$K$11:$L$73,2,FALSE)</f>
        <v>#N/A</v>
      </c>
      <c r="I54" s="112" t="s">
        <v>1114</v>
      </c>
    </row>
    <row r="55" spans="1:9" ht="26.45" customHeight="1">
      <c r="A55" s="269" t="s">
        <v>360</v>
      </c>
      <c r="B55" s="270"/>
      <c r="C55" s="270"/>
      <c r="D55" s="271"/>
      <c r="E55" s="114" t="s">
        <v>157</v>
      </c>
      <c r="F55" s="102" t="s">
        <v>301</v>
      </c>
      <c r="G55" s="114" t="s">
        <v>0</v>
      </c>
      <c r="H55" s="109" t="e">
        <f>VLOOKUP(I55,'공시사항점검표 목차(2023)'!$K$11:$L$73,2,FALSE)</f>
        <v>#N/A</v>
      </c>
      <c r="I55" s="112" t="s">
        <v>1114</v>
      </c>
    </row>
    <row r="56" spans="1:9" ht="28.5">
      <c r="A56" s="120" t="s">
        <v>473</v>
      </c>
      <c r="D56" s="116"/>
      <c r="E56" s="196" t="s">
        <v>52</v>
      </c>
      <c r="F56" s="117"/>
      <c r="G56" s="118"/>
      <c r="H56" s="109" t="e">
        <f>VLOOKUP(I56,'공시사항점검표 목차(2023)'!$K$11:$L$73,2,FALSE)</f>
        <v>#N/A</v>
      </c>
      <c r="I56" s="112" t="s">
        <v>1114</v>
      </c>
    </row>
    <row r="57" spans="1:9" ht="28.5">
      <c r="A57" s="122" t="s">
        <v>474</v>
      </c>
      <c r="B57" s="123"/>
      <c r="C57" s="133"/>
      <c r="D57" s="134"/>
      <c r="E57" s="197" t="s">
        <v>161</v>
      </c>
      <c r="F57" s="126"/>
      <c r="G57" s="127"/>
      <c r="H57" s="109" t="e">
        <f>VLOOKUP(I57,'공시사항점검표 목차(2023)'!$K$11:$L$73,2,FALSE)</f>
        <v>#N/A</v>
      </c>
      <c r="I57" s="112" t="s">
        <v>1114</v>
      </c>
    </row>
    <row r="58" spans="1:9" ht="26.45" customHeight="1">
      <c r="A58" s="111" t="s">
        <v>475</v>
      </c>
      <c r="H58" s="109" t="e">
        <f>VLOOKUP(I58,'공시사항점검표 목차(2023)'!$K$11:$L$73,2,FALSE)</f>
        <v>#N/A</v>
      </c>
      <c r="I58" s="112" t="s">
        <v>1115</v>
      </c>
    </row>
    <row r="59" spans="1:9" ht="26.45" customHeight="1">
      <c r="A59" s="269" t="s">
        <v>360</v>
      </c>
      <c r="B59" s="270"/>
      <c r="C59" s="270"/>
      <c r="D59" s="271"/>
      <c r="E59" s="114" t="s">
        <v>157</v>
      </c>
      <c r="F59" s="102" t="s">
        <v>301</v>
      </c>
      <c r="G59" s="114" t="s">
        <v>0</v>
      </c>
      <c r="H59" s="109" t="e">
        <f>VLOOKUP(I59,'공시사항점검표 목차(2023)'!$K$11:$L$73,2,FALSE)</f>
        <v>#N/A</v>
      </c>
      <c r="I59" s="112" t="s">
        <v>1115</v>
      </c>
    </row>
    <row r="60" spans="1:9" ht="28.5">
      <c r="A60" s="120" t="s">
        <v>476</v>
      </c>
      <c r="D60" s="116"/>
      <c r="E60" s="196" t="s">
        <v>160</v>
      </c>
      <c r="F60" s="132"/>
      <c r="G60" s="118"/>
      <c r="H60" s="109" t="e">
        <f>VLOOKUP(I60,'공시사항점검표 목차(2023)'!$K$11:$L$73,2,FALSE)</f>
        <v>#N/A</v>
      </c>
      <c r="I60" s="112" t="s">
        <v>1115</v>
      </c>
    </row>
    <row r="61" spans="1:9">
      <c r="A61" s="120" t="s">
        <v>477</v>
      </c>
      <c r="D61" s="116"/>
      <c r="E61" s="196"/>
      <c r="F61" s="117"/>
      <c r="G61" s="118"/>
      <c r="H61" s="109" t="e">
        <f>VLOOKUP(I61,'공시사항점검표 목차(2023)'!$K$11:$L$73,2,FALSE)</f>
        <v>#N/A</v>
      </c>
      <c r="I61" s="112" t="s">
        <v>1115</v>
      </c>
    </row>
    <row r="62" spans="1:9" ht="46.9" customHeight="1">
      <c r="A62" s="120"/>
      <c r="B62" s="145" t="s">
        <v>480</v>
      </c>
      <c r="C62" s="283" t="s">
        <v>479</v>
      </c>
      <c r="D62" s="284"/>
      <c r="E62" s="196" t="s">
        <v>165</v>
      </c>
      <c r="F62" s="132"/>
      <c r="G62" s="118"/>
      <c r="H62" s="109" t="e">
        <f>VLOOKUP(I62,'공시사항점검표 목차(2023)'!$K$11:$L$73,2,FALSE)</f>
        <v>#N/A</v>
      </c>
      <c r="I62" s="112" t="s">
        <v>1115</v>
      </c>
    </row>
    <row r="63" spans="1:9" ht="68.45" customHeight="1">
      <c r="A63" s="120"/>
      <c r="B63" s="145" t="s">
        <v>482</v>
      </c>
      <c r="C63" s="283" t="s">
        <v>481</v>
      </c>
      <c r="D63" s="284"/>
      <c r="E63" s="196" t="s">
        <v>166</v>
      </c>
      <c r="F63" s="117"/>
      <c r="G63" s="118"/>
      <c r="H63" s="109" t="e">
        <f>VLOOKUP(I63,'공시사항점검표 목차(2023)'!$K$11:$L$73,2,FALSE)</f>
        <v>#N/A</v>
      </c>
      <c r="I63" s="112" t="s">
        <v>1115</v>
      </c>
    </row>
    <row r="64" spans="1:9" ht="69.599999999999994" customHeight="1">
      <c r="A64" s="285" t="s">
        <v>478</v>
      </c>
      <c r="B64" s="286"/>
      <c r="C64" s="286"/>
      <c r="D64" s="287"/>
      <c r="E64" s="197" t="s">
        <v>167</v>
      </c>
      <c r="F64" s="126"/>
      <c r="G64" s="127"/>
      <c r="H64" s="109" t="e">
        <f>VLOOKUP(I64,'공시사항점검표 목차(2023)'!$K$11:$L$73,2,FALSE)</f>
        <v>#N/A</v>
      </c>
      <c r="I64" s="112" t="s">
        <v>1115</v>
      </c>
    </row>
    <row r="65" spans="1:9" ht="26.45" customHeight="1">
      <c r="A65" s="111" t="s">
        <v>499</v>
      </c>
      <c r="H65" s="109" t="e">
        <f>VLOOKUP(I65,'공시사항점검표 목차(2023)'!$K$11:$L$73,2,FALSE)</f>
        <v>#N/A</v>
      </c>
      <c r="I65" s="112" t="s">
        <v>1116</v>
      </c>
    </row>
    <row r="66" spans="1:9" ht="26.45" customHeight="1">
      <c r="A66" s="269" t="s">
        <v>360</v>
      </c>
      <c r="B66" s="270"/>
      <c r="C66" s="270"/>
      <c r="D66" s="271"/>
      <c r="E66" s="114" t="s">
        <v>157</v>
      </c>
      <c r="F66" s="102" t="s">
        <v>301</v>
      </c>
      <c r="G66" s="114" t="s">
        <v>0</v>
      </c>
      <c r="H66" s="109" t="e">
        <f>VLOOKUP(I66,'공시사항점검표 목차(2023)'!$K$11:$L$73,2,FALSE)</f>
        <v>#N/A</v>
      </c>
      <c r="I66" s="112" t="s">
        <v>1116</v>
      </c>
    </row>
    <row r="67" spans="1:9" ht="31.15" customHeight="1">
      <c r="A67" s="120" t="s">
        <v>483</v>
      </c>
      <c r="D67" s="116"/>
      <c r="E67" s="196" t="s">
        <v>168</v>
      </c>
      <c r="F67" s="117"/>
      <c r="G67" s="118"/>
      <c r="H67" s="109" t="e">
        <f>VLOOKUP(I67,'공시사항점검표 목차(2023)'!$K$11:$L$73,2,FALSE)</f>
        <v>#N/A</v>
      </c>
      <c r="I67" s="112" t="s">
        <v>1116</v>
      </c>
    </row>
    <row r="68" spans="1:9" ht="42" customHeight="1">
      <c r="A68" s="120"/>
      <c r="B68" s="84" t="s">
        <v>486</v>
      </c>
      <c r="C68" s="283" t="s">
        <v>485</v>
      </c>
      <c r="D68" s="284"/>
      <c r="E68" s="196"/>
      <c r="F68" s="117"/>
      <c r="G68" s="118"/>
      <c r="H68" s="109" t="e">
        <f>VLOOKUP(I68,'공시사항점검표 목차(2023)'!$K$11:$L$73,2,FALSE)</f>
        <v>#N/A</v>
      </c>
      <c r="I68" s="112" t="s">
        <v>1116</v>
      </c>
    </row>
    <row r="69" spans="1:9" ht="34.9" customHeight="1">
      <c r="A69" s="122"/>
      <c r="B69" s="123" t="s">
        <v>488</v>
      </c>
      <c r="C69" s="286" t="s">
        <v>487</v>
      </c>
      <c r="D69" s="287"/>
      <c r="E69" s="197"/>
      <c r="F69" s="126"/>
      <c r="G69" s="127"/>
      <c r="H69" s="109" t="e">
        <f>VLOOKUP(I69,'공시사항점검표 목차(2023)'!$K$11:$L$73,2,FALSE)</f>
        <v>#N/A</v>
      </c>
      <c r="I69" s="112" t="s">
        <v>1116</v>
      </c>
    </row>
    <row r="70" spans="1:9" ht="34.15" customHeight="1">
      <c r="A70" s="135"/>
      <c r="B70" s="136" t="s">
        <v>490</v>
      </c>
      <c r="C70" s="280" t="s">
        <v>489</v>
      </c>
      <c r="D70" s="281"/>
      <c r="E70" s="195"/>
      <c r="F70" s="137"/>
      <c r="G70" s="138"/>
      <c r="H70" s="109" t="e">
        <f>VLOOKUP(I70,'공시사항점검표 목차(2023)'!$K$11:$L$73,2,FALSE)</f>
        <v>#N/A</v>
      </c>
      <c r="I70" s="112" t="s">
        <v>1116</v>
      </c>
    </row>
    <row r="71" spans="1:9" ht="32.450000000000003" customHeight="1">
      <c r="A71" s="120"/>
      <c r="B71" s="84" t="s">
        <v>727</v>
      </c>
      <c r="C71" s="283" t="s">
        <v>1173</v>
      </c>
      <c r="D71" s="284"/>
      <c r="E71" s="196"/>
      <c r="F71" s="117"/>
      <c r="G71" s="118"/>
      <c r="H71" s="109" t="e">
        <f>VLOOKUP(I71,'공시사항점검표 목차(2023)'!$K$11:$L$73,2,FALSE)</f>
        <v>#N/A</v>
      </c>
      <c r="I71" s="112" t="s">
        <v>1116</v>
      </c>
    </row>
    <row r="72" spans="1:9" ht="28.5">
      <c r="A72" s="120" t="s">
        <v>484</v>
      </c>
      <c r="D72" s="116"/>
      <c r="E72" s="196" t="s">
        <v>169</v>
      </c>
      <c r="F72" s="117"/>
      <c r="G72" s="118"/>
      <c r="H72" s="109" t="e">
        <f>VLOOKUP(I72,'공시사항점검표 목차(2023)'!$K$11:$L$73,2,FALSE)</f>
        <v>#N/A</v>
      </c>
      <c r="I72" s="112" t="s">
        <v>1116</v>
      </c>
    </row>
    <row r="73" spans="1:9" ht="70.900000000000006" customHeight="1">
      <c r="A73" s="282" t="s">
        <v>170</v>
      </c>
      <c r="B73" s="283"/>
      <c r="C73" s="283"/>
      <c r="D73" s="284"/>
      <c r="E73" s="196" t="s">
        <v>171</v>
      </c>
      <c r="F73" s="117"/>
      <c r="G73" s="118"/>
      <c r="H73" s="109" t="e">
        <f>VLOOKUP(I73,'공시사항점검표 목차(2023)'!$K$11:$L$73,2,FALSE)</f>
        <v>#N/A</v>
      </c>
      <c r="I73" s="112" t="s">
        <v>1116</v>
      </c>
    </row>
    <row r="74" spans="1:9" ht="28.5">
      <c r="A74" s="282" t="s">
        <v>172</v>
      </c>
      <c r="B74" s="283"/>
      <c r="C74" s="283"/>
      <c r="D74" s="284"/>
      <c r="E74" s="196" t="s">
        <v>173</v>
      </c>
      <c r="F74" s="117"/>
      <c r="G74" s="118"/>
      <c r="H74" s="109" t="e">
        <f>VLOOKUP(I74,'공시사항점검표 목차(2023)'!$K$11:$L$73,2,FALSE)</f>
        <v>#N/A</v>
      </c>
      <c r="I74" s="112" t="s">
        <v>1116</v>
      </c>
    </row>
    <row r="75" spans="1:9" ht="29.45" customHeight="1">
      <c r="A75" s="120"/>
      <c r="B75" s="84" t="s">
        <v>480</v>
      </c>
      <c r="C75" s="283" t="s">
        <v>491</v>
      </c>
      <c r="D75" s="284"/>
      <c r="E75" s="196"/>
      <c r="F75" s="117"/>
      <c r="G75" s="118"/>
      <c r="H75" s="109" t="e">
        <f>VLOOKUP(I75,'공시사항점검표 목차(2023)'!$K$11:$L$73,2,FALSE)</f>
        <v>#N/A</v>
      </c>
      <c r="I75" s="112" t="s">
        <v>1116</v>
      </c>
    </row>
    <row r="76" spans="1:9" ht="17.45" customHeight="1">
      <c r="A76" s="120"/>
      <c r="B76" s="84" t="s">
        <v>482</v>
      </c>
      <c r="C76" s="283" t="s">
        <v>492</v>
      </c>
      <c r="D76" s="284"/>
      <c r="E76" s="196"/>
      <c r="F76" s="117"/>
      <c r="G76" s="118"/>
      <c r="H76" s="109" t="e">
        <f>VLOOKUP(I76,'공시사항점검표 목차(2023)'!$K$11:$L$73,2,FALSE)</f>
        <v>#N/A</v>
      </c>
      <c r="I76" s="112" t="s">
        <v>1116</v>
      </c>
    </row>
    <row r="77" spans="1:9" ht="17.45" customHeight="1">
      <c r="A77" s="120"/>
      <c r="B77" s="84" t="s">
        <v>494</v>
      </c>
      <c r="C77" s="283" t="s">
        <v>493</v>
      </c>
      <c r="D77" s="284"/>
      <c r="E77" s="196"/>
      <c r="F77" s="117"/>
      <c r="G77" s="118"/>
      <c r="H77" s="109" t="e">
        <f>VLOOKUP(I77,'공시사항점검표 목차(2023)'!$K$11:$L$73,2,FALSE)</f>
        <v>#N/A</v>
      </c>
      <c r="I77" s="112" t="s">
        <v>1116</v>
      </c>
    </row>
    <row r="78" spans="1:9" ht="17.45" customHeight="1">
      <c r="A78" s="120"/>
      <c r="B78" s="84" t="s">
        <v>496</v>
      </c>
      <c r="C78" s="283" t="s">
        <v>495</v>
      </c>
      <c r="D78" s="284"/>
      <c r="E78" s="196"/>
      <c r="F78" s="117"/>
      <c r="G78" s="118"/>
      <c r="H78" s="109" t="e">
        <f>VLOOKUP(I78,'공시사항점검표 목차(2023)'!$K$11:$L$73,2,FALSE)</f>
        <v>#N/A</v>
      </c>
      <c r="I78" s="112" t="s">
        <v>1116</v>
      </c>
    </row>
    <row r="79" spans="1:9" ht="37.15" customHeight="1">
      <c r="A79" s="120"/>
      <c r="B79" s="84" t="s">
        <v>498</v>
      </c>
      <c r="C79" s="283" t="s">
        <v>497</v>
      </c>
      <c r="D79" s="284"/>
      <c r="E79" s="196"/>
      <c r="F79" s="117"/>
      <c r="G79" s="118"/>
      <c r="H79" s="109" t="e">
        <f>VLOOKUP(I79,'공시사항점검표 목차(2023)'!$K$11:$L$73,2,FALSE)</f>
        <v>#N/A</v>
      </c>
      <c r="I79" s="112" t="s">
        <v>1116</v>
      </c>
    </row>
    <row r="80" spans="1:9" ht="49.15" customHeight="1">
      <c r="A80" s="282" t="s">
        <v>174</v>
      </c>
      <c r="B80" s="283"/>
      <c r="C80" s="283"/>
      <c r="D80" s="284"/>
      <c r="E80" s="196" t="s">
        <v>175</v>
      </c>
      <c r="F80" s="117"/>
      <c r="G80" s="118"/>
      <c r="H80" s="109" t="e">
        <f>VLOOKUP(I80,'공시사항점검표 목차(2023)'!$K$11:$L$73,2,FALSE)</f>
        <v>#N/A</v>
      </c>
      <c r="I80" s="112" t="s">
        <v>1116</v>
      </c>
    </row>
    <row r="81" spans="1:9" ht="28.5">
      <c r="A81" s="282" t="s">
        <v>309</v>
      </c>
      <c r="B81" s="283"/>
      <c r="C81" s="283"/>
      <c r="D81" s="284"/>
      <c r="E81" s="196" t="s">
        <v>176</v>
      </c>
      <c r="F81" s="117"/>
      <c r="G81" s="118"/>
      <c r="H81" s="109" t="e">
        <f>VLOOKUP(I81,'공시사항점검표 목차(2023)'!$K$11:$L$73,2,FALSE)</f>
        <v>#N/A</v>
      </c>
      <c r="I81" s="112" t="s">
        <v>1116</v>
      </c>
    </row>
    <row r="82" spans="1:9" ht="36" customHeight="1">
      <c r="A82" s="282" t="s">
        <v>177</v>
      </c>
      <c r="B82" s="283"/>
      <c r="C82" s="283"/>
      <c r="D82" s="284"/>
      <c r="E82" s="146"/>
      <c r="F82" s="117"/>
      <c r="G82" s="118"/>
      <c r="H82" s="109" t="e">
        <f>VLOOKUP(I82,'공시사항점검표 목차(2023)'!$K$11:$L$73,2,FALSE)</f>
        <v>#N/A</v>
      </c>
      <c r="I82" s="112" t="s">
        <v>1116</v>
      </c>
    </row>
    <row r="83" spans="1:9" ht="17.45" customHeight="1">
      <c r="A83" s="120"/>
      <c r="B83" s="84" t="s">
        <v>480</v>
      </c>
      <c r="C83" s="283" t="s">
        <v>501</v>
      </c>
      <c r="D83" s="284"/>
      <c r="E83" s="196"/>
      <c r="F83" s="117"/>
      <c r="G83" s="118"/>
      <c r="H83" s="109" t="e">
        <f>VLOOKUP(I83,'공시사항점검표 목차(2023)'!$K$11:$L$73,2,FALSE)</f>
        <v>#N/A</v>
      </c>
      <c r="I83" s="112" t="s">
        <v>1116</v>
      </c>
    </row>
    <row r="84" spans="1:9" ht="33.6" customHeight="1">
      <c r="A84" s="120"/>
      <c r="B84" s="84" t="s">
        <v>482</v>
      </c>
      <c r="C84" s="283" t="s">
        <v>508</v>
      </c>
      <c r="D84" s="284"/>
      <c r="E84" s="196"/>
      <c r="F84" s="117"/>
      <c r="G84" s="118"/>
      <c r="H84" s="109" t="e">
        <f>VLOOKUP(I84,'공시사항점검표 목차(2023)'!$K$11:$L$73,2,FALSE)</f>
        <v>#N/A</v>
      </c>
      <c r="I84" s="112" t="s">
        <v>1116</v>
      </c>
    </row>
    <row r="85" spans="1:9" ht="31.15" customHeight="1">
      <c r="A85" s="120"/>
      <c r="B85" s="84" t="s">
        <v>494</v>
      </c>
      <c r="C85" s="283" t="s">
        <v>507</v>
      </c>
      <c r="D85" s="284"/>
      <c r="E85" s="196"/>
      <c r="F85" s="117"/>
      <c r="G85" s="118"/>
      <c r="H85" s="109" t="e">
        <f>VLOOKUP(I85,'공시사항점검표 목차(2023)'!$K$11:$L$73,2,FALSE)</f>
        <v>#N/A</v>
      </c>
      <c r="I85" s="112" t="s">
        <v>1116</v>
      </c>
    </row>
    <row r="86" spans="1:9" ht="32.450000000000003" customHeight="1">
      <c r="A86" s="120"/>
      <c r="B86" s="84" t="s">
        <v>496</v>
      </c>
      <c r="C86" s="283" t="s">
        <v>506</v>
      </c>
      <c r="D86" s="284"/>
      <c r="E86" s="146"/>
      <c r="F86" s="132"/>
      <c r="G86" s="118"/>
      <c r="H86" s="109" t="e">
        <f>VLOOKUP(I86,'공시사항점검표 목차(2023)'!$K$11:$L$73,2,FALSE)</f>
        <v>#N/A</v>
      </c>
      <c r="I86" s="112" t="s">
        <v>1116</v>
      </c>
    </row>
    <row r="87" spans="1:9" ht="52.15" customHeight="1">
      <c r="A87" s="120"/>
      <c r="B87" s="84" t="s">
        <v>498</v>
      </c>
      <c r="C87" s="283" t="s">
        <v>505</v>
      </c>
      <c r="D87" s="284"/>
      <c r="E87" s="196"/>
      <c r="F87" s="132"/>
      <c r="G87" s="118"/>
      <c r="H87" s="109" t="e">
        <f>VLOOKUP(I87,'공시사항점검표 목차(2023)'!$K$11:$L$73,2,FALSE)</f>
        <v>#N/A</v>
      </c>
      <c r="I87" s="112" t="s">
        <v>1116</v>
      </c>
    </row>
    <row r="88" spans="1:9" ht="32.450000000000003" customHeight="1">
      <c r="A88" s="120"/>
      <c r="B88" s="84" t="s">
        <v>504</v>
      </c>
      <c r="C88" s="283" t="s">
        <v>503</v>
      </c>
      <c r="D88" s="284"/>
      <c r="E88" s="196"/>
      <c r="F88" s="117"/>
      <c r="G88" s="118"/>
      <c r="H88" s="109" t="e">
        <f>VLOOKUP(I88,'공시사항점검표 목차(2023)'!$K$11:$L$73,2,FALSE)</f>
        <v>#N/A</v>
      </c>
      <c r="I88" s="112" t="s">
        <v>1116</v>
      </c>
    </row>
    <row r="89" spans="1:9" ht="42.75">
      <c r="A89" s="282" t="s">
        <v>500</v>
      </c>
      <c r="B89" s="283"/>
      <c r="C89" s="283"/>
      <c r="D89" s="284"/>
      <c r="E89" s="196" t="s">
        <v>178</v>
      </c>
      <c r="F89" s="117"/>
      <c r="G89" s="118"/>
      <c r="H89" s="109" t="e">
        <f>VLOOKUP(I89,'공시사항점검표 목차(2023)'!$K$11:$L$73,2,FALSE)</f>
        <v>#N/A</v>
      </c>
      <c r="I89" s="112" t="s">
        <v>1116</v>
      </c>
    </row>
    <row r="90" spans="1:9" ht="28.5">
      <c r="A90" s="285" t="s">
        <v>179</v>
      </c>
      <c r="B90" s="286"/>
      <c r="C90" s="286"/>
      <c r="D90" s="287"/>
      <c r="E90" s="197" t="s">
        <v>180</v>
      </c>
      <c r="F90" s="126"/>
      <c r="G90" s="127"/>
      <c r="H90" s="109" t="e">
        <f>VLOOKUP(I90,'공시사항점검표 목차(2023)'!$K$11:$L$73,2,FALSE)</f>
        <v>#N/A</v>
      </c>
      <c r="I90" s="112" t="s">
        <v>1116</v>
      </c>
    </row>
    <row r="91" spans="1:9" ht="26.45" customHeight="1">
      <c r="A91" s="111" t="s">
        <v>509</v>
      </c>
      <c r="H91" s="109" t="e">
        <f>VLOOKUP(I91,'공시사항점검표 목차(2023)'!$K$11:$L$73,2,FALSE)</f>
        <v>#N/A</v>
      </c>
      <c r="I91" s="112" t="s">
        <v>1117</v>
      </c>
    </row>
    <row r="92" spans="1:9" ht="26.45" customHeight="1">
      <c r="A92" s="269" t="s">
        <v>360</v>
      </c>
      <c r="B92" s="270"/>
      <c r="C92" s="270"/>
      <c r="D92" s="271"/>
      <c r="E92" s="114" t="s">
        <v>157</v>
      </c>
      <c r="F92" s="102" t="s">
        <v>301</v>
      </c>
      <c r="G92" s="114" t="s">
        <v>0</v>
      </c>
      <c r="H92" s="109" t="e">
        <f>VLOOKUP(I92,'공시사항점검표 목차(2023)'!$K$11:$L$73,2,FALSE)</f>
        <v>#N/A</v>
      </c>
      <c r="I92" s="112" t="s">
        <v>1117</v>
      </c>
    </row>
    <row r="93" spans="1:9" ht="17.45" customHeight="1">
      <c r="A93" s="279" t="s">
        <v>181</v>
      </c>
      <c r="B93" s="280"/>
      <c r="C93" s="280"/>
      <c r="D93" s="281"/>
      <c r="E93" s="290" t="s">
        <v>510</v>
      </c>
      <c r="F93" s="137"/>
      <c r="G93" s="138"/>
      <c r="H93" s="109" t="e">
        <f>VLOOKUP(I93,'공시사항점검표 목차(2023)'!$K$11:$L$73,2,FALSE)</f>
        <v>#N/A</v>
      </c>
      <c r="I93" s="112" t="s">
        <v>1117</v>
      </c>
    </row>
    <row r="94" spans="1:9" ht="37.15" customHeight="1">
      <c r="A94" s="282" t="s">
        <v>182</v>
      </c>
      <c r="B94" s="283"/>
      <c r="C94" s="283"/>
      <c r="D94" s="284"/>
      <c r="E94" s="288"/>
      <c r="F94" s="117"/>
      <c r="G94" s="118"/>
      <c r="H94" s="109" t="e">
        <f>VLOOKUP(I94,'공시사항점검표 목차(2023)'!$K$11:$L$73,2,FALSE)</f>
        <v>#N/A</v>
      </c>
      <c r="I94" s="112" t="s">
        <v>1117</v>
      </c>
    </row>
    <row r="95" spans="1:9" ht="34.9" customHeight="1">
      <c r="A95" s="282" t="s">
        <v>183</v>
      </c>
      <c r="B95" s="283"/>
      <c r="C95" s="283"/>
      <c r="D95" s="284"/>
      <c r="E95" s="288"/>
      <c r="F95" s="117"/>
      <c r="G95" s="118"/>
      <c r="H95" s="109" t="e">
        <f>VLOOKUP(I95,'공시사항점검표 목차(2023)'!$K$11:$L$73,2,FALSE)</f>
        <v>#N/A</v>
      </c>
      <c r="I95" s="112" t="s">
        <v>1117</v>
      </c>
    </row>
    <row r="96" spans="1:9" ht="34.15" customHeight="1">
      <c r="A96" s="282" t="s">
        <v>184</v>
      </c>
      <c r="B96" s="283"/>
      <c r="C96" s="283"/>
      <c r="D96" s="284"/>
      <c r="E96" s="288"/>
      <c r="F96" s="117"/>
      <c r="G96" s="118"/>
      <c r="H96" s="109" t="e">
        <f>VLOOKUP(I96,'공시사항점검표 목차(2023)'!$K$11:$L$73,2,FALSE)</f>
        <v>#N/A</v>
      </c>
      <c r="I96" s="112" t="s">
        <v>1117</v>
      </c>
    </row>
    <row r="97" spans="1:9" ht="37.15" customHeight="1">
      <c r="A97" s="282" t="s">
        <v>185</v>
      </c>
      <c r="B97" s="283"/>
      <c r="C97" s="283"/>
      <c r="D97" s="284"/>
      <c r="E97" s="288"/>
      <c r="F97" s="117"/>
      <c r="G97" s="118"/>
      <c r="H97" s="109" t="e">
        <f>VLOOKUP(I97,'공시사항점검표 목차(2023)'!$K$11:$L$73,2,FALSE)</f>
        <v>#N/A</v>
      </c>
      <c r="I97" s="112" t="s">
        <v>1117</v>
      </c>
    </row>
    <row r="98" spans="1:9" ht="33" customHeight="1">
      <c r="A98" s="282" t="s">
        <v>276</v>
      </c>
      <c r="B98" s="283"/>
      <c r="C98" s="283"/>
      <c r="D98" s="284"/>
      <c r="E98" s="288"/>
      <c r="F98" s="117"/>
      <c r="G98" s="118"/>
      <c r="H98" s="109" t="e">
        <f>VLOOKUP(I98,'공시사항점검표 목차(2023)'!$K$11:$L$73,2,FALSE)</f>
        <v>#N/A</v>
      </c>
      <c r="I98" s="112" t="s">
        <v>1117</v>
      </c>
    </row>
    <row r="99" spans="1:9" ht="21.6" customHeight="1">
      <c r="A99" s="282" t="s">
        <v>277</v>
      </c>
      <c r="B99" s="283"/>
      <c r="C99" s="283"/>
      <c r="D99" s="284"/>
      <c r="E99" s="288"/>
      <c r="F99" s="117"/>
      <c r="G99" s="118"/>
      <c r="H99" s="109" t="e">
        <f>VLOOKUP(I99,'공시사항점검표 목차(2023)'!$K$11:$L$73,2,FALSE)</f>
        <v>#N/A</v>
      </c>
      <c r="I99" s="112" t="s">
        <v>1117</v>
      </c>
    </row>
    <row r="100" spans="1:9" ht="39" customHeight="1">
      <c r="A100" s="282" t="s">
        <v>278</v>
      </c>
      <c r="B100" s="283"/>
      <c r="C100" s="283"/>
      <c r="D100" s="284"/>
      <c r="E100" s="288"/>
      <c r="F100" s="117"/>
      <c r="G100" s="118"/>
      <c r="H100" s="109" t="e">
        <f>VLOOKUP(I100,'공시사항점검표 목차(2023)'!$K$11:$L$73,2,FALSE)</f>
        <v>#N/A</v>
      </c>
      <c r="I100" s="112" t="s">
        <v>1117</v>
      </c>
    </row>
    <row r="101" spans="1:9" ht="70.900000000000006" customHeight="1">
      <c r="A101" s="282" t="s">
        <v>279</v>
      </c>
      <c r="B101" s="283"/>
      <c r="C101" s="283"/>
      <c r="D101" s="284"/>
      <c r="E101" s="288"/>
      <c r="F101" s="117"/>
      <c r="G101" s="118"/>
      <c r="H101" s="109" t="e">
        <f>VLOOKUP(I101,'공시사항점검표 목차(2023)'!$K$11:$L$73,2,FALSE)</f>
        <v>#N/A</v>
      </c>
      <c r="I101" s="112" t="s">
        <v>1117</v>
      </c>
    </row>
    <row r="102" spans="1:9" ht="53.45" customHeight="1">
      <c r="A102" s="282" t="s">
        <v>280</v>
      </c>
      <c r="B102" s="283"/>
      <c r="C102" s="283"/>
      <c r="D102" s="284"/>
      <c r="E102" s="288"/>
      <c r="F102" s="132"/>
      <c r="G102" s="118"/>
      <c r="H102" s="109" t="e">
        <f>VLOOKUP(I102,'공시사항점검표 목차(2023)'!$K$11:$L$73,2,FALSE)</f>
        <v>#N/A</v>
      </c>
      <c r="I102" s="112" t="s">
        <v>1117</v>
      </c>
    </row>
    <row r="103" spans="1:9" ht="43.9" customHeight="1">
      <c r="A103" s="282" t="s">
        <v>281</v>
      </c>
      <c r="B103" s="283"/>
      <c r="C103" s="283"/>
      <c r="D103" s="284"/>
      <c r="E103" s="288"/>
      <c r="F103" s="132"/>
      <c r="G103" s="118"/>
      <c r="H103" s="109" t="e">
        <f>VLOOKUP(I103,'공시사항점검표 목차(2023)'!$K$11:$L$73,2,FALSE)</f>
        <v>#N/A</v>
      </c>
      <c r="I103" s="112" t="s">
        <v>1117</v>
      </c>
    </row>
    <row r="104" spans="1:9" ht="35.450000000000003" customHeight="1">
      <c r="A104" s="282" t="s">
        <v>282</v>
      </c>
      <c r="B104" s="283"/>
      <c r="C104" s="283"/>
      <c r="D104" s="284"/>
      <c r="E104" s="288"/>
      <c r="F104" s="117"/>
      <c r="G104" s="118"/>
      <c r="H104" s="109" t="e">
        <f>VLOOKUP(I104,'공시사항점검표 목차(2023)'!$K$11:$L$73,2,FALSE)</f>
        <v>#N/A</v>
      </c>
      <c r="I104" s="112" t="s">
        <v>1117</v>
      </c>
    </row>
    <row r="105" spans="1:9" ht="37.9" customHeight="1">
      <c r="A105" s="282" t="s">
        <v>283</v>
      </c>
      <c r="B105" s="283"/>
      <c r="C105" s="283"/>
      <c r="D105" s="284"/>
      <c r="E105" s="196" t="s">
        <v>186</v>
      </c>
      <c r="F105" s="117"/>
      <c r="G105" s="118"/>
      <c r="H105" s="109" t="e">
        <f>VLOOKUP(I105,'공시사항점검표 목차(2023)'!$K$11:$L$73,2,FALSE)</f>
        <v>#N/A</v>
      </c>
      <c r="I105" s="112" t="s">
        <v>1117</v>
      </c>
    </row>
    <row r="106" spans="1:9" ht="73.5" customHeight="1">
      <c r="A106" s="285" t="s">
        <v>250</v>
      </c>
      <c r="B106" s="286"/>
      <c r="C106" s="286"/>
      <c r="D106" s="287"/>
      <c r="E106" s="197" t="s">
        <v>251</v>
      </c>
      <c r="F106" s="126"/>
      <c r="G106" s="127"/>
      <c r="H106" s="109" t="e">
        <f>VLOOKUP(I106,'공시사항점검표 목차(2023)'!$K$11:$L$73,2,FALSE)</f>
        <v>#N/A</v>
      </c>
      <c r="I106" s="112" t="s">
        <v>1117</v>
      </c>
    </row>
    <row r="107" spans="1:9" ht="26.45" customHeight="1">
      <c r="A107" s="111" t="s">
        <v>511</v>
      </c>
      <c r="H107" s="109" t="e">
        <f>VLOOKUP(I107,'공시사항점검표 목차(2023)'!$K$11:$L$73,2,FALSE)</f>
        <v>#N/A</v>
      </c>
      <c r="I107" s="112" t="s">
        <v>1118</v>
      </c>
    </row>
    <row r="108" spans="1:9" ht="26.45" customHeight="1">
      <c r="A108" s="269" t="s">
        <v>360</v>
      </c>
      <c r="B108" s="270"/>
      <c r="C108" s="270"/>
      <c r="D108" s="271"/>
      <c r="E108" s="114" t="s">
        <v>157</v>
      </c>
      <c r="F108" s="102" t="s">
        <v>301</v>
      </c>
      <c r="G108" s="114" t="s">
        <v>0</v>
      </c>
      <c r="H108" s="109" t="e">
        <f>VLOOKUP(I108,'공시사항점검표 목차(2023)'!$K$11:$L$73,2,FALSE)</f>
        <v>#N/A</v>
      </c>
      <c r="I108" s="112" t="s">
        <v>1118</v>
      </c>
    </row>
    <row r="109" spans="1:9" ht="55.15" customHeight="1">
      <c r="A109" s="279" t="s">
        <v>300</v>
      </c>
      <c r="B109" s="280"/>
      <c r="C109" s="280"/>
      <c r="D109" s="281"/>
      <c r="E109" s="196" t="s">
        <v>187</v>
      </c>
      <c r="F109" s="117"/>
      <c r="G109" s="118"/>
      <c r="H109" s="109" t="e">
        <f>VLOOKUP(I109,'공시사항점검표 목차(2023)'!$K$11:$L$73,2,FALSE)</f>
        <v>#N/A</v>
      </c>
      <c r="I109" s="112" t="s">
        <v>1118</v>
      </c>
    </row>
    <row r="110" spans="1:9" ht="33.6" customHeight="1">
      <c r="A110" s="147"/>
      <c r="B110" s="145" t="s">
        <v>480</v>
      </c>
      <c r="C110" s="283" t="s">
        <v>512</v>
      </c>
      <c r="D110" s="284"/>
      <c r="E110" s="196"/>
      <c r="F110" s="117"/>
      <c r="G110" s="118"/>
      <c r="H110" s="109" t="e">
        <f>VLOOKUP(I110,'공시사항점검표 목차(2023)'!$K$11:$L$73,2,FALSE)</f>
        <v>#N/A</v>
      </c>
      <c r="I110" s="112" t="s">
        <v>1118</v>
      </c>
    </row>
    <row r="111" spans="1:9" ht="34.9" customHeight="1">
      <c r="A111" s="148"/>
      <c r="B111" s="149" t="s">
        <v>482</v>
      </c>
      <c r="C111" s="286" t="s">
        <v>513</v>
      </c>
      <c r="D111" s="287"/>
      <c r="E111" s="197"/>
      <c r="F111" s="126"/>
      <c r="G111" s="127"/>
      <c r="H111" s="109" t="e">
        <f>VLOOKUP(I111,'공시사항점검표 목차(2023)'!$K$11:$L$73,2,FALSE)</f>
        <v>#N/A</v>
      </c>
      <c r="I111" s="112" t="s">
        <v>1118</v>
      </c>
    </row>
    <row r="112" spans="1:9" ht="33.6" customHeight="1">
      <c r="A112" s="150"/>
      <c r="B112" s="151" t="s">
        <v>494</v>
      </c>
      <c r="C112" s="280" t="s">
        <v>514</v>
      </c>
      <c r="D112" s="281"/>
      <c r="E112" s="195"/>
      <c r="F112" s="137"/>
      <c r="G112" s="138"/>
      <c r="H112" s="109" t="e">
        <f>VLOOKUP(I112,'공시사항점검표 목차(2023)'!$K$11:$L$73,2,FALSE)</f>
        <v>#N/A</v>
      </c>
      <c r="I112" s="112" t="s">
        <v>1118</v>
      </c>
    </row>
    <row r="113" spans="1:9" ht="28.5">
      <c r="A113" s="282" t="s">
        <v>188</v>
      </c>
      <c r="B113" s="283"/>
      <c r="C113" s="283"/>
      <c r="D113" s="284"/>
      <c r="E113" s="196" t="s">
        <v>189</v>
      </c>
      <c r="F113" s="117"/>
      <c r="G113" s="118"/>
      <c r="H113" s="109" t="e">
        <f>VLOOKUP(I113,'공시사항점검표 목차(2023)'!$K$11:$L$73,2,FALSE)</f>
        <v>#N/A</v>
      </c>
      <c r="I113" s="112" t="s">
        <v>1118</v>
      </c>
    </row>
    <row r="114" spans="1:9" ht="32.450000000000003" customHeight="1">
      <c r="A114" s="147"/>
      <c r="B114" s="145" t="s">
        <v>656</v>
      </c>
      <c r="C114" s="283" t="s">
        <v>515</v>
      </c>
      <c r="D114" s="284"/>
      <c r="E114" s="196"/>
      <c r="F114" s="117"/>
      <c r="G114" s="118"/>
      <c r="H114" s="109" t="e">
        <f>VLOOKUP(I114,'공시사항점검표 목차(2023)'!$K$11:$L$73,2,FALSE)</f>
        <v>#N/A</v>
      </c>
      <c r="I114" s="112" t="s">
        <v>1118</v>
      </c>
    </row>
    <row r="115" spans="1:9" ht="34.9" customHeight="1">
      <c r="A115" s="147"/>
      <c r="B115" s="145" t="s">
        <v>642</v>
      </c>
      <c r="C115" s="283" t="s">
        <v>516</v>
      </c>
      <c r="D115" s="284"/>
      <c r="E115" s="196"/>
      <c r="F115" s="117"/>
      <c r="G115" s="118"/>
      <c r="H115" s="109" t="e">
        <f>VLOOKUP(I115,'공시사항점검표 목차(2023)'!$K$11:$L$73,2,FALSE)</f>
        <v>#N/A</v>
      </c>
      <c r="I115" s="112" t="s">
        <v>1118</v>
      </c>
    </row>
    <row r="116" spans="1:9" ht="35.450000000000003" customHeight="1">
      <c r="A116" s="282" t="s">
        <v>190</v>
      </c>
      <c r="B116" s="283"/>
      <c r="C116" s="283"/>
      <c r="D116" s="284"/>
      <c r="E116" s="196" t="s">
        <v>191</v>
      </c>
      <c r="F116" s="117"/>
      <c r="G116" s="118"/>
      <c r="H116" s="109" t="e">
        <f>VLOOKUP(I116,'공시사항점검표 목차(2023)'!$K$11:$L$73,2,FALSE)</f>
        <v>#N/A</v>
      </c>
      <c r="I116" s="112" t="s">
        <v>1118</v>
      </c>
    </row>
    <row r="117" spans="1:9" ht="28.5">
      <c r="A117" s="285" t="s">
        <v>192</v>
      </c>
      <c r="B117" s="286"/>
      <c r="C117" s="286"/>
      <c r="D117" s="287"/>
      <c r="E117" s="197" t="s">
        <v>191</v>
      </c>
      <c r="F117" s="126"/>
      <c r="G117" s="127"/>
      <c r="H117" s="109" t="e">
        <f>VLOOKUP(I117,'공시사항점검표 목차(2023)'!$K$11:$L$73,2,FALSE)</f>
        <v>#N/A</v>
      </c>
      <c r="I117" s="112" t="s">
        <v>1118</v>
      </c>
    </row>
    <row r="118" spans="1:9" ht="26.45" customHeight="1">
      <c r="A118" s="111" t="s">
        <v>517</v>
      </c>
      <c r="H118" s="109" t="e">
        <f>VLOOKUP(I118,'공시사항점검표 목차(2023)'!$K$11:$L$73,2,FALSE)</f>
        <v>#N/A</v>
      </c>
      <c r="I118" s="112" t="s">
        <v>1119</v>
      </c>
    </row>
    <row r="119" spans="1:9" ht="26.45" customHeight="1">
      <c r="A119" s="269" t="s">
        <v>360</v>
      </c>
      <c r="B119" s="270"/>
      <c r="C119" s="270"/>
      <c r="D119" s="271"/>
      <c r="E119" s="114" t="s">
        <v>157</v>
      </c>
      <c r="F119" s="102" t="s">
        <v>301</v>
      </c>
      <c r="G119" s="114" t="s">
        <v>0</v>
      </c>
      <c r="H119" s="109" t="e">
        <f>VLOOKUP(I119,'공시사항점검표 목차(2023)'!$K$11:$L$73,2,FALSE)</f>
        <v>#N/A</v>
      </c>
      <c r="I119" s="112" t="s">
        <v>1119</v>
      </c>
    </row>
    <row r="120" spans="1:9" ht="28.5">
      <c r="A120" s="291" t="s">
        <v>284</v>
      </c>
      <c r="B120" s="292"/>
      <c r="C120" s="292"/>
      <c r="D120" s="293"/>
      <c r="E120" s="114" t="s">
        <v>194</v>
      </c>
      <c r="F120" s="143"/>
      <c r="G120" s="144"/>
      <c r="H120" s="109" t="e">
        <f>VLOOKUP(I120,'공시사항점검표 목차(2023)'!$K$11:$L$73,2,FALSE)</f>
        <v>#N/A</v>
      </c>
      <c r="I120" s="112" t="s">
        <v>1119</v>
      </c>
    </row>
    <row r="121" spans="1:9" ht="26.45" customHeight="1">
      <c r="A121" s="111" t="s">
        <v>518</v>
      </c>
      <c r="H121" s="109" t="e">
        <f>VLOOKUP(I121,'공시사항점검표 목차(2023)'!$K$11:$L$73,2,FALSE)</f>
        <v>#N/A</v>
      </c>
      <c r="I121" s="112" t="s">
        <v>1120</v>
      </c>
    </row>
    <row r="122" spans="1:9" ht="26.45" customHeight="1">
      <c r="A122" s="269" t="s">
        <v>360</v>
      </c>
      <c r="B122" s="270"/>
      <c r="C122" s="270"/>
      <c r="D122" s="271"/>
      <c r="E122" s="114" t="s">
        <v>157</v>
      </c>
      <c r="F122" s="102" t="s">
        <v>301</v>
      </c>
      <c r="G122" s="114" t="s">
        <v>0</v>
      </c>
      <c r="H122" s="109" t="e">
        <f>VLOOKUP(I122,'공시사항점검표 목차(2023)'!$K$11:$L$73,2,FALSE)</f>
        <v>#N/A</v>
      </c>
      <c r="I122" s="112" t="s">
        <v>1120</v>
      </c>
    </row>
    <row r="123" spans="1:9" ht="28.5">
      <c r="A123" s="279" t="s">
        <v>193</v>
      </c>
      <c r="B123" s="280"/>
      <c r="C123" s="280"/>
      <c r="D123" s="281"/>
      <c r="E123" s="196" t="s">
        <v>307</v>
      </c>
      <c r="F123" s="117"/>
      <c r="G123" s="118"/>
      <c r="H123" s="109" t="e">
        <f>VLOOKUP(I123,'공시사항점검표 목차(2023)'!$K$11:$L$73,2,FALSE)</f>
        <v>#N/A</v>
      </c>
      <c r="I123" s="112" t="s">
        <v>1120</v>
      </c>
    </row>
    <row r="124" spans="1:9" ht="17.45" customHeight="1">
      <c r="A124" s="147"/>
      <c r="B124" s="84" t="s">
        <v>480</v>
      </c>
      <c r="C124" s="283" t="s">
        <v>519</v>
      </c>
      <c r="D124" s="284"/>
      <c r="E124" s="196"/>
      <c r="F124" s="117"/>
      <c r="G124" s="118"/>
      <c r="H124" s="109" t="e">
        <f>VLOOKUP(I124,'공시사항점검표 목차(2023)'!$K$11:$L$73,2,FALSE)</f>
        <v>#N/A</v>
      </c>
      <c r="I124" s="112" t="s">
        <v>1120</v>
      </c>
    </row>
    <row r="125" spans="1:9" ht="17.45" customHeight="1">
      <c r="A125" s="120"/>
      <c r="B125" s="84" t="s">
        <v>482</v>
      </c>
      <c r="C125" s="283" t="s">
        <v>520</v>
      </c>
      <c r="D125" s="284"/>
      <c r="E125" s="196"/>
      <c r="F125" s="117"/>
      <c r="G125" s="118"/>
      <c r="H125" s="109" t="e">
        <f>VLOOKUP(I125,'공시사항점검표 목차(2023)'!$K$11:$L$73,2,FALSE)</f>
        <v>#N/A</v>
      </c>
      <c r="I125" s="112" t="s">
        <v>1120</v>
      </c>
    </row>
    <row r="126" spans="1:9">
      <c r="A126" s="120"/>
      <c r="C126" s="83" t="s">
        <v>452</v>
      </c>
      <c r="D126" s="116" t="s">
        <v>521</v>
      </c>
      <c r="E126" s="152"/>
      <c r="F126" s="117"/>
      <c r="G126" s="118"/>
      <c r="H126" s="109" t="e">
        <f>VLOOKUP(I126,'공시사항점검표 목차(2023)'!$K$11:$L$73,2,FALSE)</f>
        <v>#N/A</v>
      </c>
      <c r="I126" s="112" t="s">
        <v>1120</v>
      </c>
    </row>
    <row r="127" spans="1:9">
      <c r="A127" s="120"/>
      <c r="C127" s="83" t="s">
        <v>454</v>
      </c>
      <c r="D127" s="116" t="s">
        <v>522</v>
      </c>
      <c r="E127" s="152"/>
      <c r="F127" s="117"/>
      <c r="G127" s="118"/>
      <c r="H127" s="109" t="e">
        <f>VLOOKUP(I127,'공시사항점검표 목차(2023)'!$K$11:$L$73,2,FALSE)</f>
        <v>#N/A</v>
      </c>
      <c r="I127" s="112" t="s">
        <v>1120</v>
      </c>
    </row>
    <row r="128" spans="1:9">
      <c r="A128" s="120"/>
      <c r="C128" s="83" t="s">
        <v>455</v>
      </c>
      <c r="D128" s="116" t="s">
        <v>523</v>
      </c>
      <c r="E128" s="152"/>
      <c r="F128" s="117"/>
      <c r="G128" s="118"/>
      <c r="H128" s="109" t="e">
        <f>VLOOKUP(I128,'공시사항점검표 목차(2023)'!$K$11:$L$73,2,FALSE)</f>
        <v>#N/A</v>
      </c>
      <c r="I128" s="112" t="s">
        <v>1120</v>
      </c>
    </row>
    <row r="129" spans="1:9">
      <c r="A129" s="120"/>
      <c r="C129" s="83" t="s">
        <v>457</v>
      </c>
      <c r="D129" s="116" t="s">
        <v>524</v>
      </c>
      <c r="E129" s="152"/>
      <c r="F129" s="117"/>
      <c r="G129" s="118"/>
      <c r="H129" s="109" t="e">
        <f>VLOOKUP(I129,'공시사항점검표 목차(2023)'!$K$11:$L$73,2,FALSE)</f>
        <v>#N/A</v>
      </c>
      <c r="I129" s="112" t="s">
        <v>1120</v>
      </c>
    </row>
    <row r="130" spans="1:9">
      <c r="A130" s="120"/>
      <c r="C130" s="83" t="s">
        <v>525</v>
      </c>
      <c r="D130" s="116" t="s">
        <v>526</v>
      </c>
      <c r="E130" s="152"/>
      <c r="F130" s="117"/>
      <c r="G130" s="118"/>
      <c r="H130" s="109" t="e">
        <f>VLOOKUP(I130,'공시사항점검표 목차(2023)'!$K$11:$L$73,2,FALSE)</f>
        <v>#N/A</v>
      </c>
      <c r="I130" s="112" t="s">
        <v>1120</v>
      </c>
    </row>
    <row r="131" spans="1:9">
      <c r="A131" s="120"/>
      <c r="C131" s="83" t="s">
        <v>528</v>
      </c>
      <c r="D131" s="116" t="s">
        <v>527</v>
      </c>
      <c r="E131" s="152"/>
      <c r="F131" s="117"/>
      <c r="G131" s="118"/>
      <c r="H131" s="109" t="e">
        <f>VLOOKUP(I131,'공시사항점검표 목차(2023)'!$K$11:$L$73,2,FALSE)</f>
        <v>#N/A</v>
      </c>
      <c r="I131" s="112" t="s">
        <v>1120</v>
      </c>
    </row>
    <row r="132" spans="1:9">
      <c r="A132" s="120"/>
      <c r="C132" s="83" t="s">
        <v>530</v>
      </c>
      <c r="D132" s="116" t="s">
        <v>529</v>
      </c>
      <c r="E132" s="152"/>
      <c r="F132" s="117"/>
      <c r="G132" s="118"/>
      <c r="H132" s="109" t="e">
        <f>VLOOKUP(I132,'공시사항점검표 목차(2023)'!$K$11:$L$73,2,FALSE)</f>
        <v>#N/A</v>
      </c>
      <c r="I132" s="112" t="s">
        <v>1120</v>
      </c>
    </row>
    <row r="133" spans="1:9" ht="17.45" customHeight="1">
      <c r="A133" s="120"/>
      <c r="B133" s="84" t="s">
        <v>494</v>
      </c>
      <c r="C133" s="283" t="s">
        <v>535</v>
      </c>
      <c r="D133" s="284"/>
      <c r="E133" s="152"/>
      <c r="F133" s="117"/>
      <c r="G133" s="118"/>
      <c r="H133" s="109" t="e">
        <f>VLOOKUP(I133,'공시사항점검표 목차(2023)'!$K$11:$L$73,2,FALSE)</f>
        <v>#N/A</v>
      </c>
      <c r="I133" s="112" t="s">
        <v>1120</v>
      </c>
    </row>
    <row r="134" spans="1:9" ht="17.45" customHeight="1">
      <c r="A134" s="120"/>
      <c r="B134" s="84" t="s">
        <v>496</v>
      </c>
      <c r="C134" s="283" t="s">
        <v>536</v>
      </c>
      <c r="D134" s="284"/>
      <c r="E134" s="152"/>
      <c r="F134" s="132"/>
      <c r="G134" s="118"/>
      <c r="H134" s="109" t="e">
        <f>VLOOKUP(I134,'공시사항점검표 목차(2023)'!$K$11:$L$73,2,FALSE)</f>
        <v>#N/A</v>
      </c>
      <c r="I134" s="112" t="s">
        <v>1120</v>
      </c>
    </row>
    <row r="135" spans="1:9" ht="17.45" customHeight="1">
      <c r="A135" s="120"/>
      <c r="B135" s="84" t="s">
        <v>498</v>
      </c>
      <c r="C135" s="283" t="s">
        <v>537</v>
      </c>
      <c r="D135" s="284"/>
      <c r="E135" s="152"/>
      <c r="F135" s="117"/>
      <c r="G135" s="118"/>
      <c r="H135" s="109" t="e">
        <f>VLOOKUP(I135,'공시사항점검표 목차(2023)'!$K$11:$L$73,2,FALSE)</f>
        <v>#N/A</v>
      </c>
      <c r="I135" s="112" t="s">
        <v>1120</v>
      </c>
    </row>
    <row r="136" spans="1:9" ht="17.45" customHeight="1">
      <c r="A136" s="120"/>
      <c r="B136" s="84" t="s">
        <v>504</v>
      </c>
      <c r="C136" s="283" t="s">
        <v>538</v>
      </c>
      <c r="D136" s="284"/>
      <c r="E136" s="152"/>
      <c r="F136" s="117"/>
      <c r="G136" s="118"/>
      <c r="H136" s="109" t="e">
        <f>VLOOKUP(I136,'공시사항점검표 목차(2023)'!$K$11:$L$73,2,FALSE)</f>
        <v>#N/A</v>
      </c>
      <c r="I136" s="112" t="s">
        <v>1120</v>
      </c>
    </row>
    <row r="137" spans="1:9" ht="17.45" customHeight="1">
      <c r="A137" s="120"/>
      <c r="B137" s="84" t="s">
        <v>532</v>
      </c>
      <c r="C137" s="283" t="s">
        <v>531</v>
      </c>
      <c r="D137" s="284"/>
      <c r="E137" s="152"/>
      <c r="F137" s="117"/>
      <c r="G137" s="118"/>
      <c r="H137" s="109" t="e">
        <f>VLOOKUP(I137,'공시사항점검표 목차(2023)'!$K$11:$L$73,2,FALSE)</f>
        <v>#N/A</v>
      </c>
      <c r="I137" s="112" t="s">
        <v>1120</v>
      </c>
    </row>
    <row r="138" spans="1:9" ht="17.45" customHeight="1">
      <c r="A138" s="120"/>
      <c r="B138" s="84" t="s">
        <v>534</v>
      </c>
      <c r="C138" s="283" t="s">
        <v>533</v>
      </c>
      <c r="D138" s="284"/>
      <c r="E138" s="152"/>
      <c r="F138" s="117"/>
      <c r="G138" s="118"/>
      <c r="H138" s="109" t="e">
        <f>VLOOKUP(I138,'공시사항점검표 목차(2023)'!$K$11:$L$73,2,FALSE)</f>
        <v>#N/A</v>
      </c>
      <c r="I138" s="112" t="s">
        <v>1120</v>
      </c>
    </row>
    <row r="139" spans="1:9" ht="32.25" customHeight="1">
      <c r="A139" s="282" t="s">
        <v>195</v>
      </c>
      <c r="B139" s="283"/>
      <c r="C139" s="283"/>
      <c r="D139" s="284"/>
      <c r="E139" s="196" t="s">
        <v>196</v>
      </c>
      <c r="F139" s="117"/>
      <c r="G139" s="118"/>
      <c r="H139" s="109" t="e">
        <f>VLOOKUP(I139,'공시사항점검표 목차(2023)'!$K$11:$L$73,2,FALSE)</f>
        <v>#N/A</v>
      </c>
      <c r="I139" s="112" t="s">
        <v>1120</v>
      </c>
    </row>
    <row r="140" spans="1:9" ht="17.45" customHeight="1">
      <c r="A140" s="147"/>
      <c r="B140" s="84" t="s">
        <v>480</v>
      </c>
      <c r="C140" s="283" t="s">
        <v>539</v>
      </c>
      <c r="D140" s="284"/>
      <c r="E140" s="152"/>
      <c r="F140" s="117"/>
      <c r="G140" s="118"/>
      <c r="H140" s="109" t="e">
        <f>VLOOKUP(I140,'공시사항점검표 목차(2023)'!$K$11:$L$73,2,FALSE)</f>
        <v>#N/A</v>
      </c>
      <c r="I140" s="112" t="s">
        <v>1120</v>
      </c>
    </row>
    <row r="141" spans="1:9" ht="34.15" customHeight="1">
      <c r="A141" s="147"/>
      <c r="B141" s="145" t="s">
        <v>482</v>
      </c>
      <c r="C141" s="283" t="s">
        <v>540</v>
      </c>
      <c r="D141" s="284"/>
      <c r="E141" s="152"/>
      <c r="F141" s="117"/>
      <c r="G141" s="118"/>
      <c r="H141" s="109" t="e">
        <f>VLOOKUP(I141,'공시사항점검표 목차(2023)'!$K$11:$L$73,2,FALSE)</f>
        <v>#N/A</v>
      </c>
      <c r="I141" s="112" t="s">
        <v>1120</v>
      </c>
    </row>
    <row r="142" spans="1:9" ht="17.45" customHeight="1">
      <c r="A142" s="147"/>
      <c r="B142" s="84" t="s">
        <v>494</v>
      </c>
      <c r="C142" s="283" t="s">
        <v>541</v>
      </c>
      <c r="D142" s="284"/>
      <c r="E142" s="152"/>
      <c r="F142" s="117"/>
      <c r="G142" s="118"/>
      <c r="H142" s="109" t="e">
        <f>VLOOKUP(I142,'공시사항점검표 목차(2023)'!$K$11:$L$73,2,FALSE)</f>
        <v>#N/A</v>
      </c>
      <c r="I142" s="112" t="s">
        <v>1120</v>
      </c>
    </row>
    <row r="143" spans="1:9" ht="28.5">
      <c r="A143" s="282" t="s">
        <v>197</v>
      </c>
      <c r="B143" s="283"/>
      <c r="C143" s="283"/>
      <c r="D143" s="284"/>
      <c r="E143" s="196" t="s">
        <v>198</v>
      </c>
      <c r="F143" s="117"/>
      <c r="G143" s="118"/>
      <c r="H143" s="109" t="e">
        <f>VLOOKUP(I143,'공시사항점검표 목차(2023)'!$K$11:$L$73,2,FALSE)</f>
        <v>#N/A</v>
      </c>
      <c r="I143" s="112" t="s">
        <v>1120</v>
      </c>
    </row>
    <row r="144" spans="1:9" ht="17.45" customHeight="1">
      <c r="A144" s="148"/>
      <c r="B144" s="123" t="s">
        <v>480</v>
      </c>
      <c r="C144" s="286" t="s">
        <v>542</v>
      </c>
      <c r="D144" s="287"/>
      <c r="E144" s="153"/>
      <c r="F144" s="126"/>
      <c r="G144" s="127"/>
      <c r="H144" s="109" t="e">
        <f>VLOOKUP(I144,'공시사항점검표 목차(2023)'!$K$11:$L$73,2,FALSE)</f>
        <v>#N/A</v>
      </c>
      <c r="I144" s="112" t="s">
        <v>1120</v>
      </c>
    </row>
    <row r="145" spans="1:9" ht="33.6" customHeight="1">
      <c r="A145" s="150"/>
      <c r="B145" s="151" t="s">
        <v>642</v>
      </c>
      <c r="C145" s="280" t="s">
        <v>543</v>
      </c>
      <c r="D145" s="281"/>
      <c r="E145" s="154"/>
      <c r="F145" s="137"/>
      <c r="G145" s="138"/>
      <c r="H145" s="109" t="e">
        <f>VLOOKUP(I145,'공시사항점검표 목차(2023)'!$K$11:$L$73,2,FALSE)</f>
        <v>#N/A</v>
      </c>
      <c r="I145" s="112" t="s">
        <v>1120</v>
      </c>
    </row>
    <row r="146" spans="1:9" ht="17.45" customHeight="1">
      <c r="A146" s="147"/>
      <c r="B146" s="84" t="s">
        <v>494</v>
      </c>
      <c r="C146" s="283" t="s">
        <v>544</v>
      </c>
      <c r="D146" s="284"/>
      <c r="E146" s="152"/>
      <c r="F146" s="117"/>
      <c r="G146" s="118"/>
      <c r="H146" s="109" t="e">
        <f>VLOOKUP(I146,'공시사항점검표 목차(2023)'!$K$11:$L$73,2,FALSE)</f>
        <v>#N/A</v>
      </c>
      <c r="I146" s="112" t="s">
        <v>1120</v>
      </c>
    </row>
    <row r="147" spans="1:9" ht="40.15" customHeight="1">
      <c r="A147" s="282" t="s">
        <v>199</v>
      </c>
      <c r="B147" s="283"/>
      <c r="C147" s="283"/>
      <c r="D147" s="284"/>
      <c r="E147" s="196" t="s">
        <v>200</v>
      </c>
      <c r="F147" s="117"/>
      <c r="G147" s="118"/>
      <c r="H147" s="109" t="e">
        <f>VLOOKUP(I147,'공시사항점검표 목차(2023)'!$K$11:$L$73,2,FALSE)</f>
        <v>#N/A</v>
      </c>
      <c r="I147" s="112" t="s">
        <v>1120</v>
      </c>
    </row>
    <row r="148" spans="1:9" ht="17.45" customHeight="1">
      <c r="A148" s="147"/>
      <c r="B148" s="84" t="s">
        <v>480</v>
      </c>
      <c r="C148" s="283" t="s">
        <v>545</v>
      </c>
      <c r="D148" s="284"/>
      <c r="E148" s="196"/>
      <c r="F148" s="117"/>
      <c r="G148" s="118"/>
      <c r="H148" s="109" t="e">
        <f>VLOOKUP(I148,'공시사항점검표 목차(2023)'!$K$11:$L$73,2,FALSE)</f>
        <v>#N/A</v>
      </c>
      <c r="I148" s="112" t="s">
        <v>1120</v>
      </c>
    </row>
    <row r="149" spans="1:9" ht="17.45" customHeight="1">
      <c r="A149" s="147"/>
      <c r="B149" s="84" t="s">
        <v>482</v>
      </c>
      <c r="C149" s="283" t="s">
        <v>546</v>
      </c>
      <c r="D149" s="284"/>
      <c r="E149" s="196"/>
      <c r="F149" s="117"/>
      <c r="G149" s="118"/>
      <c r="H149" s="109" t="e">
        <f>VLOOKUP(I149,'공시사항점검표 목차(2023)'!$K$11:$L$73,2,FALSE)</f>
        <v>#N/A</v>
      </c>
      <c r="I149" s="112" t="s">
        <v>1120</v>
      </c>
    </row>
    <row r="150" spans="1:9" ht="17.45" customHeight="1">
      <c r="A150" s="147"/>
      <c r="B150" s="84" t="s">
        <v>494</v>
      </c>
      <c r="C150" s="283" t="s">
        <v>547</v>
      </c>
      <c r="D150" s="284"/>
      <c r="E150" s="196"/>
      <c r="F150" s="117"/>
      <c r="G150" s="118"/>
      <c r="H150" s="109" t="e">
        <f>VLOOKUP(I150,'공시사항점검표 목차(2023)'!$K$11:$L$73,2,FALSE)</f>
        <v>#N/A</v>
      </c>
      <c r="I150" s="112" t="s">
        <v>1120</v>
      </c>
    </row>
    <row r="151" spans="1:9" ht="47.45" customHeight="1">
      <c r="A151" s="147"/>
      <c r="B151" s="145" t="s">
        <v>1071</v>
      </c>
      <c r="C151" s="283" t="s">
        <v>548</v>
      </c>
      <c r="D151" s="284"/>
      <c r="E151" s="196"/>
      <c r="F151" s="117"/>
      <c r="G151" s="118"/>
      <c r="H151" s="109" t="e">
        <f>VLOOKUP(I151,'공시사항점검표 목차(2023)'!$K$11:$L$73,2,FALSE)</f>
        <v>#N/A</v>
      </c>
      <c r="I151" s="112" t="s">
        <v>1120</v>
      </c>
    </row>
    <row r="152" spans="1:9" ht="36" customHeight="1">
      <c r="A152" s="147"/>
      <c r="B152" s="145" t="s">
        <v>1072</v>
      </c>
      <c r="C152" s="283" t="s">
        <v>549</v>
      </c>
      <c r="D152" s="284"/>
      <c r="E152" s="196"/>
      <c r="F152" s="117"/>
      <c r="G152" s="118"/>
      <c r="H152" s="109" t="e">
        <f>VLOOKUP(I152,'공시사항점검표 목차(2023)'!$K$11:$L$73,2,FALSE)</f>
        <v>#N/A</v>
      </c>
      <c r="I152" s="112" t="s">
        <v>1120</v>
      </c>
    </row>
    <row r="153" spans="1:9" ht="17.45" customHeight="1">
      <c r="A153" s="148"/>
      <c r="B153" s="123" t="s">
        <v>504</v>
      </c>
      <c r="C153" s="286" t="s">
        <v>550</v>
      </c>
      <c r="D153" s="287"/>
      <c r="E153" s="197"/>
      <c r="F153" s="126"/>
      <c r="G153" s="127"/>
      <c r="H153" s="109" t="e">
        <f>VLOOKUP(I153,'공시사항점검표 목차(2023)'!$K$11:$L$73,2,FALSE)</f>
        <v>#N/A</v>
      </c>
      <c r="I153" s="112" t="s">
        <v>1120</v>
      </c>
    </row>
    <row r="154" spans="1:9" ht="26.45" customHeight="1">
      <c r="A154" s="111" t="s">
        <v>551</v>
      </c>
      <c r="H154" s="109" t="e">
        <f>VLOOKUP(I154,'공시사항점검표 목차(2023)'!$K$11:$L$73,2,FALSE)</f>
        <v>#N/A</v>
      </c>
      <c r="I154" s="112" t="s">
        <v>1121</v>
      </c>
    </row>
    <row r="155" spans="1:9" ht="26.45" customHeight="1">
      <c r="A155" s="269" t="s">
        <v>360</v>
      </c>
      <c r="B155" s="270"/>
      <c r="C155" s="270"/>
      <c r="D155" s="271"/>
      <c r="E155" s="114" t="s">
        <v>157</v>
      </c>
      <c r="F155" s="102" t="s">
        <v>301</v>
      </c>
      <c r="G155" s="114" t="s">
        <v>0</v>
      </c>
      <c r="H155" s="109" t="e">
        <f>VLOOKUP(I155,'공시사항점검표 목차(2023)'!$K$11:$L$73,2,FALSE)</f>
        <v>#N/A</v>
      </c>
      <c r="I155" s="112" t="s">
        <v>1121</v>
      </c>
    </row>
    <row r="156" spans="1:9" ht="28.5">
      <c r="A156" s="279" t="s">
        <v>201</v>
      </c>
      <c r="B156" s="280"/>
      <c r="C156" s="280"/>
      <c r="D156" s="281"/>
      <c r="E156" s="196" t="s">
        <v>133</v>
      </c>
      <c r="F156" s="117"/>
      <c r="G156" s="118"/>
      <c r="H156" s="109" t="e">
        <f>VLOOKUP(I156,'공시사항점검표 목차(2023)'!$K$11:$L$73,2,FALSE)</f>
        <v>#N/A</v>
      </c>
      <c r="I156" s="112" t="s">
        <v>1121</v>
      </c>
    </row>
    <row r="157" spans="1:9" ht="17.45" customHeight="1">
      <c r="A157" s="147"/>
      <c r="B157" s="84" t="s">
        <v>480</v>
      </c>
      <c r="C157" s="283" t="s">
        <v>561</v>
      </c>
      <c r="D157" s="284"/>
      <c r="E157" s="196"/>
      <c r="F157" s="117"/>
      <c r="G157" s="118"/>
      <c r="H157" s="109" t="e">
        <f>VLOOKUP(I157,'공시사항점검표 목차(2023)'!$K$11:$L$73,2,FALSE)</f>
        <v>#N/A</v>
      </c>
      <c r="I157" s="112" t="s">
        <v>1121</v>
      </c>
    </row>
    <row r="158" spans="1:9" ht="17.45" customHeight="1">
      <c r="A158" s="147"/>
      <c r="B158" s="84" t="s">
        <v>482</v>
      </c>
      <c r="C158" s="283" t="s">
        <v>560</v>
      </c>
      <c r="D158" s="284"/>
      <c r="E158" s="196"/>
      <c r="F158" s="117"/>
      <c r="G158" s="118"/>
      <c r="H158" s="109" t="e">
        <f>VLOOKUP(I158,'공시사항점검표 목차(2023)'!$K$11:$L$73,2,FALSE)</f>
        <v>#N/A</v>
      </c>
      <c r="I158" s="112" t="s">
        <v>1121</v>
      </c>
    </row>
    <row r="159" spans="1:9">
      <c r="A159" s="147"/>
      <c r="B159" s="84" t="s">
        <v>494</v>
      </c>
      <c r="C159" s="283" t="s">
        <v>559</v>
      </c>
      <c r="D159" s="284"/>
      <c r="E159" s="196"/>
      <c r="F159" s="117"/>
      <c r="G159" s="118"/>
      <c r="H159" s="109" t="e">
        <f>VLOOKUP(I159,'공시사항점검표 목차(2023)'!$K$11:$L$73,2,FALSE)</f>
        <v>#N/A</v>
      </c>
      <c r="I159" s="112" t="s">
        <v>1121</v>
      </c>
    </row>
    <row r="160" spans="1:9" ht="17.45" customHeight="1">
      <c r="A160" s="147"/>
      <c r="B160" s="84" t="s">
        <v>496</v>
      </c>
      <c r="C160" s="283" t="s">
        <v>558</v>
      </c>
      <c r="D160" s="284"/>
      <c r="E160" s="196"/>
      <c r="F160" s="117"/>
      <c r="G160" s="118"/>
      <c r="H160" s="109" t="e">
        <f>VLOOKUP(I160,'공시사항점검표 목차(2023)'!$K$11:$L$73,2,FALSE)</f>
        <v>#N/A</v>
      </c>
      <c r="I160" s="112" t="s">
        <v>1121</v>
      </c>
    </row>
    <row r="161" spans="1:9" ht="17.45" customHeight="1">
      <c r="A161" s="147"/>
      <c r="B161" s="84" t="s">
        <v>498</v>
      </c>
      <c r="C161" s="283" t="s">
        <v>557</v>
      </c>
      <c r="D161" s="284"/>
      <c r="E161" s="196"/>
      <c r="F161" s="117"/>
      <c r="G161" s="118"/>
      <c r="H161" s="109" t="e">
        <f>VLOOKUP(I161,'공시사항점검표 목차(2023)'!$K$11:$L$73,2,FALSE)</f>
        <v>#N/A</v>
      </c>
      <c r="I161" s="112" t="s">
        <v>1121</v>
      </c>
    </row>
    <row r="162" spans="1:9" ht="17.45" customHeight="1">
      <c r="A162" s="147"/>
      <c r="B162" s="84" t="s">
        <v>504</v>
      </c>
      <c r="C162" s="283" t="s">
        <v>556</v>
      </c>
      <c r="D162" s="284"/>
      <c r="E162" s="196"/>
      <c r="F162" s="117"/>
      <c r="G162" s="118"/>
      <c r="H162" s="109" t="e">
        <f>VLOOKUP(I162,'공시사항점검표 목차(2023)'!$K$11:$L$73,2,FALSE)</f>
        <v>#N/A</v>
      </c>
      <c r="I162" s="112" t="s">
        <v>1121</v>
      </c>
    </row>
    <row r="163" spans="1:9" ht="17.45" customHeight="1">
      <c r="A163" s="147"/>
      <c r="B163" s="84" t="s">
        <v>532</v>
      </c>
      <c r="C163" s="283" t="s">
        <v>555</v>
      </c>
      <c r="D163" s="284"/>
      <c r="E163" s="196"/>
      <c r="F163" s="117"/>
      <c r="G163" s="118"/>
      <c r="H163" s="109" t="e">
        <f>VLOOKUP(I163,'공시사항점검표 목차(2023)'!$K$11:$L$73,2,FALSE)</f>
        <v>#N/A</v>
      </c>
      <c r="I163" s="112" t="s">
        <v>1121</v>
      </c>
    </row>
    <row r="164" spans="1:9" ht="35.450000000000003" customHeight="1">
      <c r="A164" s="147"/>
      <c r="B164" s="145" t="s">
        <v>1073</v>
      </c>
      <c r="C164" s="283" t="s">
        <v>554</v>
      </c>
      <c r="D164" s="284"/>
      <c r="E164" s="196"/>
      <c r="F164" s="132"/>
      <c r="G164" s="118"/>
      <c r="H164" s="109" t="e">
        <f>VLOOKUP(I164,'공시사항점검표 목차(2023)'!$K$11:$L$73,2,FALSE)</f>
        <v>#N/A</v>
      </c>
      <c r="I164" s="112" t="s">
        <v>1121</v>
      </c>
    </row>
    <row r="165" spans="1:9" ht="34.9" customHeight="1">
      <c r="A165" s="147"/>
      <c r="B165" s="145" t="s">
        <v>553</v>
      </c>
      <c r="C165" s="283" t="s">
        <v>552</v>
      </c>
      <c r="D165" s="284"/>
      <c r="E165" s="146"/>
      <c r="F165" s="117"/>
      <c r="G165" s="118"/>
      <c r="H165" s="109" t="e">
        <f>VLOOKUP(I165,'공시사항점검표 목차(2023)'!$K$11:$L$73,2,FALSE)</f>
        <v>#N/A</v>
      </c>
      <c r="I165" s="112" t="s">
        <v>1121</v>
      </c>
    </row>
    <row r="166" spans="1:9" ht="28.5">
      <c r="A166" s="282" t="s">
        <v>202</v>
      </c>
      <c r="B166" s="283"/>
      <c r="C166" s="283"/>
      <c r="D166" s="284"/>
      <c r="E166" s="196" t="s">
        <v>196</v>
      </c>
      <c r="F166" s="117"/>
      <c r="G166" s="118"/>
      <c r="H166" s="109" t="e">
        <f>VLOOKUP(I166,'공시사항점검표 목차(2023)'!$K$11:$L$73,2,FALSE)</f>
        <v>#N/A</v>
      </c>
      <c r="I166" s="112" t="s">
        <v>1121</v>
      </c>
    </row>
    <row r="167" spans="1:9" ht="17.45" customHeight="1">
      <c r="A167" s="147"/>
      <c r="B167" s="84" t="s">
        <v>480</v>
      </c>
      <c r="C167" s="283" t="s">
        <v>539</v>
      </c>
      <c r="D167" s="284"/>
      <c r="E167" s="196"/>
      <c r="F167" s="117"/>
      <c r="G167" s="118"/>
      <c r="H167" s="109" t="e">
        <f>VLOOKUP(I167,'공시사항점검표 목차(2023)'!$K$11:$L$73,2,FALSE)</f>
        <v>#N/A</v>
      </c>
      <c r="I167" s="112" t="s">
        <v>1121</v>
      </c>
    </row>
    <row r="168" spans="1:9" ht="32.450000000000003" customHeight="1">
      <c r="A168" s="147"/>
      <c r="B168" s="145" t="s">
        <v>1074</v>
      </c>
      <c r="C168" s="283" t="s">
        <v>562</v>
      </c>
      <c r="D168" s="284"/>
      <c r="E168" s="196"/>
      <c r="F168" s="117"/>
      <c r="G168" s="118"/>
      <c r="H168" s="109" t="e">
        <f>VLOOKUP(I168,'공시사항점검표 목차(2023)'!$K$11:$L$73,2,FALSE)</f>
        <v>#N/A</v>
      </c>
      <c r="I168" s="112" t="s">
        <v>1121</v>
      </c>
    </row>
    <row r="169" spans="1:9" ht="17.45" customHeight="1">
      <c r="A169" s="147"/>
      <c r="B169" s="84" t="s">
        <v>494</v>
      </c>
      <c r="C169" s="283" t="s">
        <v>563</v>
      </c>
      <c r="D169" s="284"/>
      <c r="E169" s="196"/>
      <c r="F169" s="117"/>
      <c r="G169" s="118"/>
      <c r="H169" s="109" t="e">
        <f>VLOOKUP(I169,'공시사항점검표 목차(2023)'!$K$11:$L$73,2,FALSE)</f>
        <v>#N/A</v>
      </c>
      <c r="I169" s="112" t="s">
        <v>1121</v>
      </c>
    </row>
    <row r="170" spans="1:9" ht="28.5">
      <c r="A170" s="285" t="s">
        <v>203</v>
      </c>
      <c r="B170" s="286"/>
      <c r="C170" s="286"/>
      <c r="D170" s="287"/>
      <c r="E170" s="197" t="s">
        <v>204</v>
      </c>
      <c r="F170" s="126"/>
      <c r="G170" s="127"/>
      <c r="H170" s="109" t="e">
        <f>VLOOKUP(I170,'공시사항점검표 목차(2023)'!$K$11:$L$73,2,FALSE)</f>
        <v>#N/A</v>
      </c>
      <c r="I170" s="112" t="s">
        <v>1121</v>
      </c>
    </row>
    <row r="171" spans="1:9" ht="26.45" customHeight="1">
      <c r="A171" s="111" t="s">
        <v>564</v>
      </c>
      <c r="H171" s="109" t="e">
        <f>VLOOKUP(I171,'공시사항점검표 목차(2023)'!$K$11:$L$73,2,FALSE)</f>
        <v>#N/A</v>
      </c>
      <c r="I171" s="112" t="s">
        <v>1122</v>
      </c>
    </row>
    <row r="172" spans="1:9" ht="26.45" customHeight="1">
      <c r="A172" s="269" t="s">
        <v>360</v>
      </c>
      <c r="B172" s="270"/>
      <c r="C172" s="270"/>
      <c r="D172" s="271"/>
      <c r="E172" s="114" t="s">
        <v>157</v>
      </c>
      <c r="F172" s="102" t="s">
        <v>301</v>
      </c>
      <c r="G172" s="114" t="s">
        <v>0</v>
      </c>
      <c r="H172" s="109" t="e">
        <f>VLOOKUP(I172,'공시사항점검표 목차(2023)'!$K$11:$L$73,2,FALSE)</f>
        <v>#N/A</v>
      </c>
      <c r="I172" s="112" t="s">
        <v>1122</v>
      </c>
    </row>
    <row r="173" spans="1:9" ht="40.5">
      <c r="A173" s="294" t="s">
        <v>253</v>
      </c>
      <c r="B173" s="280"/>
      <c r="C173" s="280"/>
      <c r="D173" s="281"/>
      <c r="E173" s="155" t="s">
        <v>252</v>
      </c>
      <c r="F173" s="117"/>
      <c r="G173" s="118"/>
      <c r="H173" s="109" t="e">
        <f>VLOOKUP(I173,'공시사항점검표 목차(2023)'!$K$11:$L$73,2,FALSE)</f>
        <v>#N/A</v>
      </c>
      <c r="I173" s="112" t="s">
        <v>1122</v>
      </c>
    </row>
    <row r="174" spans="1:9" ht="28.5">
      <c r="A174" s="295" t="s">
        <v>285</v>
      </c>
      <c r="B174" s="283"/>
      <c r="C174" s="283"/>
      <c r="D174" s="284"/>
      <c r="E174" s="196" t="s">
        <v>205</v>
      </c>
      <c r="F174" s="156"/>
      <c r="G174" s="157"/>
      <c r="H174" s="109" t="e">
        <f>VLOOKUP(I174,'공시사항점검표 목차(2023)'!$K$11:$L$73,2,FALSE)</f>
        <v>#N/A</v>
      </c>
      <c r="I174" s="112" t="s">
        <v>1122</v>
      </c>
    </row>
    <row r="175" spans="1:9" ht="17.45" customHeight="1">
      <c r="A175" s="158"/>
      <c r="B175" s="84" t="s">
        <v>480</v>
      </c>
      <c r="C175" s="283" t="s">
        <v>565</v>
      </c>
      <c r="D175" s="284"/>
      <c r="E175" s="196"/>
      <c r="F175" s="156"/>
      <c r="G175" s="157"/>
      <c r="H175" s="109" t="e">
        <f>VLOOKUP(I175,'공시사항점검표 목차(2023)'!$K$11:$L$73,2,FALSE)</f>
        <v>#N/A</v>
      </c>
      <c r="I175" s="112" t="s">
        <v>1122</v>
      </c>
    </row>
    <row r="176" spans="1:9" ht="34.9" customHeight="1">
      <c r="A176" s="158"/>
      <c r="B176" s="84" t="s">
        <v>482</v>
      </c>
      <c r="C176" s="283" t="s">
        <v>566</v>
      </c>
      <c r="D176" s="284"/>
      <c r="E176" s="196"/>
      <c r="F176" s="156"/>
      <c r="G176" s="157"/>
      <c r="H176" s="109" t="e">
        <f>VLOOKUP(I176,'공시사항점검표 목차(2023)'!$K$11:$L$73,2,FALSE)</f>
        <v>#N/A</v>
      </c>
      <c r="I176" s="112" t="s">
        <v>1122</v>
      </c>
    </row>
    <row r="177" spans="1:9" ht="34.15" customHeight="1">
      <c r="A177" s="295" t="s">
        <v>286</v>
      </c>
      <c r="B177" s="283"/>
      <c r="C177" s="283"/>
      <c r="D177" s="284"/>
      <c r="E177" s="196" t="s">
        <v>206</v>
      </c>
      <c r="F177" s="117"/>
      <c r="G177" s="118"/>
      <c r="H177" s="109" t="e">
        <f>VLOOKUP(I177,'공시사항점검표 목차(2023)'!$K$11:$L$73,2,FALSE)</f>
        <v>#N/A</v>
      </c>
      <c r="I177" s="112" t="s">
        <v>1122</v>
      </c>
    </row>
    <row r="178" spans="1:9" ht="28.5">
      <c r="A178" s="295" t="s">
        <v>287</v>
      </c>
      <c r="B178" s="283"/>
      <c r="C178" s="283"/>
      <c r="D178" s="284"/>
      <c r="E178" s="196" t="s">
        <v>207</v>
      </c>
      <c r="F178" s="117"/>
      <c r="G178" s="118"/>
      <c r="H178" s="109" t="e">
        <f>VLOOKUP(I178,'공시사항점검표 목차(2023)'!$K$11:$L$73,2,FALSE)</f>
        <v>#N/A</v>
      </c>
      <c r="I178" s="112" t="s">
        <v>1122</v>
      </c>
    </row>
    <row r="179" spans="1:9" ht="17.45" customHeight="1">
      <c r="A179" s="158"/>
      <c r="B179" s="84" t="s">
        <v>480</v>
      </c>
      <c r="C179" s="283" t="s">
        <v>567</v>
      </c>
      <c r="D179" s="284"/>
      <c r="E179" s="196"/>
      <c r="F179" s="117"/>
      <c r="G179" s="118"/>
      <c r="H179" s="109" t="e">
        <f>VLOOKUP(I179,'공시사항점검표 목차(2023)'!$K$11:$L$73,2,FALSE)</f>
        <v>#N/A</v>
      </c>
      <c r="I179" s="112" t="s">
        <v>1122</v>
      </c>
    </row>
    <row r="180" spans="1:9" ht="17.45" customHeight="1">
      <c r="A180" s="158"/>
      <c r="B180" s="84" t="s">
        <v>482</v>
      </c>
      <c r="C180" s="283" t="s">
        <v>568</v>
      </c>
      <c r="D180" s="284"/>
      <c r="E180" s="196"/>
      <c r="F180" s="117"/>
      <c r="G180" s="118"/>
      <c r="H180" s="109" t="e">
        <f>VLOOKUP(I180,'공시사항점검표 목차(2023)'!$K$11:$L$73,2,FALSE)</f>
        <v>#N/A</v>
      </c>
      <c r="I180" s="112" t="s">
        <v>1122</v>
      </c>
    </row>
    <row r="181" spans="1:9" ht="17.45" customHeight="1">
      <c r="A181" s="158"/>
      <c r="B181" s="84" t="s">
        <v>494</v>
      </c>
      <c r="C181" s="283" t="s">
        <v>569</v>
      </c>
      <c r="D181" s="284"/>
      <c r="E181" s="196"/>
      <c r="F181" s="117"/>
      <c r="G181" s="118"/>
      <c r="H181" s="109" t="e">
        <f>VLOOKUP(I181,'공시사항점검표 목차(2023)'!$K$11:$L$73,2,FALSE)</f>
        <v>#N/A</v>
      </c>
      <c r="I181" s="112" t="s">
        <v>1122</v>
      </c>
    </row>
    <row r="182" spans="1:9" ht="28.5">
      <c r="A182" s="295" t="s">
        <v>254</v>
      </c>
      <c r="B182" s="283"/>
      <c r="C182" s="283"/>
      <c r="D182" s="284"/>
      <c r="E182" s="196" t="s">
        <v>244</v>
      </c>
      <c r="F182" s="117"/>
      <c r="G182" s="118"/>
      <c r="H182" s="109" t="e">
        <f>VLOOKUP(I182,'공시사항점검표 목차(2023)'!$K$11:$L$73,2,FALSE)</f>
        <v>#N/A</v>
      </c>
      <c r="I182" s="112" t="s">
        <v>1122</v>
      </c>
    </row>
    <row r="183" spans="1:9" ht="17.45" customHeight="1">
      <c r="A183" s="158"/>
      <c r="B183" s="84" t="s">
        <v>480</v>
      </c>
      <c r="C183" s="283" t="s">
        <v>570</v>
      </c>
      <c r="D183" s="284"/>
      <c r="E183" s="196"/>
      <c r="F183" s="117"/>
      <c r="G183" s="118"/>
      <c r="H183" s="109" t="e">
        <f>VLOOKUP(I183,'공시사항점검표 목차(2023)'!$K$11:$L$73,2,FALSE)</f>
        <v>#N/A</v>
      </c>
      <c r="I183" s="112" t="s">
        <v>1122</v>
      </c>
    </row>
    <row r="184" spans="1:9" ht="17.45" customHeight="1">
      <c r="A184" s="158"/>
      <c r="B184" s="84" t="s">
        <v>482</v>
      </c>
      <c r="C184" s="283" t="s">
        <v>571</v>
      </c>
      <c r="D184" s="284"/>
      <c r="E184" s="196"/>
      <c r="F184" s="117"/>
      <c r="G184" s="118"/>
      <c r="H184" s="109" t="e">
        <f>VLOOKUP(I184,'공시사항점검표 목차(2023)'!$K$11:$L$73,2,FALSE)</f>
        <v>#N/A</v>
      </c>
      <c r="I184" s="112" t="s">
        <v>1122</v>
      </c>
    </row>
    <row r="185" spans="1:9" ht="28.5">
      <c r="A185" s="295" t="s">
        <v>288</v>
      </c>
      <c r="B185" s="283"/>
      <c r="C185" s="283"/>
      <c r="D185" s="284"/>
      <c r="E185" s="196" t="s">
        <v>57</v>
      </c>
      <c r="F185" s="117"/>
      <c r="G185" s="118"/>
      <c r="H185" s="109" t="e">
        <f>VLOOKUP(I185,'공시사항점검표 목차(2023)'!$K$11:$L$73,2,FALSE)</f>
        <v>#N/A</v>
      </c>
      <c r="I185" s="112" t="s">
        <v>1122</v>
      </c>
    </row>
    <row r="186" spans="1:9" ht="28.5">
      <c r="A186" s="296" t="s">
        <v>289</v>
      </c>
      <c r="B186" s="286"/>
      <c r="C186" s="286"/>
      <c r="D186" s="287"/>
      <c r="E186" s="197" t="s">
        <v>208</v>
      </c>
      <c r="F186" s="126"/>
      <c r="G186" s="127"/>
      <c r="H186" s="109" t="e">
        <f>VLOOKUP(I186,'공시사항점검표 목차(2023)'!$K$11:$L$73,2,FALSE)</f>
        <v>#N/A</v>
      </c>
      <c r="I186" s="112" t="s">
        <v>1122</v>
      </c>
    </row>
    <row r="187" spans="1:9" ht="26.45" customHeight="1">
      <c r="A187" s="111" t="s">
        <v>572</v>
      </c>
      <c r="H187" s="109" t="e">
        <f>VLOOKUP(I187,'공시사항점검표 목차(2023)'!$K$11:$L$73,2,FALSE)</f>
        <v>#N/A</v>
      </c>
      <c r="I187" s="112" t="s">
        <v>1123</v>
      </c>
    </row>
    <row r="188" spans="1:9" ht="26.45" customHeight="1">
      <c r="A188" s="111" t="s">
        <v>573</v>
      </c>
      <c r="H188" s="109" t="e">
        <f>VLOOKUP(I188,'공시사항점검표 목차(2023)'!$K$11:$L$73,2,FALSE)</f>
        <v>#N/A</v>
      </c>
      <c r="I188" s="112" t="s">
        <v>1124</v>
      </c>
    </row>
    <row r="189" spans="1:9" ht="26.45" customHeight="1">
      <c r="A189" s="269" t="s">
        <v>360</v>
      </c>
      <c r="B189" s="270"/>
      <c r="C189" s="270"/>
      <c r="D189" s="271"/>
      <c r="E189" s="114" t="s">
        <v>157</v>
      </c>
      <c r="F189" s="102" t="s">
        <v>301</v>
      </c>
      <c r="G189" s="114" t="s">
        <v>0</v>
      </c>
      <c r="H189" s="109" t="e">
        <f>VLOOKUP(I189,'공시사항점검표 목차(2023)'!$K$11:$L$73,2,FALSE)</f>
        <v>#N/A</v>
      </c>
      <c r="I189" s="112" t="s">
        <v>1124</v>
      </c>
    </row>
    <row r="190" spans="1:9" ht="17.45" customHeight="1">
      <c r="A190" s="294" t="s">
        <v>209</v>
      </c>
      <c r="B190" s="280"/>
      <c r="C190" s="280"/>
      <c r="D190" s="281"/>
      <c r="E190" s="196"/>
      <c r="F190" s="117"/>
      <c r="G190" s="118"/>
      <c r="H190" s="109" t="e">
        <f>VLOOKUP(I190,'공시사항점검표 목차(2023)'!$K$11:$L$73,2,FALSE)</f>
        <v>#N/A</v>
      </c>
      <c r="I190" s="112" t="s">
        <v>1124</v>
      </c>
    </row>
    <row r="191" spans="1:9" ht="17.45" customHeight="1">
      <c r="A191" s="295" t="s">
        <v>210</v>
      </c>
      <c r="B191" s="283"/>
      <c r="C191" s="283"/>
      <c r="D191" s="284"/>
      <c r="E191" s="196"/>
      <c r="F191" s="117"/>
      <c r="G191" s="118"/>
      <c r="H191" s="109" t="e">
        <f>VLOOKUP(I191,'공시사항점검표 목차(2023)'!$K$11:$L$73,2,FALSE)</f>
        <v>#N/A</v>
      </c>
      <c r="I191" s="112" t="s">
        <v>1124</v>
      </c>
    </row>
    <row r="192" spans="1:9" ht="28.5">
      <c r="A192" s="295" t="s">
        <v>577</v>
      </c>
      <c r="B192" s="283"/>
      <c r="C192" s="283"/>
      <c r="D192" s="284"/>
      <c r="E192" s="196" t="s">
        <v>239</v>
      </c>
      <c r="F192" s="117"/>
      <c r="G192" s="118"/>
      <c r="H192" s="109" t="e">
        <f>VLOOKUP(I192,'공시사항점검표 목차(2023)'!$K$11:$L$73,2,FALSE)</f>
        <v>#N/A</v>
      </c>
      <c r="I192" s="112" t="s">
        <v>1124</v>
      </c>
    </row>
    <row r="193" spans="1:9" ht="17.45" customHeight="1">
      <c r="A193" s="296" t="s">
        <v>255</v>
      </c>
      <c r="B193" s="286"/>
      <c r="C193" s="286"/>
      <c r="D193" s="287"/>
      <c r="E193" s="197"/>
      <c r="F193" s="159"/>
      <c r="G193" s="127"/>
      <c r="H193" s="109" t="e">
        <f>VLOOKUP(I193,'공시사항점검표 목차(2023)'!$K$11:$L$73,2,FALSE)</f>
        <v>#N/A</v>
      </c>
      <c r="I193" s="112" t="s">
        <v>1124</v>
      </c>
    </row>
    <row r="194" spans="1:9" ht="17.45" customHeight="1">
      <c r="A194" s="192"/>
      <c r="B194" s="192"/>
      <c r="C194" s="192"/>
      <c r="D194" s="192"/>
      <c r="E194" s="90"/>
      <c r="F194" s="85"/>
      <c r="G194" s="85"/>
      <c r="H194" s="109"/>
      <c r="I194" s="112"/>
    </row>
    <row r="195" spans="1:9" ht="26.45" customHeight="1">
      <c r="A195" s="111" t="s">
        <v>574</v>
      </c>
      <c r="H195" s="109" t="e">
        <f>VLOOKUP(I195,'공시사항점검표 목차(2023)'!$K$11:$L$73,2,FALSE)</f>
        <v>#N/A</v>
      </c>
      <c r="I195" s="112" t="s">
        <v>1125</v>
      </c>
    </row>
    <row r="196" spans="1:9" ht="26.45" hidden="1" customHeight="1">
      <c r="A196" s="139" t="s">
        <v>360</v>
      </c>
      <c r="B196" s="160"/>
      <c r="C196" s="160"/>
      <c r="D196" s="161"/>
      <c r="E196" s="114" t="s">
        <v>157</v>
      </c>
      <c r="F196" s="102" t="s">
        <v>301</v>
      </c>
      <c r="G196" s="114" t="s">
        <v>0</v>
      </c>
      <c r="H196" s="109" t="e">
        <f>VLOOKUP(I196,'공시사항점검표 목차(2023)'!$K$11:$L$73,2,FALSE)</f>
        <v>#N/A</v>
      </c>
      <c r="I196" s="112" t="s">
        <v>1125</v>
      </c>
    </row>
    <row r="197" spans="1:9" ht="28.5">
      <c r="A197" s="279" t="s">
        <v>290</v>
      </c>
      <c r="B197" s="280"/>
      <c r="C197" s="280"/>
      <c r="D197" s="281"/>
      <c r="E197" s="196" t="s">
        <v>211</v>
      </c>
      <c r="F197" s="117"/>
      <c r="G197" s="118"/>
      <c r="H197" s="109" t="e">
        <f>VLOOKUP(I197,'공시사항점검표 목차(2023)'!$K$11:$L$73,2,FALSE)</f>
        <v>#N/A</v>
      </c>
      <c r="I197" s="112" t="s">
        <v>1125</v>
      </c>
    </row>
    <row r="198" spans="1:9" ht="47.45" customHeight="1">
      <c r="A198" s="120"/>
      <c r="B198" s="145" t="s">
        <v>480</v>
      </c>
      <c r="C198" s="283" t="s">
        <v>578</v>
      </c>
      <c r="D198" s="284"/>
      <c r="E198" s="196"/>
      <c r="F198" s="117"/>
      <c r="G198" s="118"/>
      <c r="H198" s="109" t="e">
        <f>VLOOKUP(I198,'공시사항점검표 목차(2023)'!$K$11:$L$73,2,FALSE)</f>
        <v>#N/A</v>
      </c>
      <c r="I198" s="112" t="s">
        <v>1125</v>
      </c>
    </row>
    <row r="199" spans="1:9" ht="36" customHeight="1">
      <c r="A199" s="120"/>
      <c r="B199" s="145" t="s">
        <v>482</v>
      </c>
      <c r="C199" s="283" t="s">
        <v>579</v>
      </c>
      <c r="D199" s="284"/>
      <c r="E199" s="196"/>
      <c r="F199" s="117"/>
      <c r="G199" s="118"/>
      <c r="H199" s="109" t="e">
        <f>VLOOKUP(I199,'공시사항점검표 목차(2023)'!$K$11:$L$73,2,FALSE)</f>
        <v>#N/A</v>
      </c>
      <c r="I199" s="112" t="s">
        <v>1125</v>
      </c>
    </row>
    <row r="200" spans="1:9" ht="20.45" customHeight="1">
      <c r="A200" s="122"/>
      <c r="B200" s="123" t="s">
        <v>494</v>
      </c>
      <c r="C200" s="286" t="s">
        <v>580</v>
      </c>
      <c r="D200" s="287"/>
      <c r="E200" s="197"/>
      <c r="F200" s="126"/>
      <c r="G200" s="127"/>
      <c r="H200" s="109" t="e">
        <f>VLOOKUP(I200,'공시사항점검표 목차(2023)'!$K$11:$L$73,2,FALSE)</f>
        <v>#N/A</v>
      </c>
      <c r="I200" s="112" t="s">
        <v>1125</v>
      </c>
    </row>
    <row r="201" spans="1:9" ht="26.45" customHeight="1">
      <c r="A201" s="111" t="s">
        <v>575</v>
      </c>
      <c r="H201" s="109" t="e">
        <f>VLOOKUP(I201,'공시사항점검표 목차(2023)'!$K$11:$L$73,2,FALSE)</f>
        <v>#N/A</v>
      </c>
      <c r="I201" s="112" t="s">
        <v>1126</v>
      </c>
    </row>
    <row r="202" spans="1:9" ht="26.45" customHeight="1">
      <c r="A202" s="269" t="s">
        <v>360</v>
      </c>
      <c r="B202" s="270"/>
      <c r="C202" s="270"/>
      <c r="D202" s="271"/>
      <c r="E202" s="114" t="s">
        <v>157</v>
      </c>
      <c r="F202" s="102" t="s">
        <v>301</v>
      </c>
      <c r="G202" s="114" t="s">
        <v>0</v>
      </c>
      <c r="H202" s="109" t="e">
        <f>VLOOKUP(I202,'공시사항점검표 목차(2023)'!$K$11:$L$73,2,FALSE)</f>
        <v>#N/A</v>
      </c>
      <c r="I202" s="112" t="s">
        <v>1126</v>
      </c>
    </row>
    <row r="203" spans="1:9" ht="34.15" customHeight="1">
      <c r="A203" s="279" t="s">
        <v>212</v>
      </c>
      <c r="B203" s="280"/>
      <c r="C203" s="280"/>
      <c r="D203" s="281"/>
      <c r="E203" s="196" t="s">
        <v>161</v>
      </c>
      <c r="F203" s="117"/>
      <c r="G203" s="118"/>
      <c r="H203" s="109" t="e">
        <f>VLOOKUP(I203,'공시사항점검표 목차(2023)'!$K$11:$L$73,2,FALSE)</f>
        <v>#N/A</v>
      </c>
      <c r="I203" s="112" t="s">
        <v>1126</v>
      </c>
    </row>
    <row r="204" spans="1:9" ht="28.5">
      <c r="A204" s="285" t="s">
        <v>240</v>
      </c>
      <c r="B204" s="286"/>
      <c r="C204" s="286"/>
      <c r="D204" s="287"/>
      <c r="E204" s="197" t="s">
        <v>161</v>
      </c>
      <c r="F204" s="126"/>
      <c r="G204" s="127"/>
      <c r="H204" s="109" t="e">
        <f>VLOOKUP(I204,'공시사항점검표 목차(2023)'!$K$11:$L$73,2,FALSE)</f>
        <v>#N/A</v>
      </c>
      <c r="I204" s="112" t="s">
        <v>1126</v>
      </c>
    </row>
    <row r="205" spans="1:9" ht="26.45" customHeight="1">
      <c r="A205" s="111" t="s">
        <v>576</v>
      </c>
      <c r="H205" s="109" t="e">
        <f>VLOOKUP(I205,'공시사항점검표 목차(2023)'!$K$11:$L$73,2,FALSE)</f>
        <v>#N/A</v>
      </c>
      <c r="I205" s="112" t="s">
        <v>1127</v>
      </c>
    </row>
    <row r="206" spans="1:9" ht="26.45" customHeight="1">
      <c r="A206" s="269" t="s">
        <v>360</v>
      </c>
      <c r="B206" s="270"/>
      <c r="C206" s="270"/>
      <c r="D206" s="271"/>
      <c r="E206" s="114" t="s">
        <v>157</v>
      </c>
      <c r="F206" s="102" t="s">
        <v>301</v>
      </c>
      <c r="G206" s="114" t="s">
        <v>0</v>
      </c>
      <c r="H206" s="109" t="e">
        <f>VLOOKUP(I206,'공시사항점검표 목차(2023)'!$K$11:$L$73,2,FALSE)</f>
        <v>#N/A</v>
      </c>
      <c r="I206" s="112" t="s">
        <v>1127</v>
      </c>
    </row>
    <row r="207" spans="1:9" ht="28.5">
      <c r="A207" s="279" t="s">
        <v>256</v>
      </c>
      <c r="B207" s="280"/>
      <c r="C207" s="280"/>
      <c r="D207" s="281"/>
      <c r="E207" s="196" t="s">
        <v>213</v>
      </c>
      <c r="F207" s="117"/>
      <c r="G207" s="118"/>
      <c r="H207" s="109" t="e">
        <f>VLOOKUP(I207,'공시사항점검표 목차(2023)'!$K$11:$L$73,2,FALSE)</f>
        <v>#N/A</v>
      </c>
      <c r="I207" s="112" t="s">
        <v>1127</v>
      </c>
    </row>
    <row r="208" spans="1:9" ht="17.45" customHeight="1">
      <c r="A208" s="147"/>
      <c r="B208" s="84" t="s">
        <v>480</v>
      </c>
      <c r="C208" s="283" t="s">
        <v>581</v>
      </c>
      <c r="D208" s="284"/>
      <c r="E208" s="196"/>
      <c r="F208" s="117"/>
      <c r="G208" s="118"/>
      <c r="H208" s="109" t="e">
        <f>VLOOKUP(I208,'공시사항점검표 목차(2023)'!$K$11:$L$73,2,FALSE)</f>
        <v>#N/A</v>
      </c>
      <c r="I208" s="112" t="s">
        <v>1127</v>
      </c>
    </row>
    <row r="209" spans="1:9" ht="34.9" customHeight="1">
      <c r="A209" s="147"/>
      <c r="B209" s="145" t="s">
        <v>482</v>
      </c>
      <c r="C209" s="283" t="s">
        <v>582</v>
      </c>
      <c r="D209" s="284"/>
      <c r="E209" s="196"/>
      <c r="F209" s="117"/>
      <c r="G209" s="118"/>
      <c r="H209" s="109" t="e">
        <f>VLOOKUP(I209,'공시사항점검표 목차(2023)'!$K$11:$L$73,2,FALSE)</f>
        <v>#N/A</v>
      </c>
      <c r="I209" s="112" t="s">
        <v>1127</v>
      </c>
    </row>
    <row r="210" spans="1:9" ht="17.45" customHeight="1">
      <c r="A210" s="147"/>
      <c r="B210" s="84" t="s">
        <v>494</v>
      </c>
      <c r="C210" s="283" t="s">
        <v>583</v>
      </c>
      <c r="D210" s="284"/>
      <c r="E210" s="196"/>
      <c r="F210" s="117"/>
      <c r="G210" s="118"/>
      <c r="H210" s="109" t="e">
        <f>VLOOKUP(I210,'공시사항점검표 목차(2023)'!$K$11:$L$73,2,FALSE)</f>
        <v>#N/A</v>
      </c>
      <c r="I210" s="112" t="s">
        <v>1127</v>
      </c>
    </row>
    <row r="211" spans="1:9" ht="17.45" customHeight="1">
      <c r="A211" s="147"/>
      <c r="B211" s="84" t="s">
        <v>496</v>
      </c>
      <c r="C211" s="283" t="s">
        <v>584</v>
      </c>
      <c r="D211" s="284"/>
      <c r="E211" s="196"/>
      <c r="F211" s="117"/>
      <c r="G211" s="118"/>
      <c r="H211" s="109" t="e">
        <f>VLOOKUP(I211,'공시사항점검표 목차(2023)'!$K$11:$L$73,2,FALSE)</f>
        <v>#N/A</v>
      </c>
      <c r="I211" s="112" t="s">
        <v>1127</v>
      </c>
    </row>
    <row r="212" spans="1:9" ht="17.45" customHeight="1">
      <c r="A212" s="147"/>
      <c r="B212" s="84" t="s">
        <v>498</v>
      </c>
      <c r="C212" s="283" t="s">
        <v>585</v>
      </c>
      <c r="D212" s="284"/>
      <c r="E212" s="196"/>
      <c r="F212" s="117"/>
      <c r="G212" s="118"/>
      <c r="H212" s="109" t="e">
        <f>VLOOKUP(I212,'공시사항점검표 목차(2023)'!$K$11:$L$73,2,FALSE)</f>
        <v>#N/A</v>
      </c>
      <c r="I212" s="112" t="s">
        <v>1127</v>
      </c>
    </row>
    <row r="213" spans="1:9" ht="17.45" customHeight="1">
      <c r="A213" s="147"/>
      <c r="B213" s="84" t="s">
        <v>504</v>
      </c>
      <c r="C213" s="283" t="s">
        <v>586</v>
      </c>
      <c r="D213" s="284"/>
      <c r="E213" s="196"/>
      <c r="F213" s="117"/>
      <c r="G213" s="118"/>
      <c r="H213" s="109" t="e">
        <f>VLOOKUP(I213,'공시사항점검표 목차(2023)'!$K$11:$L$73,2,FALSE)</f>
        <v>#N/A</v>
      </c>
      <c r="I213" s="112" t="s">
        <v>1127</v>
      </c>
    </row>
    <row r="214" spans="1:9" ht="28.5">
      <c r="A214" s="282" t="s">
        <v>257</v>
      </c>
      <c r="B214" s="283"/>
      <c r="C214" s="283"/>
      <c r="D214" s="284"/>
      <c r="E214" s="196" t="s">
        <v>214</v>
      </c>
      <c r="F214" s="117"/>
      <c r="G214" s="118"/>
      <c r="H214" s="109" t="e">
        <f>VLOOKUP(I214,'공시사항점검표 목차(2023)'!$K$11:$L$73,2,FALSE)</f>
        <v>#N/A</v>
      </c>
      <c r="I214" s="112" t="s">
        <v>1127</v>
      </c>
    </row>
    <row r="215" spans="1:9" ht="52.15" customHeight="1">
      <c r="A215" s="282" t="s">
        <v>258</v>
      </c>
      <c r="B215" s="283"/>
      <c r="C215" s="283"/>
      <c r="D215" s="284"/>
      <c r="E215" s="196" t="s">
        <v>215</v>
      </c>
      <c r="F215" s="117"/>
      <c r="G215" s="118"/>
      <c r="H215" s="109" t="e">
        <f>VLOOKUP(I215,'공시사항점검표 목차(2023)'!$K$11:$L$73,2,FALSE)</f>
        <v>#N/A</v>
      </c>
      <c r="I215" s="112" t="s">
        <v>1127</v>
      </c>
    </row>
    <row r="216" spans="1:9" ht="35.450000000000003" customHeight="1">
      <c r="A216" s="285" t="s">
        <v>259</v>
      </c>
      <c r="B216" s="286"/>
      <c r="C216" s="286"/>
      <c r="D216" s="287"/>
      <c r="E216" s="197" t="s">
        <v>216</v>
      </c>
      <c r="F216" s="126"/>
      <c r="G216" s="127"/>
      <c r="H216" s="109" t="e">
        <f>VLOOKUP(I216,'공시사항점검표 목차(2023)'!$K$11:$L$73,2,FALSE)</f>
        <v>#N/A</v>
      </c>
      <c r="I216" s="112" t="s">
        <v>1127</v>
      </c>
    </row>
    <row r="217" spans="1:9" ht="26.45" customHeight="1">
      <c r="A217" s="111" t="s">
        <v>587</v>
      </c>
      <c r="H217" s="109" t="e">
        <f>VLOOKUP(I217,'공시사항점검표 목차(2023)'!$K$11:$L$73,2,FALSE)</f>
        <v>#N/A</v>
      </c>
      <c r="I217" s="112" t="s">
        <v>1128</v>
      </c>
    </row>
    <row r="218" spans="1:9" ht="26.45" customHeight="1">
      <c r="A218" s="269" t="s">
        <v>360</v>
      </c>
      <c r="B218" s="270"/>
      <c r="C218" s="270"/>
      <c r="D218" s="271"/>
      <c r="E218" s="114" t="s">
        <v>157</v>
      </c>
      <c r="F218" s="102" t="s">
        <v>301</v>
      </c>
      <c r="G218" s="114" t="s">
        <v>0</v>
      </c>
      <c r="H218" s="109" t="e">
        <f>VLOOKUP(I218,'공시사항점검표 목차(2023)'!$K$11:$L$73,2,FALSE)</f>
        <v>#N/A</v>
      </c>
      <c r="I218" s="112" t="s">
        <v>1128</v>
      </c>
    </row>
    <row r="219" spans="1:9" ht="35.450000000000003" customHeight="1">
      <c r="A219" s="279" t="s">
        <v>217</v>
      </c>
      <c r="B219" s="280"/>
      <c r="C219" s="280"/>
      <c r="D219" s="281"/>
      <c r="E219" s="196" t="s">
        <v>218</v>
      </c>
      <c r="F219" s="117"/>
      <c r="G219" s="118"/>
      <c r="H219" s="109" t="e">
        <f>VLOOKUP(I219,'공시사항점검표 목차(2023)'!$K$11:$L$73,2,FALSE)</f>
        <v>#N/A</v>
      </c>
      <c r="I219" s="112" t="s">
        <v>1128</v>
      </c>
    </row>
    <row r="220" spans="1:9" ht="57.6" customHeight="1">
      <c r="A220" s="282" t="s">
        <v>310</v>
      </c>
      <c r="B220" s="283"/>
      <c r="C220" s="283"/>
      <c r="D220" s="284"/>
      <c r="E220" s="196" t="s">
        <v>219</v>
      </c>
      <c r="F220" s="132"/>
      <c r="G220" s="118"/>
      <c r="H220" s="109" t="e">
        <f>VLOOKUP(I220,'공시사항점검표 목차(2023)'!$K$11:$L$73,2,FALSE)</f>
        <v>#N/A</v>
      </c>
      <c r="I220" s="112" t="s">
        <v>1128</v>
      </c>
    </row>
    <row r="221" spans="1:9" ht="46.5" customHeight="1">
      <c r="A221" s="282" t="s">
        <v>220</v>
      </c>
      <c r="B221" s="283"/>
      <c r="C221" s="283"/>
      <c r="D221" s="284"/>
      <c r="E221" s="196" t="s">
        <v>221</v>
      </c>
      <c r="F221" s="117"/>
      <c r="G221" s="118"/>
      <c r="H221" s="109" t="e">
        <f>VLOOKUP(I221,'공시사항점검표 목차(2023)'!$K$11:$L$73,2,FALSE)</f>
        <v>#N/A</v>
      </c>
      <c r="I221" s="112" t="s">
        <v>1128</v>
      </c>
    </row>
    <row r="222" spans="1:9" ht="17.45" customHeight="1">
      <c r="A222" s="147"/>
      <c r="B222" s="84" t="s">
        <v>480</v>
      </c>
      <c r="C222" s="283" t="s">
        <v>588</v>
      </c>
      <c r="D222" s="284"/>
      <c r="E222" s="196"/>
      <c r="F222" s="117"/>
      <c r="G222" s="118"/>
      <c r="H222" s="109" t="e">
        <f>VLOOKUP(I222,'공시사항점검표 목차(2023)'!$K$11:$L$73,2,FALSE)</f>
        <v>#N/A</v>
      </c>
      <c r="I222" s="112" t="s">
        <v>1128</v>
      </c>
    </row>
    <row r="223" spans="1:9" ht="17.45" customHeight="1">
      <c r="A223" s="147"/>
      <c r="B223" s="84" t="s">
        <v>482</v>
      </c>
      <c r="C223" s="283" t="s">
        <v>589</v>
      </c>
      <c r="D223" s="284"/>
      <c r="E223" s="196"/>
      <c r="F223" s="117"/>
      <c r="G223" s="118"/>
      <c r="H223" s="109" t="e">
        <f>VLOOKUP(I223,'공시사항점검표 목차(2023)'!$K$11:$L$73,2,FALSE)</f>
        <v>#N/A</v>
      </c>
      <c r="I223" s="112" t="s">
        <v>1128</v>
      </c>
    </row>
    <row r="224" spans="1:9" ht="17.45" customHeight="1">
      <c r="A224" s="147"/>
      <c r="B224" s="84" t="s">
        <v>494</v>
      </c>
      <c r="C224" s="283" t="s">
        <v>590</v>
      </c>
      <c r="D224" s="284"/>
      <c r="E224" s="146"/>
      <c r="F224" s="117"/>
      <c r="G224" s="118"/>
      <c r="H224" s="109" t="e">
        <f>VLOOKUP(I224,'공시사항점검표 목차(2023)'!$K$11:$L$73,2,FALSE)</f>
        <v>#N/A</v>
      </c>
      <c r="I224" s="112" t="s">
        <v>1128</v>
      </c>
    </row>
    <row r="225" spans="1:9" ht="28.5">
      <c r="A225" s="282" t="s">
        <v>260</v>
      </c>
      <c r="B225" s="283"/>
      <c r="C225" s="283"/>
      <c r="D225" s="284"/>
      <c r="E225" s="196" t="s">
        <v>228</v>
      </c>
      <c r="F225" s="117"/>
      <c r="G225" s="118"/>
      <c r="H225" s="109" t="e">
        <f>VLOOKUP(I225,'공시사항점검표 목차(2023)'!$K$11:$L$73,2,FALSE)</f>
        <v>#N/A</v>
      </c>
      <c r="I225" s="112" t="s">
        <v>1128</v>
      </c>
    </row>
    <row r="226" spans="1:9" ht="17.45" customHeight="1">
      <c r="A226" s="147"/>
      <c r="B226" s="145" t="s">
        <v>480</v>
      </c>
      <c r="C226" s="283" t="s">
        <v>591</v>
      </c>
      <c r="D226" s="284"/>
      <c r="E226" s="196"/>
      <c r="F226" s="117"/>
      <c r="G226" s="118"/>
      <c r="H226" s="109" t="e">
        <f>VLOOKUP(I226,'공시사항점검표 목차(2023)'!$K$11:$L$73,2,FALSE)</f>
        <v>#N/A</v>
      </c>
      <c r="I226" s="112" t="s">
        <v>1128</v>
      </c>
    </row>
    <row r="227" spans="1:9" ht="35.450000000000003" customHeight="1">
      <c r="A227" s="147"/>
      <c r="B227" s="145" t="s">
        <v>482</v>
      </c>
      <c r="C227" s="283" t="s">
        <v>592</v>
      </c>
      <c r="D227" s="284"/>
      <c r="E227" s="196"/>
      <c r="F227" s="117"/>
      <c r="G227" s="118"/>
      <c r="H227" s="109" t="e">
        <f>VLOOKUP(I227,'공시사항점검표 목차(2023)'!$K$11:$L$73,2,FALSE)</f>
        <v>#N/A</v>
      </c>
      <c r="I227" s="112" t="s">
        <v>1128</v>
      </c>
    </row>
    <row r="228" spans="1:9" ht="31.15" customHeight="1">
      <c r="A228" s="147"/>
      <c r="B228" s="145" t="s">
        <v>494</v>
      </c>
      <c r="C228" s="283" t="s">
        <v>593</v>
      </c>
      <c r="D228" s="284"/>
      <c r="E228" s="146"/>
      <c r="F228" s="117"/>
      <c r="G228" s="118"/>
      <c r="H228" s="109" t="e">
        <f>VLOOKUP(I228,'공시사항점검표 목차(2023)'!$K$11:$L$73,2,FALSE)</f>
        <v>#N/A</v>
      </c>
      <c r="I228" s="112" t="s">
        <v>1128</v>
      </c>
    </row>
    <row r="229" spans="1:9" ht="31.15" customHeight="1">
      <c r="A229" s="147"/>
      <c r="B229" s="145" t="s">
        <v>496</v>
      </c>
      <c r="C229" s="283" t="s">
        <v>594</v>
      </c>
      <c r="D229" s="284"/>
      <c r="E229" s="146"/>
      <c r="F229" s="117"/>
      <c r="G229" s="118"/>
      <c r="H229" s="109" t="e">
        <f>VLOOKUP(I229,'공시사항점검표 목차(2023)'!$K$11:$L$73,2,FALSE)</f>
        <v>#N/A</v>
      </c>
      <c r="I229" s="112" t="s">
        <v>1128</v>
      </c>
    </row>
    <row r="230" spans="1:9" ht="17.45" customHeight="1">
      <c r="A230" s="282" t="s">
        <v>291</v>
      </c>
      <c r="B230" s="283"/>
      <c r="C230" s="283"/>
      <c r="D230" s="284"/>
      <c r="E230" s="196"/>
      <c r="F230" s="117"/>
      <c r="G230" s="118"/>
      <c r="H230" s="109" t="e">
        <f>VLOOKUP(I230,'공시사항점검표 목차(2023)'!$K$11:$L$73,2,FALSE)</f>
        <v>#N/A</v>
      </c>
      <c r="I230" s="112" t="s">
        <v>1128</v>
      </c>
    </row>
    <row r="231" spans="1:9" ht="32.450000000000003" customHeight="1">
      <c r="A231" s="147"/>
      <c r="B231" s="145" t="s">
        <v>480</v>
      </c>
      <c r="C231" s="283" t="s">
        <v>595</v>
      </c>
      <c r="D231" s="284"/>
      <c r="E231" s="196" t="s">
        <v>229</v>
      </c>
      <c r="F231" s="117"/>
      <c r="G231" s="118"/>
      <c r="H231" s="109" t="e">
        <f>VLOOKUP(I231,'공시사항점검표 목차(2023)'!$K$11:$L$73,2,FALSE)</f>
        <v>#N/A</v>
      </c>
      <c r="I231" s="112" t="s">
        <v>1128</v>
      </c>
    </row>
    <row r="232" spans="1:9" ht="19.899999999999999" customHeight="1">
      <c r="A232" s="147"/>
      <c r="B232" s="162"/>
      <c r="C232" s="83" t="s">
        <v>452</v>
      </c>
      <c r="D232" s="193" t="s">
        <v>596</v>
      </c>
      <c r="E232" s="196"/>
      <c r="F232" s="132"/>
      <c r="G232" s="118"/>
      <c r="H232" s="109" t="e">
        <f>VLOOKUP(I232,'공시사항점검표 목차(2023)'!$K$11:$L$73,2,FALSE)</f>
        <v>#N/A</v>
      </c>
      <c r="I232" s="112" t="s">
        <v>1128</v>
      </c>
    </row>
    <row r="233" spans="1:9" ht="42.75">
      <c r="A233" s="147"/>
      <c r="B233" s="162"/>
      <c r="C233" s="131" t="s">
        <v>454</v>
      </c>
      <c r="D233" s="193" t="s">
        <v>597</v>
      </c>
      <c r="E233" s="196"/>
      <c r="F233" s="117"/>
      <c r="G233" s="118"/>
      <c r="H233" s="109" t="e">
        <f>VLOOKUP(I233,'공시사항점검표 목차(2023)'!$K$11:$L$73,2,FALSE)</f>
        <v>#N/A</v>
      </c>
      <c r="I233" s="112" t="s">
        <v>1128</v>
      </c>
    </row>
    <row r="234" spans="1:9" ht="42.75">
      <c r="A234" s="147"/>
      <c r="B234" s="162"/>
      <c r="C234" s="131" t="s">
        <v>455</v>
      </c>
      <c r="D234" s="193" t="s">
        <v>1168</v>
      </c>
      <c r="E234" s="196"/>
      <c r="F234" s="117"/>
      <c r="G234" s="118"/>
      <c r="H234" s="109" t="e">
        <f>VLOOKUP(I234,'공시사항점검표 목차(2023)'!$K$11:$L$73,2,FALSE)</f>
        <v>#N/A</v>
      </c>
      <c r="I234" s="112" t="s">
        <v>1128</v>
      </c>
    </row>
    <row r="235" spans="1:9" ht="37.15" customHeight="1">
      <c r="A235" s="147"/>
      <c r="B235" s="145" t="s">
        <v>482</v>
      </c>
      <c r="C235" s="283" t="s">
        <v>598</v>
      </c>
      <c r="D235" s="284"/>
      <c r="E235" s="196"/>
      <c r="F235" s="117"/>
      <c r="G235" s="118"/>
      <c r="H235" s="109" t="e">
        <f>VLOOKUP(I235,'공시사항점검표 목차(2023)'!$K$11:$L$73,2,FALSE)</f>
        <v>#N/A</v>
      </c>
      <c r="I235" s="112" t="s">
        <v>1128</v>
      </c>
    </row>
    <row r="236" spans="1:9" ht="28.5">
      <c r="A236" s="147"/>
      <c r="B236" s="162"/>
      <c r="C236" s="131" t="s">
        <v>717</v>
      </c>
      <c r="D236" s="193" t="s">
        <v>599</v>
      </c>
      <c r="E236" s="196"/>
      <c r="F236" s="117"/>
      <c r="G236" s="118"/>
      <c r="H236" s="109" t="e">
        <f>VLOOKUP(I236,'공시사항점검표 목차(2023)'!$K$11:$L$73,2,FALSE)</f>
        <v>#N/A</v>
      </c>
      <c r="I236" s="112" t="s">
        <v>1128</v>
      </c>
    </row>
    <row r="237" spans="1:9" ht="42.75">
      <c r="A237" s="147"/>
      <c r="B237" s="162"/>
      <c r="C237" s="131" t="s">
        <v>824</v>
      </c>
      <c r="D237" s="193" t="s">
        <v>600</v>
      </c>
      <c r="E237" s="196"/>
      <c r="F237" s="117"/>
      <c r="G237" s="118"/>
      <c r="H237" s="109" t="e">
        <f>VLOOKUP(I237,'공시사항점검표 목차(2023)'!$K$11:$L$73,2,FALSE)</f>
        <v>#N/A</v>
      </c>
      <c r="I237" s="112" t="s">
        <v>1128</v>
      </c>
    </row>
    <row r="238" spans="1:9" ht="36.6" customHeight="1">
      <c r="A238" s="147"/>
      <c r="B238" s="145" t="s">
        <v>494</v>
      </c>
      <c r="C238" s="283" t="s">
        <v>601</v>
      </c>
      <c r="D238" s="284"/>
      <c r="E238" s="196"/>
      <c r="F238" s="117"/>
      <c r="G238" s="118"/>
      <c r="H238" s="109" t="e">
        <f>VLOOKUP(I238,'공시사항점검표 목차(2023)'!$K$11:$L$73,2,FALSE)</f>
        <v>#N/A</v>
      </c>
      <c r="I238" s="112" t="s">
        <v>1128</v>
      </c>
    </row>
    <row r="239" spans="1:9" ht="28.5">
      <c r="A239" s="147"/>
      <c r="B239" s="162"/>
      <c r="C239" s="131" t="s">
        <v>1075</v>
      </c>
      <c r="D239" s="193" t="s">
        <v>604</v>
      </c>
      <c r="E239" s="196"/>
      <c r="F239" s="117"/>
      <c r="G239" s="118"/>
      <c r="H239" s="109" t="e">
        <f>VLOOKUP(I239,'공시사항점검표 목차(2023)'!$K$11:$L$73,2,FALSE)</f>
        <v>#N/A</v>
      </c>
      <c r="I239" s="112" t="s">
        <v>1128</v>
      </c>
    </row>
    <row r="240" spans="1:9" ht="28.5">
      <c r="A240" s="147"/>
      <c r="B240" s="162"/>
      <c r="C240" s="131" t="s">
        <v>1076</v>
      </c>
      <c r="D240" s="193" t="s">
        <v>605</v>
      </c>
      <c r="E240" s="196"/>
      <c r="F240" s="117"/>
      <c r="G240" s="118"/>
      <c r="H240" s="109" t="e">
        <f>VLOOKUP(I240,'공시사항점검표 목차(2023)'!$K$11:$L$73,2,FALSE)</f>
        <v>#N/A</v>
      </c>
      <c r="I240" s="112" t="s">
        <v>1128</v>
      </c>
    </row>
    <row r="241" spans="1:9" ht="66.599999999999994" customHeight="1">
      <c r="A241" s="147"/>
      <c r="B241" s="162"/>
      <c r="C241" s="131" t="s">
        <v>1077</v>
      </c>
      <c r="D241" s="193" t="s">
        <v>606</v>
      </c>
      <c r="E241" s="196"/>
      <c r="F241" s="117"/>
      <c r="G241" s="118"/>
      <c r="H241" s="109" t="e">
        <f>VLOOKUP(I241,'공시사항점검표 목차(2023)'!$K$11:$L$73,2,FALSE)</f>
        <v>#N/A</v>
      </c>
      <c r="I241" s="112" t="s">
        <v>1128</v>
      </c>
    </row>
    <row r="242" spans="1:9" ht="67.150000000000006" customHeight="1">
      <c r="A242" s="147"/>
      <c r="B242" s="162"/>
      <c r="C242" s="131" t="s">
        <v>1078</v>
      </c>
      <c r="D242" s="193" t="s">
        <v>602</v>
      </c>
      <c r="E242" s="196"/>
      <c r="F242" s="117"/>
      <c r="G242" s="118"/>
      <c r="H242" s="109" t="e">
        <f>VLOOKUP(I242,'공시사항점검표 목차(2023)'!$K$11:$L$73,2,FALSE)</f>
        <v>#N/A</v>
      </c>
      <c r="I242" s="112" t="s">
        <v>1128</v>
      </c>
    </row>
    <row r="243" spans="1:9" ht="17.45" customHeight="1">
      <c r="A243" s="147"/>
      <c r="B243" s="162" t="s">
        <v>460</v>
      </c>
      <c r="C243" s="283" t="s">
        <v>608</v>
      </c>
      <c r="D243" s="284"/>
      <c r="E243" s="196"/>
      <c r="F243" s="117"/>
      <c r="G243" s="118"/>
      <c r="H243" s="109" t="e">
        <f>VLOOKUP(I243,'공시사항점검표 목차(2023)'!$K$11:$L$73,2,FALSE)</f>
        <v>#N/A</v>
      </c>
      <c r="I243" s="112" t="s">
        <v>1128</v>
      </c>
    </row>
    <row r="244" spans="1:9" ht="51.6" customHeight="1">
      <c r="A244" s="147"/>
      <c r="B244" s="162" t="s">
        <v>610</v>
      </c>
      <c r="C244" s="283" t="s">
        <v>609</v>
      </c>
      <c r="D244" s="284"/>
      <c r="E244" s="196"/>
      <c r="F244" s="117"/>
      <c r="G244" s="118"/>
      <c r="H244" s="109" t="e">
        <f>VLOOKUP(I244,'공시사항점검표 목차(2023)'!$K$11:$L$73,2,FALSE)</f>
        <v>#N/A</v>
      </c>
      <c r="I244" s="112" t="s">
        <v>1128</v>
      </c>
    </row>
    <row r="245" spans="1:9" ht="17.45" customHeight="1">
      <c r="A245" s="147"/>
      <c r="B245" s="162" t="s">
        <v>612</v>
      </c>
      <c r="C245" s="283" t="s">
        <v>611</v>
      </c>
      <c r="D245" s="284"/>
      <c r="E245" s="196"/>
      <c r="F245" s="117"/>
      <c r="G245" s="118"/>
      <c r="H245" s="109" t="e">
        <f>VLOOKUP(I245,'공시사항점검표 목차(2023)'!$K$11:$L$73,2,FALSE)</f>
        <v>#N/A</v>
      </c>
      <c r="I245" s="112" t="s">
        <v>1128</v>
      </c>
    </row>
    <row r="246" spans="1:9" ht="42.75">
      <c r="A246" s="147"/>
      <c r="B246" s="162"/>
      <c r="C246" s="131" t="s">
        <v>717</v>
      </c>
      <c r="D246" s="193" t="s">
        <v>607</v>
      </c>
      <c r="E246" s="196"/>
      <c r="F246" s="117"/>
      <c r="G246" s="118"/>
      <c r="H246" s="109" t="e">
        <f>VLOOKUP(I246,'공시사항점검표 목차(2023)'!$K$11:$L$73,2,FALSE)</f>
        <v>#N/A</v>
      </c>
      <c r="I246" s="112" t="s">
        <v>1128</v>
      </c>
    </row>
    <row r="247" spans="1:9" ht="34.9" customHeight="1">
      <c r="A247" s="147"/>
      <c r="B247" s="162" t="s">
        <v>614</v>
      </c>
      <c r="C247" s="283" t="s">
        <v>613</v>
      </c>
      <c r="D247" s="284"/>
      <c r="E247" s="196"/>
      <c r="F247" s="117"/>
      <c r="G247" s="118"/>
      <c r="H247" s="109" t="e">
        <f>VLOOKUP(I247,'공시사항점검표 목차(2023)'!$K$11:$L$73,2,FALSE)</f>
        <v>#N/A</v>
      </c>
      <c r="I247" s="112" t="s">
        <v>1128</v>
      </c>
    </row>
    <row r="248" spans="1:9" ht="17.45" customHeight="1">
      <c r="A248" s="282" t="s">
        <v>292</v>
      </c>
      <c r="B248" s="283"/>
      <c r="C248" s="283"/>
      <c r="D248" s="284"/>
      <c r="E248" s="196"/>
      <c r="F248" s="117"/>
      <c r="G248" s="118"/>
      <c r="H248" s="109" t="e">
        <f>VLOOKUP(I248,'공시사항점검표 목차(2023)'!$K$11:$L$73,2,FALSE)</f>
        <v>#N/A</v>
      </c>
      <c r="I248" s="112" t="s">
        <v>1128</v>
      </c>
    </row>
    <row r="249" spans="1:9" ht="28.5">
      <c r="A249" s="147"/>
      <c r="B249" s="84" t="s">
        <v>480</v>
      </c>
      <c r="C249" s="283" t="s">
        <v>615</v>
      </c>
      <c r="D249" s="284"/>
      <c r="E249" s="196" t="s">
        <v>54</v>
      </c>
      <c r="F249" s="117"/>
      <c r="G249" s="118"/>
      <c r="H249" s="109" t="e">
        <f>VLOOKUP(I249,'공시사항점검표 목차(2023)'!$K$11:$L$73,2,FALSE)</f>
        <v>#N/A</v>
      </c>
      <c r="I249" s="112" t="s">
        <v>1128</v>
      </c>
    </row>
    <row r="250" spans="1:9" ht="17.45" customHeight="1">
      <c r="A250" s="147"/>
      <c r="B250" s="84" t="s">
        <v>482</v>
      </c>
      <c r="C250" s="283" t="s">
        <v>616</v>
      </c>
      <c r="D250" s="284"/>
      <c r="E250" s="196"/>
      <c r="F250" s="117"/>
      <c r="G250" s="118"/>
      <c r="H250" s="109" t="e">
        <f>VLOOKUP(I250,'공시사항점검표 목차(2023)'!$K$11:$L$73,2,FALSE)</f>
        <v>#N/A</v>
      </c>
      <c r="I250" s="112" t="s">
        <v>1128</v>
      </c>
    </row>
    <row r="251" spans="1:9" ht="17.45" customHeight="1">
      <c r="A251" s="148"/>
      <c r="B251" s="123" t="s">
        <v>494</v>
      </c>
      <c r="C251" s="286" t="s">
        <v>617</v>
      </c>
      <c r="D251" s="287"/>
      <c r="E251" s="197"/>
      <c r="F251" s="126"/>
      <c r="G251" s="127"/>
      <c r="H251" s="109" t="e">
        <f>VLOOKUP(I251,'공시사항점검표 목차(2023)'!$K$11:$L$73,2,FALSE)</f>
        <v>#N/A</v>
      </c>
      <c r="I251" s="112" t="s">
        <v>1128</v>
      </c>
    </row>
    <row r="252" spans="1:9" ht="26.45" customHeight="1">
      <c r="A252" s="111" t="s">
        <v>618</v>
      </c>
      <c r="H252" s="109" t="e">
        <f>VLOOKUP(I252,'공시사항점검표 목차(2023)'!$K$11:$L$73,2,FALSE)</f>
        <v>#N/A</v>
      </c>
      <c r="I252" s="112" t="s">
        <v>1129</v>
      </c>
    </row>
    <row r="253" spans="1:9" ht="26.45" customHeight="1">
      <c r="A253" s="269" t="s">
        <v>360</v>
      </c>
      <c r="B253" s="270"/>
      <c r="C253" s="270"/>
      <c r="D253" s="271"/>
      <c r="E253" s="114" t="s">
        <v>157</v>
      </c>
      <c r="F253" s="102" t="s">
        <v>301</v>
      </c>
      <c r="G253" s="114" t="s">
        <v>0</v>
      </c>
      <c r="H253" s="109" t="e">
        <f>VLOOKUP(I253,'공시사항점검표 목차(2023)'!$K$11:$L$73,2,FALSE)</f>
        <v>#N/A</v>
      </c>
      <c r="I253" s="112" t="s">
        <v>1129</v>
      </c>
    </row>
    <row r="254" spans="1:9" ht="17.45" customHeight="1">
      <c r="A254" s="279" t="s">
        <v>222</v>
      </c>
      <c r="B254" s="280"/>
      <c r="C254" s="280"/>
      <c r="D254" s="281"/>
      <c r="E254" s="196"/>
      <c r="F254" s="117"/>
      <c r="G254" s="118"/>
      <c r="H254" s="109" t="e">
        <f>VLOOKUP(I254,'공시사항점검표 목차(2023)'!$K$11:$L$73,2,FALSE)</f>
        <v>#N/A</v>
      </c>
      <c r="I254" s="112" t="s">
        <v>1129</v>
      </c>
    </row>
    <row r="255" spans="1:9" ht="28.5">
      <c r="A255" s="147"/>
      <c r="B255" s="84" t="s">
        <v>480</v>
      </c>
      <c r="C255" s="283" t="s">
        <v>621</v>
      </c>
      <c r="D255" s="284"/>
      <c r="E255" s="196" t="s">
        <v>223</v>
      </c>
      <c r="F255" s="117"/>
      <c r="G255" s="118"/>
      <c r="H255" s="109" t="e">
        <f>VLOOKUP(I255,'공시사항점검표 목차(2023)'!$K$11:$L$73,2,FALSE)</f>
        <v>#N/A</v>
      </c>
      <c r="I255" s="112" t="s">
        <v>1129</v>
      </c>
    </row>
    <row r="256" spans="1:9">
      <c r="A256" s="147"/>
      <c r="B256" s="163"/>
      <c r="C256" s="83" t="s">
        <v>452</v>
      </c>
      <c r="D256" s="193" t="s">
        <v>622</v>
      </c>
      <c r="E256" s="196"/>
      <c r="F256" s="117"/>
      <c r="G256" s="118"/>
      <c r="H256" s="109" t="e">
        <f>VLOOKUP(I256,'공시사항점검표 목차(2023)'!$K$11:$L$73,2,FALSE)</f>
        <v>#N/A</v>
      </c>
      <c r="I256" s="112" t="s">
        <v>1129</v>
      </c>
    </row>
    <row r="257" spans="1:9">
      <c r="A257" s="147"/>
      <c r="B257" s="163"/>
      <c r="C257" s="83" t="s">
        <v>454</v>
      </c>
      <c r="D257" s="193" t="s">
        <v>623</v>
      </c>
      <c r="E257" s="196"/>
      <c r="F257" s="117"/>
      <c r="G257" s="118"/>
      <c r="H257" s="109" t="e">
        <f>VLOOKUP(I257,'공시사항점검표 목차(2023)'!$K$11:$L$73,2,FALSE)</f>
        <v>#N/A</v>
      </c>
      <c r="I257" s="112" t="s">
        <v>1129</v>
      </c>
    </row>
    <row r="258" spans="1:9" ht="51.6" customHeight="1">
      <c r="A258" s="147"/>
      <c r="B258" s="163"/>
      <c r="C258" s="131" t="s">
        <v>455</v>
      </c>
      <c r="D258" s="193" t="s">
        <v>624</v>
      </c>
      <c r="E258" s="196"/>
      <c r="F258" s="117"/>
      <c r="G258" s="118"/>
      <c r="H258" s="109" t="e">
        <f>VLOOKUP(I258,'공시사항점검표 목차(2023)'!$K$11:$L$73,2,FALSE)</f>
        <v>#N/A</v>
      </c>
      <c r="I258" s="112" t="s">
        <v>1129</v>
      </c>
    </row>
    <row r="259" spans="1:9" ht="33" customHeight="1">
      <c r="A259" s="147"/>
      <c r="B259" s="163"/>
      <c r="C259" s="164" t="s">
        <v>603</v>
      </c>
      <c r="D259" s="193" t="s">
        <v>625</v>
      </c>
      <c r="E259" s="196"/>
      <c r="F259" s="117"/>
      <c r="G259" s="118"/>
      <c r="H259" s="109" t="e">
        <f>VLOOKUP(I259,'공시사항점검표 목차(2023)'!$K$11:$L$73,2,FALSE)</f>
        <v>#N/A</v>
      </c>
      <c r="I259" s="112" t="s">
        <v>1129</v>
      </c>
    </row>
    <row r="260" spans="1:9" ht="18" customHeight="1">
      <c r="A260" s="147"/>
      <c r="B260" s="163"/>
      <c r="C260" s="108" t="s">
        <v>627</v>
      </c>
      <c r="D260" s="193" t="s">
        <v>626</v>
      </c>
      <c r="E260" s="196"/>
      <c r="F260" s="117"/>
      <c r="G260" s="118"/>
      <c r="H260" s="109" t="e">
        <f>VLOOKUP(I260,'공시사항점검표 목차(2023)'!$K$11:$L$73,2,FALSE)</f>
        <v>#N/A</v>
      </c>
      <c r="I260" s="112" t="s">
        <v>1129</v>
      </c>
    </row>
    <row r="261" spans="1:9" ht="17.45" customHeight="1">
      <c r="A261" s="282" t="s">
        <v>224</v>
      </c>
      <c r="B261" s="283"/>
      <c r="C261" s="283"/>
      <c r="D261" s="284"/>
      <c r="E261" s="196"/>
      <c r="F261" s="117"/>
      <c r="G261" s="118"/>
      <c r="H261" s="109" t="e">
        <f>VLOOKUP(I261,'공시사항점검표 목차(2023)'!$K$11:$L$73,2,FALSE)</f>
        <v>#N/A</v>
      </c>
      <c r="I261" s="112" t="s">
        <v>1129</v>
      </c>
    </row>
    <row r="262" spans="1:9" ht="28.5">
      <c r="A262" s="147"/>
      <c r="B262" s="145" t="s">
        <v>480</v>
      </c>
      <c r="C262" s="283" t="s">
        <v>633</v>
      </c>
      <c r="D262" s="284"/>
      <c r="E262" s="196" t="s">
        <v>225</v>
      </c>
      <c r="F262" s="117"/>
      <c r="G262" s="118"/>
      <c r="H262" s="109" t="e">
        <f>VLOOKUP(I262,'공시사항점검표 목차(2023)'!$K$11:$L$73,2,FALSE)</f>
        <v>#N/A</v>
      </c>
      <c r="I262" s="112" t="s">
        <v>1129</v>
      </c>
    </row>
    <row r="263" spans="1:9">
      <c r="A263" s="147"/>
      <c r="B263" s="162"/>
      <c r="C263" s="83" t="s">
        <v>452</v>
      </c>
      <c r="D263" s="193" t="s">
        <v>628</v>
      </c>
      <c r="E263" s="196"/>
      <c r="F263" s="117"/>
      <c r="G263" s="118"/>
      <c r="H263" s="109" t="e">
        <f>VLOOKUP(I263,'공시사항점검표 목차(2023)'!$K$11:$L$73,2,FALSE)</f>
        <v>#N/A</v>
      </c>
      <c r="I263" s="112" t="s">
        <v>1129</v>
      </c>
    </row>
    <row r="264" spans="1:9">
      <c r="A264" s="147"/>
      <c r="B264" s="162"/>
      <c r="C264" s="83" t="s">
        <v>454</v>
      </c>
      <c r="D264" s="193" t="s">
        <v>629</v>
      </c>
      <c r="E264" s="146"/>
      <c r="F264" s="117"/>
      <c r="G264" s="118"/>
      <c r="H264" s="109" t="e">
        <f>VLOOKUP(I264,'공시사항점검표 목차(2023)'!$K$11:$L$73,2,FALSE)</f>
        <v>#N/A</v>
      </c>
      <c r="I264" s="112" t="s">
        <v>1129</v>
      </c>
    </row>
    <row r="265" spans="1:9">
      <c r="A265" s="147"/>
      <c r="B265" s="162"/>
      <c r="C265" s="83" t="s">
        <v>455</v>
      </c>
      <c r="D265" s="193" t="s">
        <v>630</v>
      </c>
      <c r="E265" s="196"/>
      <c r="F265" s="117"/>
      <c r="G265" s="118"/>
      <c r="H265" s="109" t="e">
        <f>VLOOKUP(I265,'공시사항점검표 목차(2023)'!$K$11:$L$73,2,FALSE)</f>
        <v>#N/A</v>
      </c>
      <c r="I265" s="112" t="s">
        <v>1129</v>
      </c>
    </row>
    <row r="266" spans="1:9">
      <c r="A266" s="147"/>
      <c r="B266" s="162"/>
      <c r="C266" s="108" t="s">
        <v>603</v>
      </c>
      <c r="D266" s="193" t="s">
        <v>631</v>
      </c>
      <c r="E266" s="196"/>
      <c r="F266" s="117"/>
      <c r="G266" s="118"/>
      <c r="H266" s="109" t="e">
        <f>VLOOKUP(I266,'공시사항점검표 목차(2023)'!$K$11:$L$73,2,FALSE)</f>
        <v>#N/A</v>
      </c>
      <c r="I266" s="112" t="s">
        <v>1129</v>
      </c>
    </row>
    <row r="267" spans="1:9" ht="28.5">
      <c r="A267" s="147"/>
      <c r="B267" s="145" t="s">
        <v>482</v>
      </c>
      <c r="C267" s="283" t="s">
        <v>632</v>
      </c>
      <c r="D267" s="284"/>
      <c r="E267" s="196" t="s">
        <v>226</v>
      </c>
      <c r="F267" s="117"/>
      <c r="G267" s="118"/>
      <c r="H267" s="109" t="e">
        <f>VLOOKUP(I267,'공시사항점검표 목차(2023)'!$K$11:$L$73,2,FALSE)</f>
        <v>#N/A</v>
      </c>
      <c r="I267" s="112" t="s">
        <v>1129</v>
      </c>
    </row>
    <row r="268" spans="1:9" ht="28.5">
      <c r="A268" s="148"/>
      <c r="B268" s="165" t="s">
        <v>620</v>
      </c>
      <c r="C268" s="286" t="s">
        <v>619</v>
      </c>
      <c r="D268" s="287"/>
      <c r="E268" s="197" t="s">
        <v>227</v>
      </c>
      <c r="F268" s="126"/>
      <c r="G268" s="127"/>
      <c r="H268" s="109" t="e">
        <f>VLOOKUP(I268,'공시사항점검표 목차(2023)'!$K$11:$L$73,2,FALSE)</f>
        <v>#N/A</v>
      </c>
      <c r="I268" s="112" t="s">
        <v>1129</v>
      </c>
    </row>
    <row r="269" spans="1:9" ht="26.45" customHeight="1">
      <c r="A269" s="111" t="s">
        <v>634</v>
      </c>
      <c r="H269" s="109" t="e">
        <f>VLOOKUP(I269,'공시사항점검표 목차(2023)'!$K$11:$L$73,2,FALSE)</f>
        <v>#N/A</v>
      </c>
      <c r="I269" s="112" t="s">
        <v>1130</v>
      </c>
    </row>
    <row r="270" spans="1:9" ht="26.45" customHeight="1">
      <c r="A270" s="111" t="s">
        <v>635</v>
      </c>
      <c r="H270" s="109" t="e">
        <f>VLOOKUP(I270,'공시사항점검표 목차(2023)'!$K$11:$L$73,2,FALSE)</f>
        <v>#N/A</v>
      </c>
      <c r="I270" s="112" t="s">
        <v>1131</v>
      </c>
    </row>
    <row r="271" spans="1:9" ht="26.45" customHeight="1">
      <c r="A271" s="269" t="s">
        <v>360</v>
      </c>
      <c r="B271" s="270"/>
      <c r="C271" s="270"/>
      <c r="D271" s="271"/>
      <c r="E271" s="114" t="s">
        <v>157</v>
      </c>
      <c r="F271" s="102" t="s">
        <v>301</v>
      </c>
      <c r="G271" s="114" t="s">
        <v>0</v>
      </c>
      <c r="H271" s="109" t="e">
        <f>VLOOKUP(I271,'공시사항점검표 목차(2023)'!$K$11:$L$73,2,FALSE)</f>
        <v>#N/A</v>
      </c>
      <c r="I271" s="112" t="s">
        <v>1131</v>
      </c>
    </row>
    <row r="272" spans="1:9" ht="39.6" customHeight="1">
      <c r="A272" s="279" t="s">
        <v>230</v>
      </c>
      <c r="B272" s="280"/>
      <c r="C272" s="280"/>
      <c r="D272" s="281"/>
      <c r="E272" s="196" t="s">
        <v>231</v>
      </c>
      <c r="F272" s="117"/>
      <c r="G272" s="118"/>
      <c r="H272" s="109" t="e">
        <f>VLOOKUP(I272,'공시사항점검표 목차(2023)'!$K$11:$L$73,2,FALSE)</f>
        <v>#N/A</v>
      </c>
      <c r="I272" s="112" t="s">
        <v>1131</v>
      </c>
    </row>
    <row r="273" spans="1:9" ht="17.45" customHeight="1">
      <c r="A273" s="282" t="s">
        <v>144</v>
      </c>
      <c r="B273" s="283"/>
      <c r="C273" s="283"/>
      <c r="D273" s="284"/>
      <c r="E273" s="146"/>
      <c r="F273" s="117"/>
      <c r="G273" s="118"/>
      <c r="H273" s="109" t="e">
        <f>VLOOKUP(I273,'공시사항점검표 목차(2023)'!$K$11:$L$73,2,FALSE)</f>
        <v>#N/A</v>
      </c>
      <c r="I273" s="112" t="s">
        <v>1131</v>
      </c>
    </row>
    <row r="274" spans="1:9" ht="32.450000000000003" customHeight="1">
      <c r="A274" s="282" t="s">
        <v>232</v>
      </c>
      <c r="B274" s="283"/>
      <c r="C274" s="283"/>
      <c r="D274" s="284"/>
      <c r="E274" s="196"/>
      <c r="F274" s="117"/>
      <c r="G274" s="118"/>
      <c r="H274" s="109" t="e">
        <f>VLOOKUP(I274,'공시사항점검표 목차(2023)'!$K$11:$L$73,2,FALSE)</f>
        <v>#N/A</v>
      </c>
      <c r="I274" s="112" t="s">
        <v>1131</v>
      </c>
    </row>
    <row r="275" spans="1:9" ht="17.45" customHeight="1">
      <c r="A275" s="282" t="s">
        <v>145</v>
      </c>
      <c r="B275" s="283"/>
      <c r="C275" s="283"/>
      <c r="D275" s="284"/>
      <c r="E275" s="196"/>
      <c r="F275" s="117"/>
      <c r="G275" s="118"/>
      <c r="H275" s="109" t="e">
        <f>VLOOKUP(I275,'공시사항점검표 목차(2023)'!$K$11:$L$73,2,FALSE)</f>
        <v>#N/A</v>
      </c>
      <c r="I275" s="112" t="s">
        <v>1131</v>
      </c>
    </row>
    <row r="276" spans="1:9" ht="34.15" customHeight="1">
      <c r="A276" s="282" t="s">
        <v>243</v>
      </c>
      <c r="B276" s="283"/>
      <c r="C276" s="283"/>
      <c r="D276" s="284"/>
      <c r="E276" s="196"/>
      <c r="F276" s="117"/>
      <c r="G276" s="118"/>
      <c r="H276" s="109" t="e">
        <f>VLOOKUP(I276,'공시사항점검표 목차(2023)'!$K$11:$L$73,2,FALSE)</f>
        <v>#N/A</v>
      </c>
      <c r="I276" s="112" t="s">
        <v>1131</v>
      </c>
    </row>
    <row r="277" spans="1:9" ht="40.9" customHeight="1">
      <c r="A277" s="282" t="s">
        <v>146</v>
      </c>
      <c r="B277" s="283"/>
      <c r="C277" s="283"/>
      <c r="D277" s="284"/>
      <c r="E277" s="196"/>
      <c r="F277" s="117"/>
      <c r="G277" s="118"/>
      <c r="H277" s="109" t="e">
        <f>VLOOKUP(I277,'공시사항점검표 목차(2023)'!$K$11:$L$73,2,FALSE)</f>
        <v>#N/A</v>
      </c>
      <c r="I277" s="112" t="s">
        <v>1131</v>
      </c>
    </row>
    <row r="278" spans="1:9" ht="28.5">
      <c r="A278" s="282" t="s">
        <v>311</v>
      </c>
      <c r="B278" s="283"/>
      <c r="C278" s="283"/>
      <c r="D278" s="284"/>
      <c r="E278" s="196" t="s">
        <v>233</v>
      </c>
      <c r="F278" s="117"/>
      <c r="G278" s="118"/>
      <c r="H278" s="109" t="e">
        <f>VLOOKUP(I278,'공시사항점검표 목차(2023)'!$K$11:$L$73,2,FALSE)</f>
        <v>#N/A</v>
      </c>
      <c r="I278" s="112" t="s">
        <v>1131</v>
      </c>
    </row>
    <row r="279" spans="1:9" ht="34.15" customHeight="1">
      <c r="A279" s="282" t="s">
        <v>293</v>
      </c>
      <c r="B279" s="283"/>
      <c r="C279" s="283"/>
      <c r="D279" s="284"/>
      <c r="E279" s="196" t="s">
        <v>234</v>
      </c>
      <c r="F279" s="117"/>
      <c r="G279" s="118"/>
      <c r="H279" s="109" t="e">
        <f>VLOOKUP(I279,'공시사항점검표 목차(2023)'!$K$11:$L$73,2,FALSE)</f>
        <v>#N/A</v>
      </c>
      <c r="I279" s="112" t="s">
        <v>1131</v>
      </c>
    </row>
    <row r="280" spans="1:9" ht="49.15" customHeight="1">
      <c r="A280" s="282" t="s">
        <v>294</v>
      </c>
      <c r="B280" s="283"/>
      <c r="C280" s="283"/>
      <c r="D280" s="284"/>
      <c r="E280" s="196" t="s">
        <v>235</v>
      </c>
      <c r="F280" s="132"/>
      <c r="G280" s="118"/>
      <c r="H280" s="109" t="e">
        <f>VLOOKUP(I280,'공시사항점검표 목차(2023)'!$K$11:$L$73,2,FALSE)</f>
        <v>#N/A</v>
      </c>
      <c r="I280" s="112" t="s">
        <v>1131</v>
      </c>
    </row>
    <row r="281" spans="1:9" ht="43.15" customHeight="1">
      <c r="A281" s="285" t="s">
        <v>238</v>
      </c>
      <c r="B281" s="286"/>
      <c r="C281" s="286"/>
      <c r="D281" s="287"/>
      <c r="E281" s="197" t="s">
        <v>57</v>
      </c>
      <c r="F281" s="126"/>
      <c r="G281" s="127"/>
      <c r="H281" s="109" t="e">
        <f>VLOOKUP(I281,'공시사항점검표 목차(2023)'!$K$11:$L$73,2,FALSE)</f>
        <v>#N/A</v>
      </c>
      <c r="I281" s="112" t="s">
        <v>1131</v>
      </c>
    </row>
    <row r="282" spans="1:9" ht="26.45" customHeight="1">
      <c r="A282" s="111" t="s">
        <v>636</v>
      </c>
      <c r="H282" s="109" t="e">
        <f>VLOOKUP(I282,'공시사항점검표 목차(2023)'!$K$11:$L$73,2,FALSE)</f>
        <v>#N/A</v>
      </c>
      <c r="I282" s="112" t="s">
        <v>1132</v>
      </c>
    </row>
    <row r="283" spans="1:9" ht="26.45" hidden="1" customHeight="1">
      <c r="A283" s="269" t="s">
        <v>360</v>
      </c>
      <c r="B283" s="270"/>
      <c r="C283" s="270"/>
      <c r="D283" s="271"/>
      <c r="E283" s="114" t="s">
        <v>157</v>
      </c>
      <c r="F283" s="102" t="s">
        <v>301</v>
      </c>
      <c r="G283" s="114" t="s">
        <v>0</v>
      </c>
      <c r="H283" s="109" t="e">
        <f>VLOOKUP(I283,'공시사항점검표 목차(2023)'!$K$11:$L$73,2,FALSE)</f>
        <v>#N/A</v>
      </c>
      <c r="I283" s="112" t="s">
        <v>1132</v>
      </c>
    </row>
    <row r="284" spans="1:9" ht="54.6" customHeight="1">
      <c r="A284" s="279" t="s">
        <v>1079</v>
      </c>
      <c r="B284" s="280"/>
      <c r="C284" s="280"/>
      <c r="D284" s="281"/>
      <c r="E284" s="196" t="s">
        <v>10</v>
      </c>
      <c r="F284" s="117"/>
      <c r="G284" s="118"/>
      <c r="H284" s="109" t="e">
        <f>VLOOKUP(I284,'공시사항점검표 목차(2023)'!$K$11:$L$73,2,FALSE)</f>
        <v>#N/A</v>
      </c>
      <c r="I284" s="112" t="s">
        <v>1132</v>
      </c>
    </row>
    <row r="285" spans="1:9" ht="66" customHeight="1">
      <c r="A285" s="147"/>
      <c r="B285" s="162" t="s">
        <v>480</v>
      </c>
      <c r="C285" s="283" t="s">
        <v>638</v>
      </c>
      <c r="D285" s="284"/>
      <c r="E285" s="146"/>
      <c r="F285" s="117"/>
      <c r="G285" s="118"/>
      <c r="H285" s="109" t="e">
        <f>VLOOKUP(I285,'공시사항점검표 목차(2023)'!$K$11:$L$73,2,FALSE)</f>
        <v>#N/A</v>
      </c>
      <c r="I285" s="112" t="s">
        <v>1132</v>
      </c>
    </row>
    <row r="286" spans="1:9" ht="36.6" customHeight="1">
      <c r="A286" s="282" t="s">
        <v>12</v>
      </c>
      <c r="B286" s="283"/>
      <c r="C286" s="283"/>
      <c r="D286" s="284"/>
      <c r="E286" s="196" t="s">
        <v>11</v>
      </c>
      <c r="F286" s="117"/>
      <c r="G286" s="118"/>
      <c r="H286" s="109" t="e">
        <f>VLOOKUP(I286,'공시사항점검표 목차(2023)'!$K$11:$L$73,2,FALSE)</f>
        <v>#N/A</v>
      </c>
      <c r="I286" s="112" t="s">
        <v>1132</v>
      </c>
    </row>
    <row r="287" spans="1:9" ht="70.150000000000006" customHeight="1">
      <c r="A287" s="147"/>
      <c r="B287" s="162" t="s">
        <v>480</v>
      </c>
      <c r="C287" s="283" t="s">
        <v>639</v>
      </c>
      <c r="D287" s="284"/>
      <c r="E287" s="196"/>
      <c r="F287" s="117"/>
      <c r="G287" s="118"/>
      <c r="H287" s="109" t="e">
        <f>VLOOKUP(I287,'공시사항점검표 목차(2023)'!$K$11:$L$73,2,FALSE)</f>
        <v>#N/A</v>
      </c>
      <c r="I287" s="112" t="s">
        <v>1132</v>
      </c>
    </row>
    <row r="288" spans="1:9" ht="17.45" customHeight="1">
      <c r="A288" s="147"/>
      <c r="B288" s="163" t="s">
        <v>642</v>
      </c>
      <c r="C288" s="283" t="s">
        <v>641</v>
      </c>
      <c r="D288" s="284"/>
      <c r="E288" s="196"/>
      <c r="F288" s="117"/>
      <c r="G288" s="118"/>
      <c r="H288" s="109" t="e">
        <f>VLOOKUP(I288,'공시사항점검표 목차(2023)'!$K$11:$L$73,2,FALSE)</f>
        <v>#N/A</v>
      </c>
      <c r="I288" s="112" t="s">
        <v>1132</v>
      </c>
    </row>
    <row r="289" spans="1:9">
      <c r="A289" s="147"/>
      <c r="B289" s="163"/>
      <c r="C289" s="108" t="s">
        <v>646</v>
      </c>
      <c r="D289" s="193" t="s">
        <v>643</v>
      </c>
      <c r="E289" s="196"/>
      <c r="F289" s="117"/>
      <c r="G289" s="118"/>
      <c r="H289" s="109" t="e">
        <f>VLOOKUP(I289,'공시사항점검표 목차(2023)'!$K$11:$L$73,2,FALSE)</f>
        <v>#N/A</v>
      </c>
      <c r="I289" s="112" t="s">
        <v>1132</v>
      </c>
    </row>
    <row r="290" spans="1:9" ht="42.75">
      <c r="A290" s="147"/>
      <c r="B290" s="163"/>
      <c r="C290" s="162" t="s">
        <v>645</v>
      </c>
      <c r="D290" s="193" t="s">
        <v>644</v>
      </c>
      <c r="E290" s="196"/>
      <c r="F290" s="117"/>
      <c r="G290" s="118"/>
      <c r="H290" s="109" t="e">
        <f>VLOOKUP(I290,'공시사항점검표 목차(2023)'!$K$11:$L$73,2,FALSE)</f>
        <v>#N/A</v>
      </c>
      <c r="I290" s="112" t="s">
        <v>1132</v>
      </c>
    </row>
    <row r="291" spans="1:9" ht="53.45" customHeight="1">
      <c r="A291" s="282" t="s">
        <v>637</v>
      </c>
      <c r="B291" s="283"/>
      <c r="C291" s="283"/>
      <c r="D291" s="284"/>
      <c r="E291" s="196" t="s">
        <v>13</v>
      </c>
      <c r="F291" s="117"/>
      <c r="G291" s="118"/>
      <c r="H291" s="109" t="e">
        <f>VLOOKUP(I291,'공시사항점검표 목차(2023)'!$K$11:$L$73,2,FALSE)</f>
        <v>#N/A</v>
      </c>
      <c r="I291" s="112" t="s">
        <v>1132</v>
      </c>
    </row>
    <row r="292" spans="1:9" ht="49.9" customHeight="1">
      <c r="A292" s="282" t="s">
        <v>15</v>
      </c>
      <c r="B292" s="283"/>
      <c r="C292" s="283"/>
      <c r="D292" s="284"/>
      <c r="E292" s="196" t="s">
        <v>14</v>
      </c>
      <c r="F292" s="117"/>
      <c r="G292" s="118"/>
      <c r="H292" s="109" t="e">
        <f>VLOOKUP(I292,'공시사항점검표 목차(2023)'!$K$11:$L$73,2,FALSE)</f>
        <v>#N/A</v>
      </c>
      <c r="I292" s="112" t="s">
        <v>1132</v>
      </c>
    </row>
    <row r="293" spans="1:9" ht="17.45" customHeight="1">
      <c r="A293" s="147"/>
      <c r="B293" s="163" t="s">
        <v>480</v>
      </c>
      <c r="C293" s="283" t="s">
        <v>647</v>
      </c>
      <c r="D293" s="284"/>
      <c r="E293" s="196"/>
      <c r="F293" s="117"/>
      <c r="G293" s="118"/>
      <c r="H293" s="109" t="e">
        <f>VLOOKUP(I293,'공시사항점검표 목차(2023)'!$K$11:$L$73,2,FALSE)</f>
        <v>#N/A</v>
      </c>
      <c r="I293" s="112" t="s">
        <v>1132</v>
      </c>
    </row>
    <row r="294" spans="1:9" ht="48.6" customHeight="1">
      <c r="A294" s="148"/>
      <c r="B294" s="166" t="s">
        <v>482</v>
      </c>
      <c r="C294" s="286" t="s">
        <v>648</v>
      </c>
      <c r="D294" s="287"/>
      <c r="E294" s="197"/>
      <c r="F294" s="126"/>
      <c r="G294" s="127"/>
      <c r="H294" s="109" t="e">
        <f>VLOOKUP(I294,'공시사항점검표 목차(2023)'!$K$11:$L$73,2,FALSE)</f>
        <v>#N/A</v>
      </c>
      <c r="I294" s="112" t="s">
        <v>1132</v>
      </c>
    </row>
    <row r="295" spans="1:9" ht="26.45" customHeight="1">
      <c r="A295" s="111" t="s">
        <v>649</v>
      </c>
      <c r="H295" s="109" t="e">
        <f>VLOOKUP(I295,'공시사항점검표 목차(2023)'!$K$11:$L$73,2,FALSE)</f>
        <v>#N/A</v>
      </c>
      <c r="I295" s="112" t="s">
        <v>1133</v>
      </c>
    </row>
    <row r="296" spans="1:9" ht="26.45" customHeight="1">
      <c r="A296" s="111" t="s">
        <v>651</v>
      </c>
      <c r="H296" s="109" t="e">
        <f>VLOOKUP(I296,'공시사항점검표 목차(2023)'!$K$11:$L$73,2,FALSE)</f>
        <v>#N/A</v>
      </c>
      <c r="I296" s="112" t="s">
        <v>1134</v>
      </c>
    </row>
    <row r="297" spans="1:9" ht="26.45" customHeight="1">
      <c r="A297" s="269" t="s">
        <v>360</v>
      </c>
      <c r="B297" s="270"/>
      <c r="C297" s="270"/>
      <c r="D297" s="271"/>
      <c r="E297" s="114" t="s">
        <v>157</v>
      </c>
      <c r="F297" s="102" t="s">
        <v>301</v>
      </c>
      <c r="G297" s="114" t="s">
        <v>0</v>
      </c>
      <c r="H297" s="109" t="e">
        <f>VLOOKUP(I297,'공시사항점검표 목차(2023)'!$K$11:$L$73,2,FALSE)</f>
        <v>#N/A</v>
      </c>
      <c r="I297" s="112" t="s">
        <v>1134</v>
      </c>
    </row>
    <row r="298" spans="1:9" ht="28.5">
      <c r="A298" s="279" t="s">
        <v>17</v>
      </c>
      <c r="B298" s="280"/>
      <c r="C298" s="280"/>
      <c r="D298" s="281"/>
      <c r="E298" s="196" t="s">
        <v>16</v>
      </c>
      <c r="F298" s="117"/>
      <c r="G298" s="118"/>
      <c r="H298" s="109" t="e">
        <f>VLOOKUP(I298,'공시사항점검표 목차(2023)'!$K$11:$L$73,2,FALSE)</f>
        <v>#N/A</v>
      </c>
      <c r="I298" s="112" t="s">
        <v>1134</v>
      </c>
    </row>
    <row r="299" spans="1:9" ht="28.5">
      <c r="A299" s="282" t="s">
        <v>19</v>
      </c>
      <c r="B299" s="283"/>
      <c r="C299" s="283"/>
      <c r="D299" s="284"/>
      <c r="E299" s="196" t="s">
        <v>18</v>
      </c>
      <c r="F299" s="117"/>
      <c r="G299" s="118"/>
      <c r="H299" s="109" t="e">
        <f>VLOOKUP(I299,'공시사항점검표 목차(2023)'!$K$11:$L$73,2,FALSE)</f>
        <v>#N/A</v>
      </c>
      <c r="I299" s="112" t="s">
        <v>1134</v>
      </c>
    </row>
    <row r="300" spans="1:9" ht="28.5">
      <c r="A300" s="285" t="s">
        <v>21</v>
      </c>
      <c r="B300" s="286"/>
      <c r="C300" s="286"/>
      <c r="D300" s="287"/>
      <c r="E300" s="197" t="s">
        <v>20</v>
      </c>
      <c r="F300" s="159"/>
      <c r="G300" s="127"/>
      <c r="H300" s="109" t="e">
        <f>VLOOKUP(I300,'공시사항점검표 목차(2023)'!$K$11:$L$73,2,FALSE)</f>
        <v>#N/A</v>
      </c>
      <c r="I300" s="112" t="s">
        <v>1134</v>
      </c>
    </row>
    <row r="301" spans="1:9" ht="26.45" customHeight="1">
      <c r="A301" s="111" t="s">
        <v>652</v>
      </c>
      <c r="H301" s="109" t="e">
        <f>VLOOKUP(I301,'공시사항점검표 목차(2023)'!$K$11:$L$73,2,FALSE)</f>
        <v>#N/A</v>
      </c>
      <c r="I301" s="112" t="s">
        <v>1135</v>
      </c>
    </row>
    <row r="302" spans="1:9" ht="26.45" customHeight="1">
      <c r="A302" s="269" t="s">
        <v>360</v>
      </c>
      <c r="B302" s="270"/>
      <c r="C302" s="270"/>
      <c r="D302" s="271"/>
      <c r="E302" s="114" t="s">
        <v>157</v>
      </c>
      <c r="F302" s="102" t="s">
        <v>301</v>
      </c>
      <c r="G302" s="114" t="s">
        <v>0</v>
      </c>
      <c r="H302" s="109" t="e">
        <f>VLOOKUP(I302,'공시사항점검표 목차(2023)'!$K$11:$L$73,2,FALSE)</f>
        <v>#N/A</v>
      </c>
      <c r="I302" s="112" t="s">
        <v>1135</v>
      </c>
    </row>
    <row r="303" spans="1:9" ht="55.9" customHeight="1">
      <c r="A303" s="291" t="s">
        <v>23</v>
      </c>
      <c r="B303" s="292"/>
      <c r="C303" s="292"/>
      <c r="D303" s="293"/>
      <c r="E303" s="114" t="s">
        <v>22</v>
      </c>
      <c r="F303" s="143"/>
      <c r="G303" s="144"/>
      <c r="H303" s="109" t="e">
        <f>VLOOKUP(I303,'공시사항점검표 목차(2023)'!$K$11:$L$73,2,FALSE)</f>
        <v>#N/A</v>
      </c>
      <c r="I303" s="112" t="s">
        <v>1135</v>
      </c>
    </row>
    <row r="304" spans="1:9" ht="26.45" customHeight="1">
      <c r="A304" s="111" t="s">
        <v>653</v>
      </c>
      <c r="H304" s="109" t="e">
        <f>VLOOKUP(I304,'공시사항점검표 목차(2023)'!$K$11:$L$73,2,FALSE)</f>
        <v>#N/A</v>
      </c>
      <c r="I304" s="112" t="s">
        <v>1136</v>
      </c>
    </row>
    <row r="305" spans="1:9" ht="26.45" customHeight="1">
      <c r="A305" s="269" t="s">
        <v>360</v>
      </c>
      <c r="B305" s="270"/>
      <c r="C305" s="270"/>
      <c r="D305" s="271"/>
      <c r="E305" s="114" t="s">
        <v>157</v>
      </c>
      <c r="F305" s="102" t="s">
        <v>301</v>
      </c>
      <c r="G305" s="114" t="s">
        <v>0</v>
      </c>
      <c r="H305" s="109" t="e">
        <f>VLOOKUP(I305,'공시사항점검표 목차(2023)'!$K$11:$L$73,2,FALSE)</f>
        <v>#N/A</v>
      </c>
      <c r="I305" s="112" t="s">
        <v>1136</v>
      </c>
    </row>
    <row r="306" spans="1:9" ht="36.6" customHeight="1">
      <c r="A306" s="291" t="s">
        <v>24</v>
      </c>
      <c r="B306" s="292"/>
      <c r="C306" s="292"/>
      <c r="D306" s="293"/>
      <c r="E306" s="114" t="s">
        <v>5</v>
      </c>
      <c r="F306" s="143"/>
      <c r="G306" s="144"/>
      <c r="H306" s="109" t="e">
        <f>VLOOKUP(I306,'공시사항점검표 목차(2023)'!$K$11:$L$73,2,FALSE)</f>
        <v>#N/A</v>
      </c>
      <c r="I306" s="112" t="s">
        <v>1136</v>
      </c>
    </row>
    <row r="307" spans="1:9" ht="26.45" customHeight="1">
      <c r="A307" s="111" t="s">
        <v>654</v>
      </c>
      <c r="H307" s="109" t="e">
        <f>VLOOKUP(I307,'공시사항점검표 목차(2023)'!$K$11:$L$73,2,FALSE)</f>
        <v>#N/A</v>
      </c>
      <c r="I307" s="112" t="s">
        <v>1137</v>
      </c>
    </row>
    <row r="308" spans="1:9" ht="26.45" hidden="1" customHeight="1">
      <c r="A308" s="269" t="s">
        <v>360</v>
      </c>
      <c r="B308" s="270"/>
      <c r="C308" s="270"/>
      <c r="D308" s="271"/>
      <c r="E308" s="114" t="s">
        <v>157</v>
      </c>
      <c r="F308" s="102" t="s">
        <v>301</v>
      </c>
      <c r="G308" s="114" t="s">
        <v>0</v>
      </c>
      <c r="H308" s="109" t="e">
        <f>VLOOKUP(I308,'공시사항점검표 목차(2023)'!$K$11:$L$73,2,FALSE)</f>
        <v>#N/A</v>
      </c>
      <c r="I308" s="112" t="s">
        <v>1137</v>
      </c>
    </row>
    <row r="309" spans="1:9" ht="28.5">
      <c r="A309" s="279" t="s">
        <v>1178</v>
      </c>
      <c r="B309" s="280"/>
      <c r="C309" s="280"/>
      <c r="D309" s="281"/>
      <c r="E309" s="195" t="s">
        <v>272</v>
      </c>
      <c r="F309" s="137"/>
      <c r="G309" s="138"/>
      <c r="H309" s="109" t="e">
        <f>VLOOKUP(I309,'공시사항점검표 목차(2023)'!$K$11:$L$73,2,FALSE)</f>
        <v>#N/A</v>
      </c>
      <c r="I309" s="112" t="s">
        <v>1137</v>
      </c>
    </row>
    <row r="310" spans="1:9" ht="36" customHeight="1">
      <c r="A310" s="147"/>
      <c r="B310" s="162" t="s">
        <v>656</v>
      </c>
      <c r="C310" s="283" t="s">
        <v>655</v>
      </c>
      <c r="D310" s="284"/>
      <c r="E310" s="196"/>
      <c r="F310" s="117"/>
      <c r="G310" s="118"/>
      <c r="H310" s="109" t="e">
        <f>VLOOKUP(I310,'공시사항점검표 목차(2023)'!$K$11:$L$73,2,FALSE)</f>
        <v>#N/A</v>
      </c>
      <c r="I310" s="112" t="s">
        <v>1137</v>
      </c>
    </row>
    <row r="311" spans="1:9" ht="35.450000000000003" customHeight="1">
      <c r="A311" s="147"/>
      <c r="B311" s="162" t="s">
        <v>482</v>
      </c>
      <c r="C311" s="283" t="s">
        <v>657</v>
      </c>
      <c r="D311" s="284"/>
      <c r="E311" s="196"/>
      <c r="F311" s="117"/>
      <c r="G311" s="118"/>
      <c r="H311" s="109" t="e">
        <f>VLOOKUP(I311,'공시사항점검표 목차(2023)'!$K$11:$L$73,2,FALSE)</f>
        <v>#N/A</v>
      </c>
      <c r="I311" s="112" t="s">
        <v>1137</v>
      </c>
    </row>
    <row r="312" spans="1:9" ht="17.45" customHeight="1">
      <c r="A312" s="147"/>
      <c r="B312" s="162" t="s">
        <v>620</v>
      </c>
      <c r="C312" s="283" t="s">
        <v>658</v>
      </c>
      <c r="D312" s="284"/>
      <c r="E312" s="196"/>
      <c r="F312" s="117"/>
      <c r="G312" s="118"/>
      <c r="H312" s="109" t="e">
        <f>VLOOKUP(I312,'공시사항점검표 목차(2023)'!$K$11:$L$73,2,FALSE)</f>
        <v>#N/A</v>
      </c>
      <c r="I312" s="112" t="s">
        <v>1137</v>
      </c>
    </row>
    <row r="313" spans="1:9" ht="17.45" customHeight="1">
      <c r="A313" s="147"/>
      <c r="B313" s="162" t="s">
        <v>460</v>
      </c>
      <c r="C313" s="283" t="s">
        <v>659</v>
      </c>
      <c r="D313" s="284"/>
      <c r="E313" s="196"/>
      <c r="F313" s="132"/>
      <c r="G313" s="118"/>
      <c r="H313" s="109" t="e">
        <f>VLOOKUP(I313,'공시사항점검표 목차(2023)'!$K$11:$L$73,2,FALSE)</f>
        <v>#N/A</v>
      </c>
      <c r="I313" s="112" t="s">
        <v>1137</v>
      </c>
    </row>
    <row r="314" spans="1:9" ht="66.599999999999994" customHeight="1">
      <c r="A314" s="147"/>
      <c r="B314" s="162" t="s">
        <v>661</v>
      </c>
      <c r="C314" s="283" t="s">
        <v>660</v>
      </c>
      <c r="D314" s="284"/>
      <c r="E314" s="196" t="s">
        <v>273</v>
      </c>
      <c r="F314" s="117"/>
      <c r="G314" s="118"/>
      <c r="H314" s="109" t="e">
        <f>VLOOKUP(I314,'공시사항점검표 목차(2023)'!$K$11:$L$73,2,FALSE)</f>
        <v>#N/A</v>
      </c>
      <c r="I314" s="112" t="s">
        <v>1137</v>
      </c>
    </row>
    <row r="315" spans="1:9" ht="37.15" customHeight="1">
      <c r="A315" s="147"/>
      <c r="B315" s="162" t="s">
        <v>663</v>
      </c>
      <c r="C315" s="283" t="s">
        <v>662</v>
      </c>
      <c r="D315" s="284"/>
      <c r="E315" s="196"/>
      <c r="F315" s="117"/>
      <c r="G315" s="118"/>
      <c r="H315" s="109" t="e">
        <f>VLOOKUP(I315,'공시사항점검표 목차(2023)'!$K$11:$L$73,2,FALSE)</f>
        <v>#N/A</v>
      </c>
      <c r="I315" s="112" t="s">
        <v>1137</v>
      </c>
    </row>
    <row r="316" spans="1:9" ht="54" customHeight="1">
      <c r="A316" s="147"/>
      <c r="B316" s="162" t="s">
        <v>665</v>
      </c>
      <c r="C316" s="283" t="s">
        <v>664</v>
      </c>
      <c r="D316" s="284"/>
      <c r="E316" s="196"/>
      <c r="F316" s="117"/>
      <c r="G316" s="118"/>
      <c r="H316" s="109" t="e">
        <f>VLOOKUP(I316,'공시사항점검표 목차(2023)'!$K$11:$L$73,2,FALSE)</f>
        <v>#N/A</v>
      </c>
      <c r="I316" s="112" t="s">
        <v>1137</v>
      </c>
    </row>
    <row r="317" spans="1:9" ht="21" customHeight="1">
      <c r="A317" s="147"/>
      <c r="B317" s="162" t="s">
        <v>666</v>
      </c>
      <c r="C317" s="283" t="s">
        <v>1174</v>
      </c>
      <c r="D317" s="284"/>
      <c r="E317" s="196"/>
      <c r="F317" s="117"/>
      <c r="G317" s="118"/>
      <c r="H317" s="109" t="e">
        <f>VLOOKUP(I317,'공시사항점검표 목차(2023)'!$K$11:$L$73,2,FALSE)</f>
        <v>#N/A</v>
      </c>
      <c r="I317" s="112" t="s">
        <v>1137</v>
      </c>
    </row>
    <row r="318" spans="1:9" ht="36" customHeight="1">
      <c r="A318" s="147"/>
      <c r="B318" s="162" t="s">
        <v>668</v>
      </c>
      <c r="C318" s="283" t="s">
        <v>667</v>
      </c>
      <c r="D318" s="284"/>
      <c r="E318" s="196"/>
      <c r="F318" s="117"/>
      <c r="G318" s="118"/>
      <c r="H318" s="109" t="e">
        <f>VLOOKUP(I318,'공시사항점검표 목차(2023)'!$K$11:$L$73,2,FALSE)</f>
        <v>#N/A</v>
      </c>
      <c r="I318" s="112" t="s">
        <v>1137</v>
      </c>
    </row>
    <row r="319" spans="1:9" ht="35.450000000000003" customHeight="1">
      <c r="A319" s="147"/>
      <c r="B319" s="162" t="s">
        <v>669</v>
      </c>
      <c r="C319" s="283" t="s">
        <v>1175</v>
      </c>
      <c r="D319" s="284"/>
      <c r="E319" s="196"/>
      <c r="F319" s="117"/>
      <c r="G319" s="118"/>
      <c r="H319" s="109" t="e">
        <f>VLOOKUP(I319,'공시사항점검표 목차(2023)'!$K$11:$L$73,2,FALSE)</f>
        <v>#N/A</v>
      </c>
      <c r="I319" s="112" t="s">
        <v>1137</v>
      </c>
    </row>
    <row r="320" spans="1:9" ht="17.45" customHeight="1">
      <c r="A320" s="147"/>
      <c r="B320" s="162" t="s">
        <v>671</v>
      </c>
      <c r="C320" s="283" t="s">
        <v>670</v>
      </c>
      <c r="D320" s="284"/>
      <c r="E320" s="196"/>
      <c r="F320" s="117"/>
      <c r="G320" s="118"/>
      <c r="H320" s="109" t="e">
        <f>VLOOKUP(I320,'공시사항점검표 목차(2023)'!$K$11:$L$73,2,FALSE)</f>
        <v>#N/A</v>
      </c>
      <c r="I320" s="112" t="s">
        <v>1137</v>
      </c>
    </row>
    <row r="321" spans="1:9" ht="20.45" customHeight="1">
      <c r="A321" s="120"/>
      <c r="C321" s="131" t="s">
        <v>451</v>
      </c>
      <c r="D321" s="116" t="s">
        <v>1176</v>
      </c>
      <c r="E321" s="196"/>
      <c r="F321" s="117"/>
      <c r="G321" s="118"/>
      <c r="H321" s="109" t="e">
        <f>VLOOKUP(I321,'공시사항점검표 목차(2023)'!$K$11:$L$73,2,FALSE)</f>
        <v>#N/A</v>
      </c>
      <c r="I321" s="112" t="s">
        <v>1137</v>
      </c>
    </row>
    <row r="322" spans="1:9" ht="28.5">
      <c r="A322" s="120"/>
      <c r="C322" s="131" t="s">
        <v>673</v>
      </c>
      <c r="D322" s="116" t="s">
        <v>672</v>
      </c>
      <c r="E322" s="196"/>
      <c r="F322" s="117"/>
      <c r="G322" s="118"/>
      <c r="H322" s="109" t="e">
        <f>VLOOKUP(I322,'공시사항점검표 목차(2023)'!$K$11:$L$73,2,FALSE)</f>
        <v>#N/A</v>
      </c>
      <c r="I322" s="112" t="s">
        <v>1137</v>
      </c>
    </row>
    <row r="323" spans="1:9" ht="28.5">
      <c r="A323" s="122"/>
      <c r="B323" s="123"/>
      <c r="C323" s="167" t="s">
        <v>674</v>
      </c>
      <c r="D323" s="134" t="s">
        <v>1177</v>
      </c>
      <c r="E323" s="197"/>
      <c r="F323" s="126"/>
      <c r="G323" s="127"/>
      <c r="H323" s="109" t="e">
        <f>VLOOKUP(I323,'공시사항점검표 목차(2023)'!$K$11:$L$73,2,FALSE)</f>
        <v>#N/A</v>
      </c>
      <c r="I323" s="112" t="s">
        <v>1137</v>
      </c>
    </row>
    <row r="324" spans="1:9" ht="96.6" customHeight="1">
      <c r="A324" s="266" t="s">
        <v>1182</v>
      </c>
      <c r="B324" s="267"/>
      <c r="C324" s="267"/>
      <c r="D324" s="267"/>
      <c r="E324" s="235" t="s">
        <v>1179</v>
      </c>
      <c r="F324" s="241"/>
      <c r="G324" s="243" t="s">
        <v>1214</v>
      </c>
      <c r="H324" s="109"/>
      <c r="I324" s="112"/>
    </row>
    <row r="325" spans="1:9" ht="60.6" customHeight="1">
      <c r="A325" s="297" t="s">
        <v>1180</v>
      </c>
      <c r="B325" s="298"/>
      <c r="C325" s="298"/>
      <c r="D325" s="298"/>
      <c r="E325" s="235" t="s">
        <v>1181</v>
      </c>
      <c r="F325" s="241"/>
      <c r="G325" s="244" t="s">
        <v>1214</v>
      </c>
      <c r="H325" s="109"/>
      <c r="I325" s="112"/>
    </row>
    <row r="326" spans="1:9" ht="49.15" customHeight="1">
      <c r="A326" s="237"/>
      <c r="B326" s="238" t="s">
        <v>444</v>
      </c>
      <c r="C326" s="299" t="s">
        <v>1211</v>
      </c>
      <c r="D326" s="299"/>
      <c r="E326" s="239"/>
      <c r="F326" s="242"/>
      <c r="G326" s="245"/>
      <c r="H326" s="109"/>
      <c r="I326" s="112"/>
    </row>
    <row r="327" spans="1:9" ht="26.45" customHeight="1">
      <c r="A327" s="213" t="s">
        <v>675</v>
      </c>
      <c r="G327" s="121"/>
      <c r="H327" s="109" t="e">
        <f>VLOOKUP(I327,'공시사항점검표 목차(2023)'!$K$11:$L$73,2,FALSE)</f>
        <v>#N/A</v>
      </c>
      <c r="I327" s="112" t="s">
        <v>1138</v>
      </c>
    </row>
    <row r="328" spans="1:9" ht="26.45" customHeight="1">
      <c r="A328" s="269" t="s">
        <v>360</v>
      </c>
      <c r="B328" s="270"/>
      <c r="C328" s="270"/>
      <c r="D328" s="271"/>
      <c r="E328" s="114" t="s">
        <v>157</v>
      </c>
      <c r="F328" s="102" t="s">
        <v>301</v>
      </c>
      <c r="G328" s="114" t="s">
        <v>0</v>
      </c>
      <c r="H328" s="109" t="e">
        <f>VLOOKUP(I328,'공시사항점검표 목차(2023)'!$K$11:$L$73,2,FALSE)</f>
        <v>#N/A</v>
      </c>
      <c r="I328" s="112" t="s">
        <v>1138</v>
      </c>
    </row>
    <row r="329" spans="1:9" ht="28.5">
      <c r="A329" s="279" t="s">
        <v>26</v>
      </c>
      <c r="B329" s="280"/>
      <c r="C329" s="280"/>
      <c r="D329" s="281"/>
      <c r="E329" s="196" t="s">
        <v>25</v>
      </c>
      <c r="F329" s="117"/>
      <c r="G329" s="118"/>
      <c r="H329" s="109" t="e">
        <f>VLOOKUP(I329,'공시사항점검표 목차(2023)'!$K$11:$L$73,2,FALSE)</f>
        <v>#N/A</v>
      </c>
      <c r="I329" s="112" t="s">
        <v>1138</v>
      </c>
    </row>
    <row r="330" spans="1:9" ht="34.9" customHeight="1">
      <c r="A330" s="147"/>
      <c r="B330" s="162" t="s">
        <v>656</v>
      </c>
      <c r="C330" s="283" t="s">
        <v>677</v>
      </c>
      <c r="D330" s="284"/>
      <c r="E330" s="196"/>
      <c r="F330" s="117"/>
      <c r="G330" s="118"/>
      <c r="H330" s="109" t="e">
        <f>VLOOKUP(I330,'공시사항점검표 목차(2023)'!$K$11:$L$73,2,FALSE)</f>
        <v>#N/A</v>
      </c>
      <c r="I330" s="112" t="s">
        <v>1138</v>
      </c>
    </row>
    <row r="331" spans="1:9" ht="76.150000000000006" customHeight="1">
      <c r="A331" s="147"/>
      <c r="B331" s="162" t="s">
        <v>482</v>
      </c>
      <c r="C331" s="283" t="s">
        <v>678</v>
      </c>
      <c r="D331" s="284"/>
      <c r="E331" s="196"/>
      <c r="F331" s="117"/>
      <c r="G331" s="118"/>
      <c r="H331" s="109" t="e">
        <f>VLOOKUP(I331,'공시사항점검표 목차(2023)'!$K$11:$L$73,2,FALSE)</f>
        <v>#N/A</v>
      </c>
      <c r="I331" s="112" t="s">
        <v>1138</v>
      </c>
    </row>
    <row r="332" spans="1:9" ht="28.5">
      <c r="A332" s="282" t="s">
        <v>28</v>
      </c>
      <c r="B332" s="283"/>
      <c r="C332" s="283"/>
      <c r="D332" s="284"/>
      <c r="E332" s="196" t="s">
        <v>27</v>
      </c>
      <c r="F332" s="117"/>
      <c r="G332" s="118"/>
      <c r="H332" s="109" t="e">
        <f>VLOOKUP(I332,'공시사항점검표 목차(2023)'!$K$11:$L$73,2,FALSE)</f>
        <v>#N/A</v>
      </c>
      <c r="I332" s="112" t="s">
        <v>1138</v>
      </c>
    </row>
    <row r="333" spans="1:9" ht="52.15" customHeight="1">
      <c r="A333" s="282" t="s">
        <v>312</v>
      </c>
      <c r="B333" s="283"/>
      <c r="C333" s="283"/>
      <c r="D333" s="284"/>
      <c r="E333" s="196" t="s">
        <v>32</v>
      </c>
      <c r="F333" s="118"/>
      <c r="G333" s="118"/>
      <c r="H333" s="109" t="e">
        <f>VLOOKUP(I333,'공시사항점검표 목차(2023)'!$K$11:$L$73,2,FALSE)</f>
        <v>#N/A</v>
      </c>
      <c r="I333" s="112" t="s">
        <v>1138</v>
      </c>
    </row>
    <row r="334" spans="1:9" ht="49.15" customHeight="1">
      <c r="A334" s="282" t="s">
        <v>676</v>
      </c>
      <c r="B334" s="283"/>
      <c r="C334" s="283"/>
      <c r="D334" s="284"/>
      <c r="E334" s="196" t="s">
        <v>29</v>
      </c>
      <c r="F334" s="117"/>
      <c r="G334" s="118"/>
      <c r="H334" s="109" t="e">
        <f>VLOOKUP(I334,'공시사항점검표 목차(2023)'!$K$11:$L$73,2,FALSE)</f>
        <v>#N/A</v>
      </c>
      <c r="I334" s="112" t="s">
        <v>1138</v>
      </c>
    </row>
    <row r="335" spans="1:9" ht="17.45" customHeight="1">
      <c r="A335" s="147"/>
      <c r="B335" s="163" t="s">
        <v>656</v>
      </c>
      <c r="C335" s="283" t="s">
        <v>679</v>
      </c>
      <c r="D335" s="284"/>
      <c r="E335" s="196"/>
      <c r="F335" s="117"/>
      <c r="G335" s="118"/>
      <c r="H335" s="109" t="e">
        <f>VLOOKUP(I335,'공시사항점검표 목차(2023)'!$K$11:$L$73,2,FALSE)</f>
        <v>#N/A</v>
      </c>
      <c r="I335" s="112" t="s">
        <v>1138</v>
      </c>
    </row>
    <row r="336" spans="1:9" ht="17.45" customHeight="1">
      <c r="A336" s="147"/>
      <c r="B336" s="163" t="s">
        <v>482</v>
      </c>
      <c r="C336" s="283" t="s">
        <v>680</v>
      </c>
      <c r="D336" s="284"/>
      <c r="E336" s="196"/>
      <c r="F336" s="117"/>
      <c r="G336" s="118"/>
      <c r="H336" s="109" t="e">
        <f>VLOOKUP(I336,'공시사항점검표 목차(2023)'!$K$11:$L$73,2,FALSE)</f>
        <v>#N/A</v>
      </c>
      <c r="I336" s="112" t="s">
        <v>1138</v>
      </c>
    </row>
    <row r="337" spans="1:9" ht="17.45" customHeight="1">
      <c r="A337" s="147"/>
      <c r="B337" s="163" t="s">
        <v>620</v>
      </c>
      <c r="C337" s="283" t="s">
        <v>681</v>
      </c>
      <c r="D337" s="284"/>
      <c r="E337" s="196"/>
      <c r="F337" s="117"/>
      <c r="G337" s="118"/>
      <c r="H337" s="109" t="e">
        <f>VLOOKUP(I337,'공시사항점검표 목차(2023)'!$K$11:$L$73,2,FALSE)</f>
        <v>#N/A</v>
      </c>
      <c r="I337" s="112" t="s">
        <v>1138</v>
      </c>
    </row>
    <row r="338" spans="1:9" ht="17.45" customHeight="1">
      <c r="A338" s="147"/>
      <c r="B338" s="163" t="s">
        <v>460</v>
      </c>
      <c r="C338" s="283" t="s">
        <v>682</v>
      </c>
      <c r="D338" s="284"/>
      <c r="E338" s="196"/>
      <c r="F338" s="117"/>
      <c r="G338" s="118"/>
      <c r="H338" s="109" t="e">
        <f>VLOOKUP(I338,'공시사항점검표 목차(2023)'!$K$11:$L$73,2,FALSE)</f>
        <v>#N/A</v>
      </c>
      <c r="I338" s="112" t="s">
        <v>1138</v>
      </c>
    </row>
    <row r="339" spans="1:9" ht="17.45" customHeight="1">
      <c r="A339" s="147"/>
      <c r="B339" s="163" t="s">
        <v>661</v>
      </c>
      <c r="C339" s="283" t="s">
        <v>683</v>
      </c>
      <c r="D339" s="284"/>
      <c r="E339" s="146"/>
      <c r="F339" s="117"/>
      <c r="G339" s="118"/>
      <c r="H339" s="109" t="e">
        <f>VLOOKUP(I339,'공시사항점검표 목차(2023)'!$K$11:$L$73,2,FALSE)</f>
        <v>#N/A</v>
      </c>
      <c r="I339" s="112" t="s">
        <v>1138</v>
      </c>
    </row>
    <row r="340" spans="1:9" ht="17.45" customHeight="1">
      <c r="A340" s="147"/>
      <c r="B340" s="163" t="s">
        <v>663</v>
      </c>
      <c r="C340" s="283" t="s">
        <v>684</v>
      </c>
      <c r="D340" s="284"/>
      <c r="E340" s="196"/>
      <c r="F340" s="117"/>
      <c r="G340" s="118"/>
      <c r="H340" s="109" t="e">
        <f>VLOOKUP(I340,'공시사항점검표 목차(2023)'!$K$11:$L$73,2,FALSE)</f>
        <v>#N/A</v>
      </c>
      <c r="I340" s="112" t="s">
        <v>1138</v>
      </c>
    </row>
    <row r="341" spans="1:9" ht="52.9" customHeight="1">
      <c r="A341" s="282" t="s">
        <v>1080</v>
      </c>
      <c r="B341" s="283"/>
      <c r="C341" s="283"/>
      <c r="D341" s="284"/>
      <c r="E341" s="196" t="s">
        <v>30</v>
      </c>
      <c r="F341" s="117"/>
      <c r="G341" s="118"/>
      <c r="H341" s="109" t="e">
        <f>VLOOKUP(I341,'공시사항점검표 목차(2023)'!$K$11:$L$73,2,FALSE)</f>
        <v>#N/A</v>
      </c>
      <c r="I341" s="112" t="s">
        <v>1138</v>
      </c>
    </row>
    <row r="342" spans="1:9" ht="96" customHeight="1">
      <c r="A342" s="282" t="s">
        <v>1081</v>
      </c>
      <c r="B342" s="283"/>
      <c r="C342" s="283"/>
      <c r="D342" s="284"/>
      <c r="E342" s="196" t="s">
        <v>31</v>
      </c>
      <c r="F342" s="117"/>
      <c r="G342" s="118"/>
      <c r="H342" s="109" t="e">
        <f>VLOOKUP(I342,'공시사항점검표 목차(2023)'!$K$11:$L$73,2,FALSE)</f>
        <v>#N/A</v>
      </c>
      <c r="I342" s="112" t="s">
        <v>1138</v>
      </c>
    </row>
    <row r="343" spans="1:9" ht="28.5">
      <c r="A343" s="282" t="s">
        <v>34</v>
      </c>
      <c r="B343" s="283"/>
      <c r="C343" s="283"/>
      <c r="D343" s="284"/>
      <c r="E343" s="196" t="s">
        <v>33</v>
      </c>
      <c r="F343" s="117"/>
      <c r="G343" s="118"/>
      <c r="H343" s="109" t="e">
        <f>VLOOKUP(I343,'공시사항점검표 목차(2023)'!$K$11:$L$73,2,FALSE)</f>
        <v>#N/A</v>
      </c>
      <c r="I343" s="112" t="s">
        <v>1138</v>
      </c>
    </row>
    <row r="344" spans="1:9" ht="81" customHeight="1">
      <c r="A344" s="285" t="s">
        <v>262</v>
      </c>
      <c r="B344" s="286"/>
      <c r="C344" s="286"/>
      <c r="D344" s="287"/>
      <c r="E344" s="197" t="s">
        <v>261</v>
      </c>
      <c r="F344" s="126"/>
      <c r="G344" s="127"/>
      <c r="H344" s="109" t="e">
        <f>VLOOKUP(I344,'공시사항점검표 목차(2023)'!$K$11:$L$73,2,FALSE)</f>
        <v>#N/A</v>
      </c>
      <c r="I344" s="112" t="s">
        <v>1138</v>
      </c>
    </row>
    <row r="345" spans="1:9" ht="26.45" customHeight="1">
      <c r="A345" s="111" t="s">
        <v>685</v>
      </c>
      <c r="H345" s="109" t="e">
        <f>VLOOKUP(I345,'공시사항점검표 목차(2023)'!$K$11:$L$73,2,FALSE)</f>
        <v>#N/A</v>
      </c>
      <c r="I345" s="112" t="s">
        <v>1139</v>
      </c>
    </row>
    <row r="346" spans="1:9" ht="26.45" customHeight="1">
      <c r="A346" s="269" t="s">
        <v>360</v>
      </c>
      <c r="B346" s="270"/>
      <c r="C346" s="270"/>
      <c r="D346" s="271"/>
      <c r="E346" s="114" t="s">
        <v>157</v>
      </c>
      <c r="F346" s="102" t="s">
        <v>301</v>
      </c>
      <c r="G346" s="114" t="s">
        <v>0</v>
      </c>
      <c r="H346" s="109" t="e">
        <f>VLOOKUP(I346,'공시사항점검표 목차(2023)'!$K$11:$L$73,2,FALSE)</f>
        <v>#N/A</v>
      </c>
      <c r="I346" s="112" t="s">
        <v>1139</v>
      </c>
    </row>
    <row r="347" spans="1:9" ht="54.6" customHeight="1">
      <c r="A347" s="291" t="s">
        <v>1082</v>
      </c>
      <c r="B347" s="292"/>
      <c r="C347" s="292"/>
      <c r="D347" s="293"/>
      <c r="E347" s="114" t="s">
        <v>35</v>
      </c>
      <c r="F347" s="143"/>
      <c r="G347" s="144"/>
      <c r="H347" s="109" t="e">
        <f>VLOOKUP(I347,'공시사항점검표 목차(2023)'!$K$11:$L$73,2,FALSE)</f>
        <v>#N/A</v>
      </c>
      <c r="I347" s="112" t="s">
        <v>1139</v>
      </c>
    </row>
    <row r="348" spans="1:9" ht="26.45" customHeight="1">
      <c r="A348" s="111" t="s">
        <v>686</v>
      </c>
      <c r="H348" s="109" t="e">
        <f>VLOOKUP(I348,'공시사항점검표 목차(2023)'!$K$11:$L$73,2,FALSE)</f>
        <v>#N/A</v>
      </c>
      <c r="I348" s="112" t="s">
        <v>1140</v>
      </c>
    </row>
    <row r="349" spans="1:9" ht="26.45" customHeight="1">
      <c r="A349" s="269" t="s">
        <v>360</v>
      </c>
      <c r="B349" s="270"/>
      <c r="C349" s="270"/>
      <c r="D349" s="271"/>
      <c r="E349" s="114" t="s">
        <v>157</v>
      </c>
      <c r="F349" s="102" t="s">
        <v>301</v>
      </c>
      <c r="G349" s="114" t="s">
        <v>0</v>
      </c>
      <c r="H349" s="109" t="e">
        <f>VLOOKUP(I349,'공시사항점검표 목차(2023)'!$K$11:$L$73,2,FALSE)</f>
        <v>#N/A</v>
      </c>
      <c r="I349" s="112" t="s">
        <v>1140</v>
      </c>
    </row>
    <row r="350" spans="1:9" ht="39" customHeight="1">
      <c r="A350" s="291" t="s">
        <v>687</v>
      </c>
      <c r="B350" s="292"/>
      <c r="C350" s="292"/>
      <c r="D350" s="293"/>
      <c r="E350" s="114"/>
      <c r="F350" s="143"/>
      <c r="G350" s="144"/>
      <c r="H350" s="109" t="e">
        <f>VLOOKUP(I350,'공시사항점검표 목차(2023)'!$K$11:$L$73,2,FALSE)</f>
        <v>#N/A</v>
      </c>
      <c r="I350" s="112" t="s">
        <v>1140</v>
      </c>
    </row>
    <row r="351" spans="1:9" ht="17.45" customHeight="1">
      <c r="A351" s="168"/>
      <c r="B351" s="169" t="s">
        <v>656</v>
      </c>
      <c r="C351" s="292" t="s">
        <v>688</v>
      </c>
      <c r="D351" s="293"/>
      <c r="E351" s="114"/>
      <c r="F351" s="143"/>
      <c r="G351" s="144"/>
      <c r="H351" s="109" t="e">
        <f>VLOOKUP(I351,'공시사항점검표 목차(2023)'!$K$11:$L$73,2,FALSE)</f>
        <v>#N/A</v>
      </c>
      <c r="I351" s="112" t="s">
        <v>1140</v>
      </c>
    </row>
    <row r="352" spans="1:9" ht="28.5">
      <c r="A352" s="168"/>
      <c r="B352" s="169" t="s">
        <v>482</v>
      </c>
      <c r="C352" s="292" t="s">
        <v>689</v>
      </c>
      <c r="D352" s="293"/>
      <c r="E352" s="114" t="s">
        <v>36</v>
      </c>
      <c r="F352" s="143"/>
      <c r="G352" s="144"/>
      <c r="H352" s="109" t="e">
        <f>VLOOKUP(I352,'공시사항점검표 목차(2023)'!$K$11:$L$73,2,FALSE)</f>
        <v>#N/A</v>
      </c>
      <c r="I352" s="112" t="s">
        <v>1140</v>
      </c>
    </row>
    <row r="353" spans="1:9" ht="17.45" customHeight="1">
      <c r="A353" s="168"/>
      <c r="B353" s="169" t="s">
        <v>620</v>
      </c>
      <c r="C353" s="292" t="s">
        <v>690</v>
      </c>
      <c r="D353" s="293"/>
      <c r="E353" s="114"/>
      <c r="F353" s="143"/>
      <c r="G353" s="144"/>
      <c r="H353" s="109" t="e">
        <f>VLOOKUP(I353,'공시사항점검표 목차(2023)'!$K$11:$L$73,2,FALSE)</f>
        <v>#N/A</v>
      </c>
      <c r="I353" s="112" t="s">
        <v>1140</v>
      </c>
    </row>
    <row r="354" spans="1:9" ht="17.45" customHeight="1">
      <c r="A354" s="168"/>
      <c r="B354" s="169" t="s">
        <v>460</v>
      </c>
      <c r="C354" s="292" t="s">
        <v>691</v>
      </c>
      <c r="D354" s="293"/>
      <c r="E354" s="114"/>
      <c r="F354" s="143"/>
      <c r="G354" s="144"/>
      <c r="H354" s="109" t="e">
        <f>VLOOKUP(I354,'공시사항점검표 목차(2023)'!$K$11:$L$73,2,FALSE)</f>
        <v>#N/A</v>
      </c>
      <c r="I354" s="112" t="s">
        <v>1140</v>
      </c>
    </row>
    <row r="355" spans="1:9" ht="33" customHeight="1">
      <c r="A355" s="168"/>
      <c r="B355" s="169" t="s">
        <v>661</v>
      </c>
      <c r="C355" s="292" t="s">
        <v>692</v>
      </c>
      <c r="D355" s="293"/>
      <c r="E355" s="114"/>
      <c r="F355" s="143"/>
      <c r="G355" s="144"/>
      <c r="H355" s="109" t="e">
        <f>VLOOKUP(I355,'공시사항점검표 목차(2023)'!$K$11:$L$73,2,FALSE)</f>
        <v>#N/A</v>
      </c>
      <c r="I355" s="112" t="s">
        <v>1140</v>
      </c>
    </row>
    <row r="356" spans="1:9" ht="17.45" customHeight="1">
      <c r="A356" s="168"/>
      <c r="B356" s="169" t="s">
        <v>663</v>
      </c>
      <c r="C356" s="292" t="s">
        <v>693</v>
      </c>
      <c r="D356" s="293"/>
      <c r="E356" s="114"/>
      <c r="F356" s="143"/>
      <c r="G356" s="144"/>
      <c r="H356" s="109" t="e">
        <f>VLOOKUP(I356,'공시사항점검표 목차(2023)'!$K$11:$L$73,2,FALSE)</f>
        <v>#N/A</v>
      </c>
      <c r="I356" s="112" t="s">
        <v>1140</v>
      </c>
    </row>
    <row r="357" spans="1:9" ht="39" customHeight="1">
      <c r="A357" s="168"/>
      <c r="B357" s="169" t="s">
        <v>695</v>
      </c>
      <c r="C357" s="292" t="s">
        <v>694</v>
      </c>
      <c r="D357" s="293"/>
      <c r="E357" s="114"/>
      <c r="F357" s="143"/>
      <c r="G357" s="144"/>
      <c r="H357" s="109" t="e">
        <f>VLOOKUP(I357,'공시사항점검표 목차(2023)'!$K$11:$L$73,2,FALSE)</f>
        <v>#N/A</v>
      </c>
      <c r="I357" s="112" t="s">
        <v>1140</v>
      </c>
    </row>
    <row r="358" spans="1:9" ht="17.45" customHeight="1">
      <c r="A358" s="168"/>
      <c r="B358" s="169" t="s">
        <v>534</v>
      </c>
      <c r="C358" s="292" t="s">
        <v>696</v>
      </c>
      <c r="D358" s="293"/>
      <c r="E358" s="114"/>
      <c r="F358" s="143"/>
      <c r="G358" s="144"/>
      <c r="H358" s="109" t="e">
        <f>VLOOKUP(I358,'공시사항점검표 목차(2023)'!$K$11:$L$73,2,FALSE)</f>
        <v>#N/A</v>
      </c>
      <c r="I358" s="112" t="s">
        <v>1140</v>
      </c>
    </row>
    <row r="359" spans="1:9" ht="52.15" customHeight="1">
      <c r="A359" s="291" t="s">
        <v>697</v>
      </c>
      <c r="B359" s="292"/>
      <c r="C359" s="292"/>
      <c r="D359" s="293"/>
      <c r="E359" s="114" t="s">
        <v>37</v>
      </c>
      <c r="F359" s="143"/>
      <c r="G359" s="144"/>
      <c r="H359" s="109" t="e">
        <f>VLOOKUP(I359,'공시사항점검표 목차(2023)'!$K$11:$L$73,2,FALSE)</f>
        <v>#N/A</v>
      </c>
      <c r="I359" s="112" t="s">
        <v>1140</v>
      </c>
    </row>
    <row r="360" spans="1:9" ht="84" customHeight="1">
      <c r="A360" s="291" t="s">
        <v>698</v>
      </c>
      <c r="B360" s="292"/>
      <c r="C360" s="292"/>
      <c r="D360" s="293"/>
      <c r="E360" s="114" t="s">
        <v>38</v>
      </c>
      <c r="F360" s="143"/>
      <c r="G360" s="144"/>
      <c r="H360" s="109" t="e">
        <f>VLOOKUP(I360,'공시사항점검표 목차(2023)'!$K$11:$L$73,2,FALSE)</f>
        <v>#N/A</v>
      </c>
      <c r="I360" s="112" t="s">
        <v>1140</v>
      </c>
    </row>
    <row r="361" spans="1:9" ht="86.45" customHeight="1">
      <c r="A361" s="291" t="s">
        <v>699</v>
      </c>
      <c r="B361" s="292"/>
      <c r="C361" s="292"/>
      <c r="D361" s="293"/>
      <c r="E361" s="114" t="s">
        <v>39</v>
      </c>
      <c r="F361" s="143"/>
      <c r="G361" s="144"/>
      <c r="H361" s="109" t="e">
        <f>VLOOKUP(I361,'공시사항점검표 목차(2023)'!$K$11:$L$73,2,FALSE)</f>
        <v>#N/A</v>
      </c>
      <c r="I361" s="112" t="s">
        <v>1140</v>
      </c>
    </row>
    <row r="362" spans="1:9" ht="70.150000000000006" customHeight="1">
      <c r="A362" s="291" t="s">
        <v>700</v>
      </c>
      <c r="B362" s="292"/>
      <c r="C362" s="292"/>
      <c r="D362" s="293"/>
      <c r="E362" s="114" t="s">
        <v>40</v>
      </c>
      <c r="F362" s="143"/>
      <c r="G362" s="144"/>
      <c r="H362" s="109" t="e">
        <f>VLOOKUP(I362,'공시사항점검표 목차(2023)'!$K$11:$L$73,2,FALSE)</f>
        <v>#N/A</v>
      </c>
      <c r="I362" s="112" t="s">
        <v>1140</v>
      </c>
    </row>
    <row r="363" spans="1:9" ht="59.45" customHeight="1">
      <c r="A363" s="291" t="s">
        <v>701</v>
      </c>
      <c r="B363" s="292"/>
      <c r="C363" s="292"/>
      <c r="D363" s="293"/>
      <c r="E363" s="114" t="s">
        <v>245</v>
      </c>
      <c r="F363" s="143"/>
      <c r="G363" s="144"/>
      <c r="H363" s="109" t="e">
        <f>VLOOKUP(I363,'공시사항점검표 목차(2023)'!$K$11:$L$73,2,FALSE)</f>
        <v>#N/A</v>
      </c>
      <c r="I363" s="112" t="s">
        <v>1140</v>
      </c>
    </row>
    <row r="364" spans="1:9" ht="28.5">
      <c r="A364" s="291" t="s">
        <v>702</v>
      </c>
      <c r="B364" s="292"/>
      <c r="C364" s="292"/>
      <c r="D364" s="293"/>
      <c r="E364" s="114" t="s">
        <v>41</v>
      </c>
      <c r="F364" s="143"/>
      <c r="G364" s="144"/>
      <c r="H364" s="109" t="e">
        <f>VLOOKUP(I364,'공시사항점검표 목차(2023)'!$K$11:$L$73,2,FALSE)</f>
        <v>#N/A</v>
      </c>
      <c r="I364" s="112" t="s">
        <v>1140</v>
      </c>
    </row>
    <row r="365" spans="1:9" ht="51.6" customHeight="1">
      <c r="A365" s="291" t="s">
        <v>703</v>
      </c>
      <c r="B365" s="292"/>
      <c r="C365" s="292"/>
      <c r="D365" s="293"/>
      <c r="E365" s="114" t="s">
        <v>42</v>
      </c>
      <c r="F365" s="170"/>
      <c r="G365" s="144"/>
      <c r="H365" s="109" t="e">
        <f>VLOOKUP(I365,'공시사항점검표 목차(2023)'!$K$11:$L$73,2,FALSE)</f>
        <v>#N/A</v>
      </c>
      <c r="I365" s="112" t="s">
        <v>1140</v>
      </c>
    </row>
    <row r="366" spans="1:9" ht="26.45" customHeight="1">
      <c r="A366" s="111" t="s">
        <v>704</v>
      </c>
      <c r="H366" s="109" t="e">
        <f>VLOOKUP(I366,'공시사항점검표 목차(2023)'!$K$11:$L$73,2,FALSE)</f>
        <v>#N/A</v>
      </c>
      <c r="I366" s="112" t="s">
        <v>1141</v>
      </c>
    </row>
    <row r="367" spans="1:9" ht="26.45" customHeight="1">
      <c r="A367" s="269" t="s">
        <v>360</v>
      </c>
      <c r="B367" s="270"/>
      <c r="C367" s="270"/>
      <c r="D367" s="271"/>
      <c r="E367" s="114" t="s">
        <v>157</v>
      </c>
      <c r="F367" s="102" t="s">
        <v>301</v>
      </c>
      <c r="G367" s="114" t="s">
        <v>0</v>
      </c>
      <c r="H367" s="109" t="e">
        <f>VLOOKUP(I367,'공시사항점검표 목차(2023)'!$K$11:$L$73,2,FALSE)</f>
        <v>#N/A</v>
      </c>
      <c r="I367" s="112" t="s">
        <v>1141</v>
      </c>
    </row>
    <row r="368" spans="1:9" ht="34.9" customHeight="1">
      <c r="A368" s="279" t="s">
        <v>81</v>
      </c>
      <c r="B368" s="280"/>
      <c r="C368" s="280"/>
      <c r="D368" s="281"/>
      <c r="E368" s="195" t="s">
        <v>709</v>
      </c>
      <c r="F368" s="117"/>
      <c r="G368" s="118"/>
      <c r="H368" s="109" t="e">
        <f>VLOOKUP(I368,'공시사항점검표 목차(2023)'!$K$11:$L$73,2,FALSE)</f>
        <v>#N/A</v>
      </c>
      <c r="I368" s="112" t="s">
        <v>1141</v>
      </c>
    </row>
    <row r="369" spans="1:9" ht="17.45" customHeight="1">
      <c r="A369" s="147"/>
      <c r="B369" s="163" t="s">
        <v>480</v>
      </c>
      <c r="C369" s="283" t="s">
        <v>705</v>
      </c>
      <c r="D369" s="284"/>
      <c r="E369" s="196"/>
      <c r="F369" s="117"/>
      <c r="G369" s="118"/>
      <c r="H369" s="109" t="e">
        <f>VLOOKUP(I369,'공시사항점검표 목차(2023)'!$K$11:$L$73,2,FALSE)</f>
        <v>#N/A</v>
      </c>
      <c r="I369" s="112" t="s">
        <v>1141</v>
      </c>
    </row>
    <row r="370" spans="1:9" ht="37.15" customHeight="1">
      <c r="A370" s="148"/>
      <c r="B370" s="166" t="s">
        <v>482</v>
      </c>
      <c r="C370" s="286" t="s">
        <v>706</v>
      </c>
      <c r="D370" s="287"/>
      <c r="E370" s="197"/>
      <c r="F370" s="126"/>
      <c r="G370" s="127"/>
      <c r="H370" s="109" t="e">
        <f>VLOOKUP(I370,'공시사항점검표 목차(2023)'!$K$11:$L$73,2,FALSE)</f>
        <v>#N/A</v>
      </c>
      <c r="I370" s="112" t="s">
        <v>1141</v>
      </c>
    </row>
    <row r="371" spans="1:9" ht="26.45" customHeight="1">
      <c r="A371" s="111" t="s">
        <v>707</v>
      </c>
      <c r="H371" s="109" t="e">
        <f>VLOOKUP(I371,'공시사항점검표 목차(2023)'!$K$11:$L$73,2,FALSE)</f>
        <v>#N/A</v>
      </c>
      <c r="I371" s="112" t="s">
        <v>1142</v>
      </c>
    </row>
    <row r="372" spans="1:9" ht="26.45" customHeight="1">
      <c r="A372" s="111" t="s">
        <v>708</v>
      </c>
      <c r="H372" s="109" t="e">
        <f>VLOOKUP(I372,'공시사항점검표 목차(2023)'!$K$11:$L$73,2,FALSE)</f>
        <v>#N/A</v>
      </c>
      <c r="I372" s="112" t="s">
        <v>1143</v>
      </c>
    </row>
    <row r="373" spans="1:9" ht="26.45" customHeight="1">
      <c r="A373" s="269" t="s">
        <v>360</v>
      </c>
      <c r="B373" s="270"/>
      <c r="C373" s="270"/>
      <c r="D373" s="271"/>
      <c r="E373" s="114" t="s">
        <v>157</v>
      </c>
      <c r="F373" s="102" t="s">
        <v>301</v>
      </c>
      <c r="G373" s="114" t="s">
        <v>0</v>
      </c>
      <c r="H373" s="109" t="e">
        <f>VLOOKUP(I373,'공시사항점검표 목차(2023)'!$K$11:$L$73,2,FALSE)</f>
        <v>#N/A</v>
      </c>
      <c r="I373" s="112" t="s">
        <v>1143</v>
      </c>
    </row>
    <row r="374" spans="1:9" ht="28.5">
      <c r="A374" s="279" t="s">
        <v>44</v>
      </c>
      <c r="B374" s="280"/>
      <c r="C374" s="280"/>
      <c r="D374" s="281"/>
      <c r="E374" s="196" t="s">
        <v>43</v>
      </c>
      <c r="F374" s="117"/>
      <c r="G374" s="118"/>
      <c r="H374" s="109" t="e">
        <f>VLOOKUP(I374,'공시사항점검표 목차(2023)'!$K$11:$L$73,2,FALSE)</f>
        <v>#N/A</v>
      </c>
      <c r="I374" s="112" t="s">
        <v>1143</v>
      </c>
    </row>
    <row r="375" spans="1:9" ht="17.45" customHeight="1">
      <c r="A375" s="147"/>
      <c r="B375" s="163" t="s">
        <v>656</v>
      </c>
      <c r="C375" s="283" t="s">
        <v>710</v>
      </c>
      <c r="D375" s="284"/>
      <c r="E375" s="196"/>
      <c r="F375" s="117"/>
      <c r="G375" s="118"/>
      <c r="H375" s="109" t="e">
        <f>VLOOKUP(I375,'공시사항점검표 목차(2023)'!$K$11:$L$73,2,FALSE)</f>
        <v>#N/A</v>
      </c>
      <c r="I375" s="112" t="s">
        <v>1143</v>
      </c>
    </row>
    <row r="376" spans="1:9" ht="33" customHeight="1">
      <c r="A376" s="147"/>
      <c r="B376" s="163"/>
      <c r="C376" s="283" t="s">
        <v>313</v>
      </c>
      <c r="D376" s="284"/>
      <c r="E376" s="196"/>
      <c r="F376" s="117"/>
      <c r="G376" s="118"/>
      <c r="H376" s="109" t="e">
        <f>VLOOKUP(I376,'공시사항점검표 목차(2023)'!$K$11:$L$73,2,FALSE)</f>
        <v>#N/A</v>
      </c>
      <c r="I376" s="112" t="s">
        <v>1143</v>
      </c>
    </row>
    <row r="377" spans="1:9" ht="17.45" customHeight="1">
      <c r="A377" s="147"/>
      <c r="B377" s="163" t="s">
        <v>482</v>
      </c>
      <c r="C377" s="283" t="s">
        <v>711</v>
      </c>
      <c r="D377" s="284"/>
      <c r="E377" s="196"/>
      <c r="F377" s="117"/>
      <c r="G377" s="118"/>
      <c r="H377" s="109" t="e">
        <f>VLOOKUP(I377,'공시사항점검표 목차(2023)'!$K$11:$L$73,2,FALSE)</f>
        <v>#N/A</v>
      </c>
      <c r="I377" s="112" t="s">
        <v>1143</v>
      </c>
    </row>
    <row r="378" spans="1:9" ht="33" customHeight="1">
      <c r="A378" s="147"/>
      <c r="B378" s="163" t="s">
        <v>620</v>
      </c>
      <c r="C378" s="283" t="s">
        <v>712</v>
      </c>
      <c r="D378" s="284"/>
      <c r="E378" s="146"/>
      <c r="F378" s="117"/>
      <c r="G378" s="118"/>
      <c r="H378" s="109" t="e">
        <f>VLOOKUP(I378,'공시사항점검표 목차(2023)'!$K$11:$L$73,2,FALSE)</f>
        <v>#N/A</v>
      </c>
      <c r="I378" s="112" t="s">
        <v>1143</v>
      </c>
    </row>
    <row r="379" spans="1:9" ht="17.45" customHeight="1">
      <c r="A379" s="147"/>
      <c r="B379" s="163" t="s">
        <v>460</v>
      </c>
      <c r="C379" s="283" t="s">
        <v>713</v>
      </c>
      <c r="D379" s="284"/>
      <c r="E379" s="196"/>
      <c r="F379" s="117"/>
      <c r="G379" s="118"/>
      <c r="H379" s="109" t="e">
        <f>VLOOKUP(I379,'공시사항점검표 목차(2023)'!$K$11:$L$73,2,FALSE)</f>
        <v>#N/A</v>
      </c>
      <c r="I379" s="112" t="s">
        <v>1143</v>
      </c>
    </row>
    <row r="380" spans="1:9" ht="37.9" customHeight="1">
      <c r="A380" s="147"/>
      <c r="B380" s="163" t="s">
        <v>661</v>
      </c>
      <c r="C380" s="283" t="s">
        <v>714</v>
      </c>
      <c r="D380" s="284"/>
      <c r="E380" s="146"/>
      <c r="F380" s="117"/>
      <c r="G380" s="118"/>
      <c r="H380" s="109" t="e">
        <f>VLOOKUP(I380,'공시사항점검표 목차(2023)'!$K$11:$L$73,2,FALSE)</f>
        <v>#N/A</v>
      </c>
      <c r="I380" s="112" t="s">
        <v>1143</v>
      </c>
    </row>
    <row r="381" spans="1:9" ht="28.5">
      <c r="A381" s="282" t="s">
        <v>46</v>
      </c>
      <c r="B381" s="283"/>
      <c r="C381" s="283"/>
      <c r="D381" s="284"/>
      <c r="E381" s="196" t="s">
        <v>45</v>
      </c>
      <c r="F381" s="117"/>
      <c r="G381" s="118"/>
      <c r="H381" s="109" t="e">
        <f>VLOOKUP(I381,'공시사항점검표 목차(2023)'!$K$11:$L$73,2,FALSE)</f>
        <v>#N/A</v>
      </c>
      <c r="I381" s="112" t="s">
        <v>1143</v>
      </c>
    </row>
    <row r="382" spans="1:9" ht="48.6" customHeight="1">
      <c r="A382" s="147"/>
      <c r="B382" s="162" t="s">
        <v>656</v>
      </c>
      <c r="C382" s="283" t="s">
        <v>715</v>
      </c>
      <c r="D382" s="284"/>
      <c r="E382" s="196"/>
      <c r="F382" s="117"/>
      <c r="G382" s="118"/>
      <c r="H382" s="109" t="e">
        <f>VLOOKUP(I382,'공시사항점검표 목차(2023)'!$K$11:$L$73,2,FALSE)</f>
        <v>#N/A</v>
      </c>
      <c r="I382" s="112" t="s">
        <v>1143</v>
      </c>
    </row>
    <row r="383" spans="1:9">
      <c r="A383" s="147"/>
      <c r="B383" s="163"/>
      <c r="C383" s="108" t="s">
        <v>717</v>
      </c>
      <c r="D383" s="193" t="s">
        <v>716</v>
      </c>
      <c r="E383" s="196"/>
      <c r="F383" s="117"/>
      <c r="G383" s="118"/>
      <c r="H383" s="109" t="e">
        <f>VLOOKUP(I383,'공시사항점검표 목차(2023)'!$K$11:$L$73,2,FALSE)</f>
        <v>#N/A</v>
      </c>
      <c r="I383" s="112" t="s">
        <v>1143</v>
      </c>
    </row>
    <row r="384" spans="1:9">
      <c r="A384" s="147"/>
      <c r="B384" s="163"/>
      <c r="C384" s="108" t="s">
        <v>454</v>
      </c>
      <c r="D384" s="193" t="s">
        <v>718</v>
      </c>
      <c r="E384" s="196"/>
      <c r="F384" s="117"/>
      <c r="G384" s="118"/>
      <c r="H384" s="109" t="e">
        <f>VLOOKUP(I384,'공시사항점검표 목차(2023)'!$K$11:$L$73,2,FALSE)</f>
        <v>#N/A</v>
      </c>
      <c r="I384" s="112" t="s">
        <v>1143</v>
      </c>
    </row>
    <row r="385" spans="1:9">
      <c r="A385" s="147"/>
      <c r="B385" s="163"/>
      <c r="C385" s="108" t="s">
        <v>455</v>
      </c>
      <c r="D385" s="193" t="s">
        <v>719</v>
      </c>
      <c r="E385" s="146"/>
      <c r="F385" s="117"/>
      <c r="G385" s="118"/>
      <c r="H385" s="109" t="e">
        <f>VLOOKUP(I385,'공시사항점검표 목차(2023)'!$K$11:$L$73,2,FALSE)</f>
        <v>#N/A</v>
      </c>
      <c r="I385" s="112" t="s">
        <v>1143</v>
      </c>
    </row>
    <row r="386" spans="1:9" ht="31.15" customHeight="1">
      <c r="A386" s="147"/>
      <c r="B386" s="162" t="s">
        <v>482</v>
      </c>
      <c r="C386" s="283" t="s">
        <v>720</v>
      </c>
      <c r="D386" s="284"/>
      <c r="E386" s="196" t="s">
        <v>47</v>
      </c>
      <c r="F386" s="117"/>
      <c r="G386" s="118"/>
      <c r="H386" s="109" t="e">
        <f>VLOOKUP(I386,'공시사항점검표 목차(2023)'!$K$11:$L$73,2,FALSE)</f>
        <v>#N/A</v>
      </c>
      <c r="I386" s="112" t="s">
        <v>1143</v>
      </c>
    </row>
    <row r="387" spans="1:9">
      <c r="A387" s="147"/>
      <c r="B387" s="163"/>
      <c r="C387" s="108" t="s">
        <v>717</v>
      </c>
      <c r="D387" s="193" t="s">
        <v>721</v>
      </c>
      <c r="E387" s="196"/>
      <c r="F387" s="117"/>
      <c r="G387" s="118"/>
      <c r="H387" s="109" t="e">
        <f>VLOOKUP(I387,'공시사항점검표 목차(2023)'!$K$11:$L$73,2,FALSE)</f>
        <v>#N/A</v>
      </c>
      <c r="I387" s="112" t="s">
        <v>1143</v>
      </c>
    </row>
    <row r="388" spans="1:9">
      <c r="A388" s="147"/>
      <c r="B388" s="163"/>
      <c r="C388" s="108" t="s">
        <v>454</v>
      </c>
      <c r="D388" s="193" t="s">
        <v>722</v>
      </c>
      <c r="E388" s="196"/>
      <c r="F388" s="117"/>
      <c r="G388" s="118"/>
      <c r="H388" s="109" t="e">
        <f>VLOOKUP(I388,'공시사항점검표 목차(2023)'!$K$11:$L$73,2,FALSE)</f>
        <v>#N/A</v>
      </c>
      <c r="I388" s="112" t="s">
        <v>1143</v>
      </c>
    </row>
    <row r="389" spans="1:9" ht="17.45" customHeight="1">
      <c r="A389" s="282" t="s">
        <v>48</v>
      </c>
      <c r="B389" s="283"/>
      <c r="C389" s="283"/>
      <c r="D389" s="284"/>
      <c r="E389" s="196"/>
      <c r="F389" s="117"/>
      <c r="G389" s="118"/>
      <c r="H389" s="109" t="e">
        <f>VLOOKUP(I389,'공시사항점검표 목차(2023)'!$K$11:$L$73,2,FALSE)</f>
        <v>#N/A</v>
      </c>
      <c r="I389" s="112" t="s">
        <v>1143</v>
      </c>
    </row>
    <row r="390" spans="1:9" ht="28.5">
      <c r="A390" s="147"/>
      <c r="B390" s="162" t="s">
        <v>656</v>
      </c>
      <c r="C390" s="283" t="s">
        <v>725</v>
      </c>
      <c r="D390" s="284"/>
      <c r="E390" s="196" t="s">
        <v>49</v>
      </c>
      <c r="F390" s="117"/>
      <c r="G390" s="118"/>
      <c r="H390" s="109" t="e">
        <f>VLOOKUP(I390,'공시사항점검표 목차(2023)'!$K$11:$L$73,2,FALSE)</f>
        <v>#N/A</v>
      </c>
      <c r="I390" s="112" t="s">
        <v>1143</v>
      </c>
    </row>
    <row r="391" spans="1:9" ht="28.5">
      <c r="A391" s="147"/>
      <c r="B391" s="162" t="s">
        <v>482</v>
      </c>
      <c r="C391" s="283" t="s">
        <v>726</v>
      </c>
      <c r="D391" s="284"/>
      <c r="E391" s="196" t="s">
        <v>50</v>
      </c>
      <c r="F391" s="117"/>
      <c r="G391" s="118"/>
      <c r="H391" s="109" t="e">
        <f>VLOOKUP(I391,'공시사항점검표 목차(2023)'!$K$11:$L$73,2,FALSE)</f>
        <v>#N/A</v>
      </c>
      <c r="I391" s="112" t="s">
        <v>1143</v>
      </c>
    </row>
    <row r="392" spans="1:9" ht="63.6" customHeight="1">
      <c r="A392" s="147"/>
      <c r="B392" s="162" t="s">
        <v>724</v>
      </c>
      <c r="C392" s="283" t="s">
        <v>723</v>
      </c>
      <c r="D392" s="284"/>
      <c r="E392" s="196" t="s">
        <v>51</v>
      </c>
      <c r="F392" s="117"/>
      <c r="G392" s="118"/>
      <c r="H392" s="109" t="e">
        <f>VLOOKUP(I392,'공시사항점검표 목차(2023)'!$K$11:$L$73,2,FALSE)</f>
        <v>#N/A</v>
      </c>
      <c r="I392" s="112" t="s">
        <v>1143</v>
      </c>
    </row>
    <row r="393" spans="1:9" ht="28.5">
      <c r="A393" s="282" t="s">
        <v>53</v>
      </c>
      <c r="B393" s="283"/>
      <c r="C393" s="283"/>
      <c r="D393" s="284"/>
      <c r="E393" s="196" t="s">
        <v>52</v>
      </c>
      <c r="F393" s="117"/>
      <c r="G393" s="118"/>
      <c r="H393" s="109" t="e">
        <f>VLOOKUP(I393,'공시사항점검표 목차(2023)'!$K$11:$L$73,2,FALSE)</f>
        <v>#N/A</v>
      </c>
      <c r="I393" s="112" t="s">
        <v>1143</v>
      </c>
    </row>
    <row r="394" spans="1:9" ht="28.5">
      <c r="A394" s="282" t="s">
        <v>55</v>
      </c>
      <c r="B394" s="283"/>
      <c r="C394" s="283"/>
      <c r="D394" s="284"/>
      <c r="E394" s="196" t="s">
        <v>54</v>
      </c>
      <c r="F394" s="132"/>
      <c r="G394" s="118"/>
      <c r="H394" s="109" t="e">
        <f>VLOOKUP(I394,'공시사항점검표 목차(2023)'!$K$11:$L$73,2,FALSE)</f>
        <v>#N/A</v>
      </c>
      <c r="I394" s="112" t="s">
        <v>1143</v>
      </c>
    </row>
    <row r="395" spans="1:9" ht="28.5">
      <c r="A395" s="282" t="s">
        <v>56</v>
      </c>
      <c r="B395" s="283"/>
      <c r="C395" s="283"/>
      <c r="D395" s="284"/>
      <c r="E395" s="196" t="s">
        <v>47</v>
      </c>
      <c r="F395" s="117"/>
      <c r="G395" s="118"/>
      <c r="H395" s="109" t="e">
        <f>VLOOKUP(I395,'공시사항점검표 목차(2023)'!$K$11:$L$73,2,FALSE)</f>
        <v>#N/A</v>
      </c>
      <c r="I395" s="112" t="s">
        <v>1143</v>
      </c>
    </row>
    <row r="396" spans="1:9" ht="28.5">
      <c r="A396" s="147"/>
      <c r="B396" s="163" t="s">
        <v>640</v>
      </c>
      <c r="C396" s="283" t="s">
        <v>728</v>
      </c>
      <c r="D396" s="284"/>
      <c r="E396" s="196" t="s">
        <v>57</v>
      </c>
      <c r="F396" s="117"/>
      <c r="G396" s="118"/>
      <c r="H396" s="109" t="e">
        <f>VLOOKUP(I396,'공시사항점검표 목차(2023)'!$K$11:$L$73,2,FALSE)</f>
        <v>#N/A</v>
      </c>
      <c r="I396" s="112" t="s">
        <v>1143</v>
      </c>
    </row>
    <row r="397" spans="1:9" ht="17.45" customHeight="1">
      <c r="A397" s="147"/>
      <c r="B397" s="162" t="s">
        <v>482</v>
      </c>
      <c r="C397" s="283" t="s">
        <v>729</v>
      </c>
      <c r="D397" s="284"/>
      <c r="E397" s="196"/>
      <c r="F397" s="117"/>
      <c r="G397" s="118"/>
      <c r="H397" s="109" t="e">
        <f>VLOOKUP(I397,'공시사항점검표 목차(2023)'!$K$11:$L$73,2,FALSE)</f>
        <v>#N/A</v>
      </c>
      <c r="I397" s="112" t="s">
        <v>1143</v>
      </c>
    </row>
    <row r="398" spans="1:9" ht="17.45" customHeight="1">
      <c r="A398" s="147"/>
      <c r="B398" s="162" t="s">
        <v>724</v>
      </c>
      <c r="C398" s="283" t="s">
        <v>730</v>
      </c>
      <c r="D398" s="284"/>
      <c r="E398" s="196"/>
      <c r="F398" s="117"/>
      <c r="G398" s="118"/>
      <c r="H398" s="109" t="e">
        <f>VLOOKUP(I398,'공시사항점검표 목차(2023)'!$K$11:$L$73,2,FALSE)</f>
        <v>#N/A</v>
      </c>
      <c r="I398" s="112" t="s">
        <v>1143</v>
      </c>
    </row>
    <row r="399" spans="1:9" ht="17.45" customHeight="1">
      <c r="A399" s="148"/>
      <c r="B399" s="165" t="s">
        <v>727</v>
      </c>
      <c r="C399" s="286" t="s">
        <v>731</v>
      </c>
      <c r="D399" s="287"/>
      <c r="E399" s="197"/>
      <c r="F399" s="126"/>
      <c r="G399" s="127"/>
      <c r="H399" s="109" t="e">
        <f>VLOOKUP(I399,'공시사항점검표 목차(2023)'!$K$11:$L$73,2,FALSE)</f>
        <v>#N/A</v>
      </c>
      <c r="I399" s="112" t="s">
        <v>1143</v>
      </c>
    </row>
    <row r="400" spans="1:9" ht="26.45" customHeight="1">
      <c r="A400" s="111" t="s">
        <v>732</v>
      </c>
      <c r="H400" s="109" t="e">
        <f>VLOOKUP(I400,'공시사항점검표 목차(2023)'!$K$11:$L$73,2,FALSE)</f>
        <v>#N/A</v>
      </c>
      <c r="I400" s="112" t="s">
        <v>1144</v>
      </c>
    </row>
    <row r="401" spans="1:9" ht="26.45" customHeight="1">
      <c r="A401" s="269" t="s">
        <v>360</v>
      </c>
      <c r="B401" s="270"/>
      <c r="C401" s="270"/>
      <c r="D401" s="271"/>
      <c r="E401" s="114" t="s">
        <v>157</v>
      </c>
      <c r="F401" s="102" t="s">
        <v>301</v>
      </c>
      <c r="G401" s="114" t="s">
        <v>0</v>
      </c>
      <c r="H401" s="109" t="e">
        <f>VLOOKUP(I401,'공시사항점검표 목차(2023)'!$K$11:$L$73,2,FALSE)</f>
        <v>#N/A</v>
      </c>
      <c r="I401" s="112" t="s">
        <v>1144</v>
      </c>
    </row>
    <row r="402" spans="1:9" ht="17.45" customHeight="1">
      <c r="A402" s="279" t="s">
        <v>295</v>
      </c>
      <c r="B402" s="280"/>
      <c r="C402" s="280"/>
      <c r="D402" s="281"/>
      <c r="E402" s="196"/>
      <c r="F402" s="117"/>
      <c r="G402" s="118"/>
      <c r="H402" s="109" t="e">
        <f>VLOOKUP(I402,'공시사항점검표 목차(2023)'!$K$11:$L$73,2,FALSE)</f>
        <v>#N/A</v>
      </c>
      <c r="I402" s="112" t="s">
        <v>1144</v>
      </c>
    </row>
    <row r="403" spans="1:9" ht="114.6" customHeight="1">
      <c r="A403" s="147"/>
      <c r="B403" s="162" t="s">
        <v>502</v>
      </c>
      <c r="C403" s="283" t="s">
        <v>733</v>
      </c>
      <c r="D403" s="284"/>
      <c r="E403" s="196" t="s">
        <v>58</v>
      </c>
      <c r="F403" s="117"/>
      <c r="G403" s="118"/>
      <c r="H403" s="109" t="e">
        <f>VLOOKUP(I403,'공시사항점검표 목차(2023)'!$K$11:$L$73,2,FALSE)</f>
        <v>#N/A</v>
      </c>
      <c r="I403" s="112" t="s">
        <v>1144</v>
      </c>
    </row>
    <row r="404" spans="1:9" ht="28.5">
      <c r="A404" s="282" t="s">
        <v>296</v>
      </c>
      <c r="B404" s="283"/>
      <c r="C404" s="283"/>
      <c r="D404" s="284"/>
      <c r="E404" s="196" t="s">
        <v>59</v>
      </c>
      <c r="F404" s="117"/>
      <c r="G404" s="118"/>
      <c r="H404" s="109" t="e">
        <f>VLOOKUP(I404,'공시사항점검표 목차(2023)'!$K$11:$L$73,2,FALSE)</f>
        <v>#N/A</v>
      </c>
      <c r="I404" s="112" t="s">
        <v>1144</v>
      </c>
    </row>
    <row r="405" spans="1:9" ht="17.45" customHeight="1">
      <c r="A405" s="147"/>
      <c r="B405" s="163" t="s">
        <v>640</v>
      </c>
      <c r="C405" s="283" t="s">
        <v>736</v>
      </c>
      <c r="D405" s="284"/>
      <c r="E405" s="196"/>
      <c r="F405" s="117"/>
      <c r="G405" s="118"/>
      <c r="H405" s="109" t="e">
        <f>VLOOKUP(I405,'공시사항점검표 목차(2023)'!$K$11:$L$73,2,FALSE)</f>
        <v>#N/A</v>
      </c>
      <c r="I405" s="112" t="s">
        <v>1144</v>
      </c>
    </row>
    <row r="406" spans="1:9" ht="17.45" customHeight="1">
      <c r="A406" s="147"/>
      <c r="B406" s="162" t="s">
        <v>482</v>
      </c>
      <c r="C406" s="283" t="s">
        <v>737</v>
      </c>
      <c r="D406" s="284"/>
      <c r="E406" s="196"/>
      <c r="F406" s="117"/>
      <c r="G406" s="118"/>
      <c r="H406" s="109" t="e">
        <f>VLOOKUP(I406,'공시사항점검표 목차(2023)'!$K$11:$L$73,2,FALSE)</f>
        <v>#N/A</v>
      </c>
      <c r="I406" s="112" t="s">
        <v>1144</v>
      </c>
    </row>
    <row r="407" spans="1:9" ht="17.45" customHeight="1">
      <c r="A407" s="147"/>
      <c r="B407" s="162" t="s">
        <v>724</v>
      </c>
      <c r="C407" s="283" t="s">
        <v>738</v>
      </c>
      <c r="D407" s="284"/>
      <c r="E407" s="196"/>
      <c r="F407" s="117"/>
      <c r="G407" s="118"/>
      <c r="H407" s="109" t="e">
        <f>VLOOKUP(I407,'공시사항점검표 목차(2023)'!$K$11:$L$73,2,FALSE)</f>
        <v>#N/A</v>
      </c>
      <c r="I407" s="112" t="s">
        <v>1144</v>
      </c>
    </row>
    <row r="408" spans="1:9" ht="17.45" customHeight="1">
      <c r="A408" s="147"/>
      <c r="B408" s="163" t="s">
        <v>727</v>
      </c>
      <c r="C408" s="283" t="s">
        <v>739</v>
      </c>
      <c r="D408" s="284"/>
      <c r="E408" s="196"/>
      <c r="F408" s="117"/>
      <c r="G408" s="118"/>
      <c r="H408" s="109" t="e">
        <f>VLOOKUP(I408,'공시사항점검표 목차(2023)'!$K$11:$L$73,2,FALSE)</f>
        <v>#N/A</v>
      </c>
      <c r="I408" s="112" t="s">
        <v>1144</v>
      </c>
    </row>
    <row r="409" spans="1:9" ht="17.45" customHeight="1">
      <c r="A409" s="147"/>
      <c r="B409" s="163" t="s">
        <v>735</v>
      </c>
      <c r="C409" s="283" t="s">
        <v>734</v>
      </c>
      <c r="D409" s="284"/>
      <c r="E409" s="196"/>
      <c r="F409" s="117"/>
      <c r="G409" s="118"/>
      <c r="H409" s="109" t="e">
        <f>VLOOKUP(I409,'공시사항점검표 목차(2023)'!$K$11:$L$73,2,FALSE)</f>
        <v>#N/A</v>
      </c>
      <c r="I409" s="112" t="s">
        <v>1144</v>
      </c>
    </row>
    <row r="410" spans="1:9" ht="54.6" customHeight="1">
      <c r="A410" s="282" t="s">
        <v>297</v>
      </c>
      <c r="B410" s="283"/>
      <c r="C410" s="283"/>
      <c r="D410" s="284"/>
      <c r="E410" s="196"/>
      <c r="F410" s="117"/>
      <c r="G410" s="118"/>
      <c r="H410" s="109" t="e">
        <f>VLOOKUP(I410,'공시사항점검표 목차(2023)'!$K$11:$L$73,2,FALSE)</f>
        <v>#N/A</v>
      </c>
      <c r="I410" s="112" t="s">
        <v>1144</v>
      </c>
    </row>
    <row r="411" spans="1:9" ht="28.5">
      <c r="A411" s="147"/>
      <c r="B411" s="163" t="s">
        <v>640</v>
      </c>
      <c r="C411" s="283" t="s">
        <v>740</v>
      </c>
      <c r="D411" s="284"/>
      <c r="E411" s="196" t="s">
        <v>60</v>
      </c>
      <c r="F411" s="117"/>
      <c r="G411" s="118"/>
      <c r="H411" s="109" t="e">
        <f>VLOOKUP(I411,'공시사항점검표 목차(2023)'!$K$11:$L$73,2,FALSE)</f>
        <v>#N/A</v>
      </c>
      <c r="I411" s="112" t="s">
        <v>1144</v>
      </c>
    </row>
    <row r="412" spans="1:9" ht="17.45" customHeight="1">
      <c r="A412" s="147"/>
      <c r="B412" s="162" t="s">
        <v>482</v>
      </c>
      <c r="C412" s="283" t="s">
        <v>741</v>
      </c>
      <c r="D412" s="284"/>
      <c r="E412" s="196"/>
      <c r="F412" s="117"/>
      <c r="G412" s="118"/>
      <c r="H412" s="109" t="e">
        <f>VLOOKUP(I412,'공시사항점검표 목차(2023)'!$K$11:$L$73,2,FALSE)</f>
        <v>#N/A</v>
      </c>
      <c r="I412" s="112" t="s">
        <v>1144</v>
      </c>
    </row>
    <row r="413" spans="1:9" ht="28.5">
      <c r="A413" s="147"/>
      <c r="B413" s="163"/>
      <c r="C413" s="108" t="s">
        <v>717</v>
      </c>
      <c r="D413" s="193" t="s">
        <v>742</v>
      </c>
      <c r="E413" s="196"/>
      <c r="F413" s="117"/>
      <c r="G413" s="118"/>
      <c r="H413" s="109" t="e">
        <f>VLOOKUP(I413,'공시사항점검표 목차(2023)'!$K$11:$L$73,2,FALSE)</f>
        <v>#N/A</v>
      </c>
      <c r="I413" s="112" t="s">
        <v>1144</v>
      </c>
    </row>
    <row r="414" spans="1:9">
      <c r="A414" s="147"/>
      <c r="B414" s="163"/>
      <c r="C414" s="108" t="s">
        <v>454</v>
      </c>
      <c r="D414" s="193" t="s">
        <v>743</v>
      </c>
      <c r="E414" s="196"/>
      <c r="F414" s="117"/>
      <c r="G414" s="118"/>
      <c r="H414" s="109" t="e">
        <f>VLOOKUP(I414,'공시사항점검표 목차(2023)'!$K$11:$L$73,2,FALSE)</f>
        <v>#N/A</v>
      </c>
      <c r="I414" s="112" t="s">
        <v>1144</v>
      </c>
    </row>
    <row r="415" spans="1:9" ht="17.45" customHeight="1">
      <c r="A415" s="147"/>
      <c r="B415" s="162" t="s">
        <v>724</v>
      </c>
      <c r="C415" s="283" t="s">
        <v>744</v>
      </c>
      <c r="D415" s="284"/>
      <c r="E415" s="196"/>
      <c r="F415" s="117"/>
      <c r="G415" s="118"/>
      <c r="H415" s="109" t="e">
        <f>VLOOKUP(I415,'공시사항점검표 목차(2023)'!$K$11:$L$73,2,FALSE)</f>
        <v>#N/A</v>
      </c>
      <c r="I415" s="112" t="s">
        <v>1144</v>
      </c>
    </row>
    <row r="416" spans="1:9" ht="17.45" customHeight="1">
      <c r="A416" s="147"/>
      <c r="B416" s="163" t="s">
        <v>727</v>
      </c>
      <c r="C416" s="283" t="s">
        <v>745</v>
      </c>
      <c r="D416" s="284"/>
      <c r="E416" s="196"/>
      <c r="F416" s="117"/>
      <c r="G416" s="118"/>
      <c r="H416" s="109" t="e">
        <f>VLOOKUP(I416,'공시사항점검표 목차(2023)'!$K$11:$L$73,2,FALSE)</f>
        <v>#N/A</v>
      </c>
      <c r="I416" s="112" t="s">
        <v>1144</v>
      </c>
    </row>
    <row r="417" spans="1:9" ht="28.5">
      <c r="A417" s="282" t="s">
        <v>298</v>
      </c>
      <c r="B417" s="283"/>
      <c r="C417" s="283"/>
      <c r="D417" s="284"/>
      <c r="E417" s="196" t="s">
        <v>61</v>
      </c>
      <c r="F417" s="132"/>
      <c r="G417" s="118"/>
      <c r="H417" s="109" t="e">
        <f>VLOOKUP(I417,'공시사항점검표 목차(2023)'!$K$11:$L$73,2,FALSE)</f>
        <v>#N/A</v>
      </c>
      <c r="I417" s="112" t="s">
        <v>1144</v>
      </c>
    </row>
    <row r="418" spans="1:9" ht="17.45" customHeight="1">
      <c r="A418" s="147"/>
      <c r="B418" s="163" t="s">
        <v>640</v>
      </c>
      <c r="C418" s="283" t="s">
        <v>749</v>
      </c>
      <c r="D418" s="284"/>
      <c r="E418" s="196"/>
      <c r="F418" s="117"/>
      <c r="G418" s="118"/>
      <c r="H418" s="109" t="e">
        <f>VLOOKUP(I418,'공시사항점검표 목차(2023)'!$K$11:$L$73,2,FALSE)</f>
        <v>#N/A</v>
      </c>
      <c r="I418" s="112" t="s">
        <v>1144</v>
      </c>
    </row>
    <row r="419" spans="1:9" ht="36.6" customHeight="1">
      <c r="A419" s="147"/>
      <c r="B419" s="162" t="s">
        <v>482</v>
      </c>
      <c r="C419" s="283" t="s">
        <v>750</v>
      </c>
      <c r="D419" s="284"/>
      <c r="E419" s="196"/>
      <c r="F419" s="117"/>
      <c r="G419" s="118"/>
      <c r="H419" s="109" t="e">
        <f>VLOOKUP(I419,'공시사항점검표 목차(2023)'!$K$11:$L$73,2,FALSE)</f>
        <v>#N/A</v>
      </c>
      <c r="I419" s="112" t="s">
        <v>1144</v>
      </c>
    </row>
    <row r="420" spans="1:9" ht="17.45" customHeight="1">
      <c r="A420" s="147"/>
      <c r="B420" s="162" t="s">
        <v>724</v>
      </c>
      <c r="C420" s="283" t="s">
        <v>751</v>
      </c>
      <c r="D420" s="284"/>
      <c r="E420" s="196"/>
      <c r="F420" s="117"/>
      <c r="G420" s="118"/>
      <c r="H420" s="109" t="e">
        <f>VLOOKUP(I420,'공시사항점검표 목차(2023)'!$K$11:$L$73,2,FALSE)</f>
        <v>#N/A</v>
      </c>
      <c r="I420" s="112" t="s">
        <v>1144</v>
      </c>
    </row>
    <row r="421" spans="1:9" ht="17.45" customHeight="1">
      <c r="A421" s="147"/>
      <c r="B421" s="163" t="s">
        <v>727</v>
      </c>
      <c r="C421" s="283" t="s">
        <v>752</v>
      </c>
      <c r="D421" s="284"/>
      <c r="E421" s="196"/>
      <c r="F421" s="117"/>
      <c r="G421" s="118"/>
      <c r="H421" s="109" t="e">
        <f>VLOOKUP(I421,'공시사항점검표 목차(2023)'!$K$11:$L$73,2,FALSE)</f>
        <v>#N/A</v>
      </c>
      <c r="I421" s="112" t="s">
        <v>1144</v>
      </c>
    </row>
    <row r="422" spans="1:9" ht="17.45" customHeight="1">
      <c r="A422" s="147"/>
      <c r="B422" s="163" t="s">
        <v>735</v>
      </c>
      <c r="C422" s="283" t="s">
        <v>753</v>
      </c>
      <c r="D422" s="284"/>
      <c r="E422" s="146"/>
      <c r="F422" s="117"/>
      <c r="G422" s="118"/>
      <c r="H422" s="109" t="e">
        <f>VLOOKUP(I422,'공시사항점검표 목차(2023)'!$K$11:$L$73,2,FALSE)</f>
        <v>#N/A</v>
      </c>
      <c r="I422" s="112" t="s">
        <v>1144</v>
      </c>
    </row>
    <row r="423" spans="1:9" ht="17.45" customHeight="1">
      <c r="A423" s="147"/>
      <c r="B423" s="163" t="s">
        <v>612</v>
      </c>
      <c r="C423" s="283" t="s">
        <v>746</v>
      </c>
      <c r="D423" s="284"/>
      <c r="E423" s="196"/>
      <c r="F423" s="117"/>
      <c r="G423" s="118"/>
      <c r="H423" s="109" t="e">
        <f>VLOOKUP(I423,'공시사항점검표 목차(2023)'!$K$11:$L$73,2,FALSE)</f>
        <v>#N/A</v>
      </c>
      <c r="I423" s="112" t="s">
        <v>1144</v>
      </c>
    </row>
    <row r="424" spans="1:9" ht="17.45" customHeight="1">
      <c r="A424" s="147"/>
      <c r="B424" s="163" t="s">
        <v>748</v>
      </c>
      <c r="C424" s="283" t="s">
        <v>747</v>
      </c>
      <c r="D424" s="284"/>
      <c r="E424" s="196"/>
      <c r="F424" s="117"/>
      <c r="G424" s="118"/>
      <c r="H424" s="109" t="e">
        <f>VLOOKUP(I424,'공시사항점검표 목차(2023)'!$K$11:$L$73,2,FALSE)</f>
        <v>#N/A</v>
      </c>
      <c r="I424" s="112" t="s">
        <v>1144</v>
      </c>
    </row>
    <row r="425" spans="1:9" ht="28.5">
      <c r="A425" s="282" t="s">
        <v>299</v>
      </c>
      <c r="B425" s="283"/>
      <c r="C425" s="283"/>
      <c r="D425" s="284"/>
      <c r="E425" s="196" t="s">
        <v>62</v>
      </c>
      <c r="F425" s="117"/>
      <c r="G425" s="118"/>
      <c r="H425" s="109" t="e">
        <f>VLOOKUP(I425,'공시사항점검표 목차(2023)'!$K$11:$L$73,2,FALSE)</f>
        <v>#N/A</v>
      </c>
      <c r="I425" s="112" t="s">
        <v>1144</v>
      </c>
    </row>
    <row r="426" spans="1:9" ht="17.45" customHeight="1">
      <c r="A426" s="147"/>
      <c r="B426" s="163" t="s">
        <v>640</v>
      </c>
      <c r="C426" s="283" t="s">
        <v>758</v>
      </c>
      <c r="D426" s="284"/>
      <c r="E426" s="196"/>
      <c r="F426" s="117"/>
      <c r="G426" s="118"/>
      <c r="H426" s="109" t="e">
        <f>VLOOKUP(I426,'공시사항점검표 목차(2023)'!$K$11:$L$73,2,FALSE)</f>
        <v>#N/A</v>
      </c>
      <c r="I426" s="112" t="s">
        <v>1144</v>
      </c>
    </row>
    <row r="427" spans="1:9" ht="17.45" customHeight="1">
      <c r="A427" s="147"/>
      <c r="B427" s="162" t="s">
        <v>482</v>
      </c>
      <c r="C427" s="283" t="s">
        <v>761</v>
      </c>
      <c r="D427" s="284"/>
      <c r="E427" s="196"/>
      <c r="F427" s="117"/>
      <c r="G427" s="118"/>
      <c r="H427" s="109" t="e">
        <f>VLOOKUP(I427,'공시사항점검표 목차(2023)'!$K$11:$L$73,2,FALSE)</f>
        <v>#N/A</v>
      </c>
      <c r="I427" s="112" t="s">
        <v>1144</v>
      </c>
    </row>
    <row r="428" spans="1:9" ht="17.45" customHeight="1">
      <c r="A428" s="147"/>
      <c r="B428" s="162" t="s">
        <v>724</v>
      </c>
      <c r="C428" s="283" t="s">
        <v>762</v>
      </c>
      <c r="D428" s="284"/>
      <c r="E428" s="196"/>
      <c r="F428" s="117"/>
      <c r="G428" s="118"/>
      <c r="H428" s="109" t="e">
        <f>VLOOKUP(I428,'공시사항점검표 목차(2023)'!$K$11:$L$73,2,FALSE)</f>
        <v>#N/A</v>
      </c>
      <c r="I428" s="112" t="s">
        <v>1144</v>
      </c>
    </row>
    <row r="429" spans="1:9" ht="17.45" customHeight="1">
      <c r="A429" s="147"/>
      <c r="B429" s="163" t="s">
        <v>727</v>
      </c>
      <c r="C429" s="283" t="s">
        <v>763</v>
      </c>
      <c r="D429" s="284"/>
      <c r="E429" s="196"/>
      <c r="F429" s="117"/>
      <c r="G429" s="118"/>
      <c r="H429" s="109" t="e">
        <f>VLOOKUP(I429,'공시사항점검표 목차(2023)'!$K$11:$L$73,2,FALSE)</f>
        <v>#N/A</v>
      </c>
      <c r="I429" s="112" t="s">
        <v>1144</v>
      </c>
    </row>
    <row r="430" spans="1:9" ht="17.45" customHeight="1">
      <c r="A430" s="147"/>
      <c r="B430" s="163" t="s">
        <v>735</v>
      </c>
      <c r="C430" s="283" t="s">
        <v>764</v>
      </c>
      <c r="D430" s="284"/>
      <c r="E430" s="196"/>
      <c r="F430" s="117"/>
      <c r="G430" s="118"/>
      <c r="H430" s="109" t="e">
        <f>VLOOKUP(I430,'공시사항점검표 목차(2023)'!$K$11:$L$73,2,FALSE)</f>
        <v>#N/A</v>
      </c>
      <c r="I430" s="112" t="s">
        <v>1144</v>
      </c>
    </row>
    <row r="431" spans="1:9" ht="17.45" customHeight="1">
      <c r="A431" s="147"/>
      <c r="B431" s="163" t="s">
        <v>612</v>
      </c>
      <c r="C431" s="283" t="s">
        <v>765</v>
      </c>
      <c r="D431" s="284"/>
      <c r="E431" s="196"/>
      <c r="F431" s="117"/>
      <c r="G431" s="118"/>
      <c r="H431" s="109" t="e">
        <f>VLOOKUP(I431,'공시사항점검표 목차(2023)'!$K$11:$L$73,2,FALSE)</f>
        <v>#N/A</v>
      </c>
      <c r="I431" s="112" t="s">
        <v>1144</v>
      </c>
    </row>
    <row r="432" spans="1:9" ht="17.45" customHeight="1">
      <c r="A432" s="147"/>
      <c r="B432" s="163" t="s">
        <v>748</v>
      </c>
      <c r="C432" s="283" t="s">
        <v>766</v>
      </c>
      <c r="D432" s="284"/>
      <c r="E432" s="196"/>
      <c r="F432" s="117"/>
      <c r="G432" s="118"/>
      <c r="H432" s="109" t="e">
        <f>VLOOKUP(I432,'공시사항점검표 목차(2023)'!$K$11:$L$73,2,FALSE)</f>
        <v>#N/A</v>
      </c>
      <c r="I432" s="112" t="s">
        <v>1144</v>
      </c>
    </row>
    <row r="433" spans="1:9" ht="17.45" customHeight="1">
      <c r="A433" s="147"/>
      <c r="B433" s="163" t="s">
        <v>755</v>
      </c>
      <c r="C433" s="283" t="s">
        <v>754</v>
      </c>
      <c r="D433" s="284"/>
      <c r="E433" s="196"/>
      <c r="F433" s="117"/>
      <c r="G433" s="118"/>
      <c r="H433" s="109" t="e">
        <f>VLOOKUP(I433,'공시사항점검표 목차(2023)'!$K$11:$L$73,2,FALSE)</f>
        <v>#N/A</v>
      </c>
      <c r="I433" s="112" t="s">
        <v>1144</v>
      </c>
    </row>
    <row r="434" spans="1:9" ht="34.15" customHeight="1">
      <c r="A434" s="147"/>
      <c r="B434" s="163" t="s">
        <v>756</v>
      </c>
      <c r="C434" s="283" t="s">
        <v>767</v>
      </c>
      <c r="D434" s="284"/>
      <c r="E434" s="196"/>
      <c r="F434" s="117"/>
      <c r="G434" s="118"/>
      <c r="H434" s="109" t="e">
        <f>VLOOKUP(I434,'공시사항점검표 목차(2023)'!$K$11:$L$73,2,FALSE)</f>
        <v>#N/A</v>
      </c>
      <c r="I434" s="112" t="s">
        <v>1144</v>
      </c>
    </row>
    <row r="435" spans="1:9" ht="35.450000000000003" customHeight="1">
      <c r="A435" s="147"/>
      <c r="B435" s="163" t="s">
        <v>757</v>
      </c>
      <c r="C435" s="283" t="s">
        <v>768</v>
      </c>
      <c r="D435" s="284"/>
      <c r="E435" s="196"/>
      <c r="F435" s="117"/>
      <c r="G435" s="118"/>
      <c r="H435" s="109" t="e">
        <f>VLOOKUP(I435,'공시사항점검표 목차(2023)'!$K$11:$L$73,2,FALSE)</f>
        <v>#N/A</v>
      </c>
      <c r="I435" s="112" t="s">
        <v>1144</v>
      </c>
    </row>
    <row r="436" spans="1:9" ht="51.6" customHeight="1">
      <c r="A436" s="285" t="s">
        <v>759</v>
      </c>
      <c r="B436" s="286"/>
      <c r="C436" s="286"/>
      <c r="D436" s="287"/>
      <c r="E436" s="197" t="s">
        <v>760</v>
      </c>
      <c r="F436" s="126"/>
      <c r="G436" s="127"/>
      <c r="H436" s="109" t="e">
        <f>VLOOKUP(I436,'공시사항점검표 목차(2023)'!$K$11:$L$73,2,FALSE)</f>
        <v>#N/A</v>
      </c>
      <c r="I436" s="112" t="s">
        <v>1144</v>
      </c>
    </row>
    <row r="437" spans="1:9" ht="26.45" customHeight="1">
      <c r="A437" s="111" t="s">
        <v>769</v>
      </c>
      <c r="H437" s="109" t="e">
        <f>VLOOKUP(I437,'공시사항점검표 목차(2023)'!$K$11:$L$73,2,FALSE)</f>
        <v>#N/A</v>
      </c>
      <c r="I437" s="112" t="s">
        <v>1145</v>
      </c>
    </row>
    <row r="438" spans="1:9" ht="26.45" customHeight="1">
      <c r="A438" s="269" t="s">
        <v>360</v>
      </c>
      <c r="B438" s="270"/>
      <c r="C438" s="270"/>
      <c r="D438" s="271"/>
      <c r="E438" s="114" t="s">
        <v>157</v>
      </c>
      <c r="F438" s="102" t="s">
        <v>301</v>
      </c>
      <c r="G438" s="114" t="s">
        <v>0</v>
      </c>
      <c r="H438" s="109" t="e">
        <f>VLOOKUP(I438,'공시사항점검표 목차(2023)'!$K$11:$L$73,2,FALSE)</f>
        <v>#N/A</v>
      </c>
      <c r="I438" s="112" t="s">
        <v>1145</v>
      </c>
    </row>
    <row r="439" spans="1:9" ht="28.5">
      <c r="A439" s="279" t="s">
        <v>64</v>
      </c>
      <c r="B439" s="280"/>
      <c r="C439" s="280"/>
      <c r="D439" s="281"/>
      <c r="E439" s="196" t="s">
        <v>63</v>
      </c>
      <c r="F439" s="117"/>
      <c r="G439" s="118"/>
      <c r="H439" s="109" t="e">
        <f>VLOOKUP(I439,'공시사항점검표 목차(2023)'!$K$11:$L$73,2,FALSE)</f>
        <v>#N/A</v>
      </c>
      <c r="I439" s="112" t="s">
        <v>1145</v>
      </c>
    </row>
    <row r="440" spans="1:9" ht="35.450000000000003" customHeight="1">
      <c r="A440" s="282" t="s">
        <v>770</v>
      </c>
      <c r="B440" s="283"/>
      <c r="C440" s="283"/>
      <c r="D440" s="284"/>
      <c r="E440" s="196" t="s">
        <v>65</v>
      </c>
      <c r="F440" s="117"/>
      <c r="G440" s="118"/>
      <c r="H440" s="109" t="e">
        <f>VLOOKUP(I440,'공시사항점검표 목차(2023)'!$K$11:$L$73,2,FALSE)</f>
        <v>#N/A</v>
      </c>
      <c r="I440" s="112" t="s">
        <v>1145</v>
      </c>
    </row>
    <row r="441" spans="1:9" ht="55.15" customHeight="1">
      <c r="A441" s="282" t="s">
        <v>314</v>
      </c>
      <c r="B441" s="283"/>
      <c r="C441" s="283"/>
      <c r="D441" s="284"/>
      <c r="E441" s="196" t="s">
        <v>66</v>
      </c>
      <c r="F441" s="117"/>
      <c r="G441" s="118"/>
      <c r="H441" s="109" t="e">
        <f>VLOOKUP(I441,'공시사항점검표 목차(2023)'!$K$11:$L$73,2,FALSE)</f>
        <v>#N/A</v>
      </c>
      <c r="I441" s="112" t="s">
        <v>1145</v>
      </c>
    </row>
    <row r="442" spans="1:9" ht="28.5">
      <c r="A442" s="282" t="s">
        <v>68</v>
      </c>
      <c r="B442" s="283"/>
      <c r="C442" s="283"/>
      <c r="D442" s="284"/>
      <c r="E442" s="196" t="s">
        <v>67</v>
      </c>
      <c r="F442" s="117"/>
      <c r="G442" s="118"/>
      <c r="H442" s="109" t="e">
        <f>VLOOKUP(I442,'공시사항점검표 목차(2023)'!$K$11:$L$73,2,FALSE)</f>
        <v>#N/A</v>
      </c>
      <c r="I442" s="112" t="s">
        <v>1145</v>
      </c>
    </row>
    <row r="443" spans="1:9" ht="17.45" customHeight="1">
      <c r="A443" s="147"/>
      <c r="B443" s="163" t="s">
        <v>640</v>
      </c>
      <c r="C443" s="283" t="s">
        <v>771</v>
      </c>
      <c r="D443" s="284"/>
      <c r="E443" s="196"/>
      <c r="F443" s="117"/>
      <c r="G443" s="118"/>
      <c r="H443" s="109" t="e">
        <f>VLOOKUP(I443,'공시사항점검표 목차(2023)'!$K$11:$L$73,2,FALSE)</f>
        <v>#N/A</v>
      </c>
      <c r="I443" s="112" t="s">
        <v>1145</v>
      </c>
    </row>
    <row r="444" spans="1:9" ht="37.15" customHeight="1">
      <c r="A444" s="147"/>
      <c r="B444" s="162" t="s">
        <v>482</v>
      </c>
      <c r="C444" s="283" t="s">
        <v>772</v>
      </c>
      <c r="D444" s="284"/>
      <c r="E444" s="196"/>
      <c r="F444" s="117"/>
      <c r="G444" s="118"/>
      <c r="H444" s="109" t="e">
        <f>VLOOKUP(I444,'공시사항점검표 목차(2023)'!$K$11:$L$73,2,FALSE)</f>
        <v>#N/A</v>
      </c>
      <c r="I444" s="112" t="s">
        <v>1145</v>
      </c>
    </row>
    <row r="445" spans="1:9" ht="17.45" customHeight="1">
      <c r="A445" s="147"/>
      <c r="B445" s="162" t="s">
        <v>724</v>
      </c>
      <c r="C445" s="283" t="s">
        <v>773</v>
      </c>
      <c r="D445" s="284"/>
      <c r="E445" s="146"/>
      <c r="F445" s="132"/>
      <c r="G445" s="118"/>
      <c r="H445" s="109" t="e">
        <f>VLOOKUP(I445,'공시사항점검표 목차(2023)'!$K$11:$L$73,2,FALSE)</f>
        <v>#N/A</v>
      </c>
      <c r="I445" s="112" t="s">
        <v>1145</v>
      </c>
    </row>
    <row r="446" spans="1:9" ht="17.45" customHeight="1">
      <c r="A446" s="147"/>
      <c r="B446" s="163" t="s">
        <v>727</v>
      </c>
      <c r="C446" s="283" t="s">
        <v>774</v>
      </c>
      <c r="D446" s="284"/>
      <c r="E446" s="146"/>
      <c r="F446" s="117"/>
      <c r="G446" s="118"/>
      <c r="H446" s="109" t="e">
        <f>VLOOKUP(I446,'공시사항점검표 목차(2023)'!$K$11:$L$73,2,FALSE)</f>
        <v>#N/A</v>
      </c>
      <c r="I446" s="112" t="s">
        <v>1145</v>
      </c>
    </row>
    <row r="447" spans="1:9" ht="17.45" customHeight="1">
      <c r="A447" s="147"/>
      <c r="B447" s="163" t="s">
        <v>735</v>
      </c>
      <c r="C447" s="283" t="s">
        <v>775</v>
      </c>
      <c r="D447" s="284"/>
      <c r="E447" s="196"/>
      <c r="F447" s="117"/>
      <c r="G447" s="118"/>
      <c r="H447" s="109" t="e">
        <f>VLOOKUP(I447,'공시사항점검표 목차(2023)'!$K$11:$L$73,2,FALSE)</f>
        <v>#N/A</v>
      </c>
      <c r="I447" s="112" t="s">
        <v>1145</v>
      </c>
    </row>
    <row r="448" spans="1:9" ht="17.45" customHeight="1">
      <c r="A448" s="147"/>
      <c r="B448" s="163" t="s">
        <v>612</v>
      </c>
      <c r="C448" s="283" t="s">
        <v>776</v>
      </c>
      <c r="D448" s="284"/>
      <c r="E448" s="196"/>
      <c r="F448" s="117"/>
      <c r="G448" s="118"/>
      <c r="H448" s="109" t="e">
        <f>VLOOKUP(I448,'공시사항점검표 목차(2023)'!$K$11:$L$73,2,FALSE)</f>
        <v>#N/A</v>
      </c>
      <c r="I448" s="112" t="s">
        <v>1145</v>
      </c>
    </row>
    <row r="449" spans="1:9" ht="17.45" customHeight="1">
      <c r="A449" s="147"/>
      <c r="B449" s="163" t="s">
        <v>748</v>
      </c>
      <c r="C449" s="283" t="s">
        <v>777</v>
      </c>
      <c r="D449" s="284"/>
      <c r="E449" s="146"/>
      <c r="F449" s="117"/>
      <c r="G449" s="118"/>
      <c r="H449" s="109" t="e">
        <f>VLOOKUP(I449,'공시사항점검표 목차(2023)'!$K$11:$L$73,2,FALSE)</f>
        <v>#N/A</v>
      </c>
      <c r="I449" s="112" t="s">
        <v>1145</v>
      </c>
    </row>
    <row r="450" spans="1:9" ht="36.6" customHeight="1">
      <c r="A450" s="147"/>
      <c r="B450" s="162" t="s">
        <v>1083</v>
      </c>
      <c r="C450" s="283" t="s">
        <v>778</v>
      </c>
      <c r="D450" s="284"/>
      <c r="E450" s="196"/>
      <c r="F450" s="117"/>
      <c r="G450" s="118"/>
      <c r="H450" s="109" t="e">
        <f>VLOOKUP(I450,'공시사항점검표 목차(2023)'!$K$11:$L$73,2,FALSE)</f>
        <v>#N/A</v>
      </c>
      <c r="I450" s="112" t="s">
        <v>1145</v>
      </c>
    </row>
    <row r="451" spans="1:9">
      <c r="A451" s="147"/>
      <c r="B451" s="163" t="s">
        <v>756</v>
      </c>
      <c r="C451" s="283" t="s">
        <v>779</v>
      </c>
      <c r="D451" s="284"/>
      <c r="E451" s="196"/>
      <c r="F451" s="117"/>
      <c r="G451" s="118"/>
      <c r="H451" s="109" t="e">
        <f>VLOOKUP(I451,'공시사항점검표 목차(2023)'!$K$11:$L$73,2,FALSE)</f>
        <v>#N/A</v>
      </c>
      <c r="I451" s="112" t="s">
        <v>1145</v>
      </c>
    </row>
    <row r="452" spans="1:9" ht="17.45" customHeight="1">
      <c r="A452" s="147"/>
      <c r="B452" s="163" t="s">
        <v>757</v>
      </c>
      <c r="C452" s="283" t="s">
        <v>780</v>
      </c>
      <c r="D452" s="284"/>
      <c r="E452" s="146"/>
      <c r="F452" s="117"/>
      <c r="G452" s="118"/>
      <c r="H452" s="109" t="e">
        <f>VLOOKUP(I452,'공시사항점검표 목차(2023)'!$K$11:$L$73,2,FALSE)</f>
        <v>#N/A</v>
      </c>
      <c r="I452" s="112" t="s">
        <v>1145</v>
      </c>
    </row>
    <row r="453" spans="1:9" ht="28.5">
      <c r="A453" s="282" t="s">
        <v>70</v>
      </c>
      <c r="B453" s="283"/>
      <c r="C453" s="283"/>
      <c r="D453" s="284"/>
      <c r="E453" s="196" t="s">
        <v>69</v>
      </c>
      <c r="F453" s="117"/>
      <c r="G453" s="118"/>
      <c r="H453" s="109" t="e">
        <f>VLOOKUP(I453,'공시사항점검표 목차(2023)'!$K$11:$L$73,2,FALSE)</f>
        <v>#N/A</v>
      </c>
      <c r="I453" s="112" t="s">
        <v>1145</v>
      </c>
    </row>
    <row r="454" spans="1:9" ht="17.45" customHeight="1">
      <c r="A454" s="147"/>
      <c r="B454" s="163" t="s">
        <v>640</v>
      </c>
      <c r="C454" s="283" t="s">
        <v>781</v>
      </c>
      <c r="D454" s="284"/>
      <c r="E454" s="196"/>
      <c r="F454" s="117"/>
      <c r="G454" s="118"/>
      <c r="H454" s="109" t="e">
        <f>VLOOKUP(I454,'공시사항점검표 목차(2023)'!$K$11:$L$73,2,FALSE)</f>
        <v>#N/A</v>
      </c>
      <c r="I454" s="112" t="s">
        <v>1145</v>
      </c>
    </row>
    <row r="455" spans="1:9" ht="35.450000000000003" customHeight="1">
      <c r="A455" s="147"/>
      <c r="B455" s="162" t="s">
        <v>482</v>
      </c>
      <c r="C455" s="283" t="s">
        <v>782</v>
      </c>
      <c r="D455" s="284"/>
      <c r="E455" s="196"/>
      <c r="F455" s="117"/>
      <c r="G455" s="118"/>
      <c r="H455" s="109" t="e">
        <f>VLOOKUP(I455,'공시사항점검표 목차(2023)'!$K$11:$L$73,2,FALSE)</f>
        <v>#N/A</v>
      </c>
      <c r="I455" s="112" t="s">
        <v>1145</v>
      </c>
    </row>
    <row r="456" spans="1:9" ht="28.5">
      <c r="A456" s="282" t="s">
        <v>72</v>
      </c>
      <c r="B456" s="283"/>
      <c r="C456" s="283"/>
      <c r="D456" s="284"/>
      <c r="E456" s="196" t="s">
        <v>71</v>
      </c>
      <c r="F456" s="117"/>
      <c r="G456" s="118"/>
      <c r="H456" s="109" t="e">
        <f>VLOOKUP(I456,'공시사항점검표 목차(2023)'!$K$11:$L$73,2,FALSE)</f>
        <v>#N/A</v>
      </c>
      <c r="I456" s="112" t="s">
        <v>1145</v>
      </c>
    </row>
    <row r="457" spans="1:9" ht="17.45" customHeight="1">
      <c r="A457" s="147"/>
      <c r="B457" s="163" t="s">
        <v>640</v>
      </c>
      <c r="C457" s="283" t="s">
        <v>785</v>
      </c>
      <c r="D457" s="284"/>
      <c r="E457" s="196"/>
      <c r="F457" s="117"/>
      <c r="G457" s="118"/>
      <c r="H457" s="109" t="e">
        <f>VLOOKUP(I457,'공시사항점검표 목차(2023)'!$K$11:$L$73,2,FALSE)</f>
        <v>#N/A</v>
      </c>
      <c r="I457" s="112" t="s">
        <v>1145</v>
      </c>
    </row>
    <row r="458" spans="1:9" ht="17.45" customHeight="1">
      <c r="A458" s="147"/>
      <c r="B458" s="162" t="s">
        <v>482</v>
      </c>
      <c r="C458" s="283" t="s">
        <v>784</v>
      </c>
      <c r="D458" s="284"/>
      <c r="E458" s="196"/>
      <c r="F458" s="117"/>
      <c r="G458" s="118"/>
      <c r="H458" s="109" t="e">
        <f>VLOOKUP(I458,'공시사항점검표 목차(2023)'!$K$11:$L$73,2,FALSE)</f>
        <v>#N/A</v>
      </c>
      <c r="I458" s="112" t="s">
        <v>1145</v>
      </c>
    </row>
    <row r="459" spans="1:9" ht="34.9" customHeight="1">
      <c r="A459" s="148"/>
      <c r="B459" s="165" t="s">
        <v>448</v>
      </c>
      <c r="C459" s="286" t="s">
        <v>783</v>
      </c>
      <c r="D459" s="287"/>
      <c r="E459" s="171"/>
      <c r="F459" s="126"/>
      <c r="G459" s="127"/>
      <c r="H459" s="109" t="e">
        <f>VLOOKUP(I459,'공시사항점검표 목차(2023)'!$K$11:$L$73,2,FALSE)</f>
        <v>#N/A</v>
      </c>
      <c r="I459" s="112" t="s">
        <v>1145</v>
      </c>
    </row>
    <row r="460" spans="1:9" ht="26.45" customHeight="1">
      <c r="A460" s="111" t="s">
        <v>786</v>
      </c>
      <c r="H460" s="109" t="e">
        <f>VLOOKUP(I460,'공시사항점검표 목차(2023)'!$K$11:$L$73,2,FALSE)</f>
        <v>#N/A</v>
      </c>
      <c r="I460" s="112" t="s">
        <v>1146</v>
      </c>
    </row>
    <row r="461" spans="1:9" ht="26.45" customHeight="1">
      <c r="A461" s="269" t="s">
        <v>360</v>
      </c>
      <c r="B461" s="270"/>
      <c r="C461" s="270"/>
      <c r="D461" s="271"/>
      <c r="E461" s="114" t="s">
        <v>157</v>
      </c>
      <c r="F461" s="102" t="s">
        <v>301</v>
      </c>
      <c r="G461" s="114" t="s">
        <v>0</v>
      </c>
      <c r="H461" s="109" t="e">
        <f>VLOOKUP(I461,'공시사항점검표 목차(2023)'!$K$11:$L$73,2,FALSE)</f>
        <v>#N/A</v>
      </c>
      <c r="I461" s="112" t="s">
        <v>1146</v>
      </c>
    </row>
    <row r="462" spans="1:9" ht="72.599999999999994" customHeight="1">
      <c r="A462" s="279" t="s">
        <v>788</v>
      </c>
      <c r="B462" s="280"/>
      <c r="C462" s="280"/>
      <c r="D462" s="281"/>
      <c r="E462" s="196" t="s">
        <v>123</v>
      </c>
      <c r="F462" s="117"/>
      <c r="G462" s="118"/>
      <c r="H462" s="109" t="e">
        <f>VLOOKUP(I462,'공시사항점검표 목차(2023)'!$K$11:$L$73,2,FALSE)</f>
        <v>#N/A</v>
      </c>
      <c r="I462" s="112" t="s">
        <v>1146</v>
      </c>
    </row>
    <row r="463" spans="1:9" ht="28.5">
      <c r="A463" s="282" t="s">
        <v>105</v>
      </c>
      <c r="B463" s="283"/>
      <c r="C463" s="283"/>
      <c r="D463" s="284"/>
      <c r="E463" s="196" t="s">
        <v>57</v>
      </c>
      <c r="F463" s="117"/>
      <c r="G463" s="118"/>
      <c r="H463" s="109" t="e">
        <f>VLOOKUP(I463,'공시사항점검표 목차(2023)'!$K$11:$L$73,2,FALSE)</f>
        <v>#N/A</v>
      </c>
      <c r="I463" s="112" t="s">
        <v>1146</v>
      </c>
    </row>
    <row r="464" spans="1:9" ht="33" customHeight="1">
      <c r="A464" s="282" t="s">
        <v>120</v>
      </c>
      <c r="B464" s="283"/>
      <c r="C464" s="283"/>
      <c r="D464" s="284"/>
      <c r="E464" s="196" t="s">
        <v>119</v>
      </c>
      <c r="F464" s="117"/>
      <c r="G464" s="118"/>
      <c r="H464" s="109" t="e">
        <f>VLOOKUP(I464,'공시사항점검표 목차(2023)'!$K$11:$L$73,2,FALSE)</f>
        <v>#N/A</v>
      </c>
      <c r="I464" s="112" t="s">
        <v>1146</v>
      </c>
    </row>
    <row r="465" spans="1:9" ht="51" customHeight="1">
      <c r="A465" s="285" t="s">
        <v>787</v>
      </c>
      <c r="B465" s="286"/>
      <c r="C465" s="286"/>
      <c r="D465" s="287"/>
      <c r="E465" s="197" t="s">
        <v>121</v>
      </c>
      <c r="F465" s="126"/>
      <c r="G465" s="127"/>
      <c r="H465" s="109" t="e">
        <f>VLOOKUP(I465,'공시사항점검표 목차(2023)'!$K$11:$L$73,2,FALSE)</f>
        <v>#N/A</v>
      </c>
      <c r="I465" s="112" t="s">
        <v>1146</v>
      </c>
    </row>
    <row r="466" spans="1:9" ht="26.45" customHeight="1">
      <c r="A466" s="111" t="s">
        <v>789</v>
      </c>
      <c r="H466" s="109" t="e">
        <f>VLOOKUP(I466,'공시사항점검표 목차(2023)'!$K$11:$L$73,2,FALSE)</f>
        <v>#N/A</v>
      </c>
      <c r="I466" s="112" t="s">
        <v>1147</v>
      </c>
    </row>
    <row r="467" spans="1:9" ht="26.45" customHeight="1">
      <c r="A467" s="111" t="s">
        <v>790</v>
      </c>
      <c r="H467" s="109" t="e">
        <f>VLOOKUP(I467,'공시사항점검표 목차(2023)'!$K$11:$L$73,2,FALSE)</f>
        <v>#N/A</v>
      </c>
      <c r="I467" s="112" t="s">
        <v>1148</v>
      </c>
    </row>
    <row r="468" spans="1:9" ht="26.45" customHeight="1">
      <c r="A468" s="269" t="s">
        <v>360</v>
      </c>
      <c r="B468" s="270"/>
      <c r="C468" s="270"/>
      <c r="D468" s="271"/>
      <c r="E468" s="114" t="s">
        <v>157</v>
      </c>
      <c r="F468" s="102" t="s">
        <v>301</v>
      </c>
      <c r="G468" s="114" t="s">
        <v>0</v>
      </c>
      <c r="H468" s="109" t="e">
        <f>VLOOKUP(I468,'공시사항점검표 목차(2023)'!$K$11:$L$73,2,FALSE)</f>
        <v>#N/A</v>
      </c>
      <c r="I468" s="112" t="s">
        <v>1148</v>
      </c>
    </row>
    <row r="469" spans="1:9" ht="28.5">
      <c r="A469" s="279" t="s">
        <v>74</v>
      </c>
      <c r="B469" s="280"/>
      <c r="C469" s="280"/>
      <c r="D469" s="281"/>
      <c r="E469" s="196" t="s">
        <v>73</v>
      </c>
      <c r="F469" s="117"/>
      <c r="G469" s="118"/>
      <c r="H469" s="109" t="e">
        <f>VLOOKUP(I469,'공시사항점검표 목차(2023)'!$K$11:$L$73,2,FALSE)</f>
        <v>#N/A</v>
      </c>
      <c r="I469" s="112" t="s">
        <v>1148</v>
      </c>
    </row>
    <row r="470" spans="1:9" ht="17.45" customHeight="1">
      <c r="A470" s="147"/>
      <c r="B470" s="163" t="s">
        <v>640</v>
      </c>
      <c r="C470" s="283" t="s">
        <v>791</v>
      </c>
      <c r="D470" s="284"/>
      <c r="E470" s="196"/>
      <c r="F470" s="117"/>
      <c r="G470" s="118"/>
      <c r="H470" s="109" t="e">
        <f>VLOOKUP(I470,'공시사항점검표 목차(2023)'!$K$11:$L$73,2,FALSE)</f>
        <v>#N/A</v>
      </c>
      <c r="I470" s="112" t="s">
        <v>1148</v>
      </c>
    </row>
    <row r="471" spans="1:9" ht="17.45" customHeight="1">
      <c r="A471" s="147"/>
      <c r="B471" s="162" t="s">
        <v>482</v>
      </c>
      <c r="C471" s="283" t="s">
        <v>792</v>
      </c>
      <c r="D471" s="284"/>
      <c r="E471" s="196"/>
      <c r="F471" s="117"/>
      <c r="G471" s="118"/>
      <c r="H471" s="109" t="e">
        <f>VLOOKUP(I471,'공시사항점검표 목차(2023)'!$K$11:$L$73,2,FALSE)</f>
        <v>#N/A</v>
      </c>
      <c r="I471" s="112" t="s">
        <v>1148</v>
      </c>
    </row>
    <row r="472" spans="1:9" ht="17.45" customHeight="1">
      <c r="A472" s="147"/>
      <c r="B472" s="162" t="s">
        <v>724</v>
      </c>
      <c r="C472" s="283" t="s">
        <v>793</v>
      </c>
      <c r="D472" s="284"/>
      <c r="E472" s="196"/>
      <c r="F472" s="117"/>
      <c r="G472" s="118"/>
      <c r="H472" s="109" t="e">
        <f>VLOOKUP(I472,'공시사항점검표 목차(2023)'!$K$11:$L$73,2,FALSE)</f>
        <v>#N/A</v>
      </c>
      <c r="I472" s="112" t="s">
        <v>1148</v>
      </c>
    </row>
    <row r="473" spans="1:9" ht="17.45" customHeight="1">
      <c r="A473" s="147"/>
      <c r="B473" s="163" t="s">
        <v>727</v>
      </c>
      <c r="C473" s="283" t="s">
        <v>794</v>
      </c>
      <c r="D473" s="284"/>
      <c r="E473" s="196"/>
      <c r="F473" s="117"/>
      <c r="G473" s="118"/>
      <c r="H473" s="109" t="e">
        <f>VLOOKUP(I473,'공시사항점검표 목차(2023)'!$K$11:$L$73,2,FALSE)</f>
        <v>#N/A</v>
      </c>
      <c r="I473" s="112" t="s">
        <v>1148</v>
      </c>
    </row>
    <row r="474" spans="1:9" ht="36.6" customHeight="1">
      <c r="A474" s="147"/>
      <c r="B474" s="163" t="s">
        <v>735</v>
      </c>
      <c r="C474" s="283" t="s">
        <v>795</v>
      </c>
      <c r="D474" s="284"/>
      <c r="E474" s="146"/>
      <c r="F474" s="117"/>
      <c r="G474" s="118"/>
      <c r="H474" s="109" t="e">
        <f>VLOOKUP(I474,'공시사항점검표 목차(2023)'!$K$11:$L$73,2,FALSE)</f>
        <v>#N/A</v>
      </c>
      <c r="I474" s="112" t="s">
        <v>1148</v>
      </c>
    </row>
    <row r="475" spans="1:9" ht="52.15" customHeight="1">
      <c r="A475" s="282" t="s">
        <v>76</v>
      </c>
      <c r="B475" s="283"/>
      <c r="C475" s="283"/>
      <c r="D475" s="284"/>
      <c r="E475" s="196" t="s">
        <v>75</v>
      </c>
      <c r="F475" s="117"/>
      <c r="G475" s="118"/>
      <c r="H475" s="109" t="e">
        <f>VLOOKUP(I475,'공시사항점검표 목차(2023)'!$K$11:$L$73,2,FALSE)</f>
        <v>#N/A</v>
      </c>
      <c r="I475" s="112" t="s">
        <v>1148</v>
      </c>
    </row>
    <row r="476" spans="1:9" ht="28.5">
      <c r="A476" s="285" t="s">
        <v>78</v>
      </c>
      <c r="B476" s="286"/>
      <c r="C476" s="286"/>
      <c r="D476" s="287"/>
      <c r="E476" s="197" t="s">
        <v>77</v>
      </c>
      <c r="F476" s="126"/>
      <c r="G476" s="127"/>
      <c r="H476" s="109" t="e">
        <f>VLOOKUP(I476,'공시사항점검표 목차(2023)'!$K$11:$L$73,2,FALSE)</f>
        <v>#N/A</v>
      </c>
      <c r="I476" s="112" t="s">
        <v>1148</v>
      </c>
    </row>
    <row r="477" spans="1:9" ht="26.45" customHeight="1">
      <c r="A477" s="111" t="s">
        <v>796</v>
      </c>
      <c r="H477" s="109" t="e">
        <f>VLOOKUP(I477,'공시사항점검표 목차(2023)'!$K$11:$L$73,2,FALSE)</f>
        <v>#N/A</v>
      </c>
      <c r="I477" s="112" t="s">
        <v>1149</v>
      </c>
    </row>
    <row r="478" spans="1:9" ht="26.45" customHeight="1">
      <c r="A478" s="269" t="s">
        <v>360</v>
      </c>
      <c r="B478" s="270"/>
      <c r="C478" s="270"/>
      <c r="D478" s="271"/>
      <c r="E478" s="114" t="s">
        <v>157</v>
      </c>
      <c r="F478" s="102" t="s">
        <v>301</v>
      </c>
      <c r="G478" s="114" t="s">
        <v>0</v>
      </c>
      <c r="H478" s="109" t="e">
        <f>VLOOKUP(I478,'공시사항점검표 목차(2023)'!$K$11:$L$73,2,FALSE)</f>
        <v>#N/A</v>
      </c>
      <c r="I478" s="112" t="s">
        <v>1149</v>
      </c>
    </row>
    <row r="479" spans="1:9" ht="28.5">
      <c r="A479" s="279" t="s">
        <v>80</v>
      </c>
      <c r="B479" s="280"/>
      <c r="C479" s="280"/>
      <c r="D479" s="281"/>
      <c r="E479" s="196" t="s">
        <v>79</v>
      </c>
      <c r="F479" s="117"/>
      <c r="G479" s="118"/>
      <c r="H479" s="109" t="e">
        <f>VLOOKUP(I479,'공시사항점검표 목차(2023)'!$K$11:$L$73,2,FALSE)</f>
        <v>#N/A</v>
      </c>
      <c r="I479" s="112" t="s">
        <v>1149</v>
      </c>
    </row>
    <row r="480" spans="1:9" ht="17.45" customHeight="1">
      <c r="A480" s="147"/>
      <c r="B480" s="163" t="s">
        <v>640</v>
      </c>
      <c r="C480" s="283" t="s">
        <v>797</v>
      </c>
      <c r="D480" s="284"/>
      <c r="E480" s="196"/>
      <c r="F480" s="117"/>
      <c r="G480" s="118"/>
      <c r="H480" s="109" t="e">
        <f>VLOOKUP(I480,'공시사항점검표 목차(2023)'!$K$11:$L$73,2,FALSE)</f>
        <v>#N/A</v>
      </c>
      <c r="I480" s="112" t="s">
        <v>1149</v>
      </c>
    </row>
    <row r="481" spans="1:9" ht="17.45" customHeight="1">
      <c r="A481" s="147"/>
      <c r="B481" s="162" t="s">
        <v>482</v>
      </c>
      <c r="C481" s="283" t="s">
        <v>798</v>
      </c>
      <c r="D481" s="284"/>
      <c r="E481" s="196"/>
      <c r="F481" s="117"/>
      <c r="G481" s="118"/>
      <c r="H481" s="109" t="e">
        <f>VLOOKUP(I481,'공시사항점검표 목차(2023)'!$K$11:$L$73,2,FALSE)</f>
        <v>#N/A</v>
      </c>
      <c r="I481" s="112" t="s">
        <v>1149</v>
      </c>
    </row>
    <row r="482" spans="1:9" ht="17.45" customHeight="1">
      <c r="A482" s="147"/>
      <c r="B482" s="162" t="s">
        <v>724</v>
      </c>
      <c r="C482" s="283" t="s">
        <v>799</v>
      </c>
      <c r="D482" s="284"/>
      <c r="E482" s="196"/>
      <c r="F482" s="117"/>
      <c r="G482" s="118"/>
      <c r="H482" s="109" t="e">
        <f>VLOOKUP(I482,'공시사항점검표 목차(2023)'!$K$11:$L$73,2,FALSE)</f>
        <v>#N/A</v>
      </c>
      <c r="I482" s="112" t="s">
        <v>1149</v>
      </c>
    </row>
    <row r="483" spans="1:9" ht="33.6" customHeight="1">
      <c r="A483" s="148"/>
      <c r="B483" s="165" t="s">
        <v>727</v>
      </c>
      <c r="C483" s="286" t="s">
        <v>800</v>
      </c>
      <c r="D483" s="287"/>
      <c r="E483" s="197"/>
      <c r="F483" s="126"/>
      <c r="G483" s="127"/>
      <c r="H483" s="109" t="e">
        <f>VLOOKUP(I483,'공시사항점검표 목차(2023)'!$K$11:$L$73,2,FALSE)</f>
        <v>#N/A</v>
      </c>
      <c r="I483" s="112" t="s">
        <v>1149</v>
      </c>
    </row>
    <row r="484" spans="1:9" ht="26.45" customHeight="1">
      <c r="A484" s="111" t="s">
        <v>801</v>
      </c>
      <c r="H484" s="109" t="e">
        <f>VLOOKUP(I484,'공시사항점검표 목차(2023)'!$K$11:$L$73,2,FALSE)</f>
        <v>#N/A</v>
      </c>
      <c r="I484" s="112" t="s">
        <v>1150</v>
      </c>
    </row>
    <row r="485" spans="1:9" ht="26.45" customHeight="1">
      <c r="A485" s="269" t="s">
        <v>360</v>
      </c>
      <c r="B485" s="270"/>
      <c r="C485" s="270"/>
      <c r="D485" s="271"/>
      <c r="E485" s="114" t="s">
        <v>157</v>
      </c>
      <c r="F485" s="102" t="s">
        <v>301</v>
      </c>
      <c r="G485" s="114" t="s">
        <v>0</v>
      </c>
      <c r="H485" s="109" t="e">
        <f>VLOOKUP(I485,'공시사항점검표 목차(2023)'!$K$11:$L$73,2,FALSE)</f>
        <v>#N/A</v>
      </c>
      <c r="I485" s="112" t="s">
        <v>1150</v>
      </c>
    </row>
    <row r="486" spans="1:9" ht="55.15" customHeight="1">
      <c r="A486" s="291" t="s">
        <v>1084</v>
      </c>
      <c r="B486" s="292"/>
      <c r="C486" s="292"/>
      <c r="D486" s="293"/>
      <c r="E486" s="114" t="s">
        <v>1169</v>
      </c>
      <c r="F486" s="143"/>
      <c r="G486" s="144"/>
      <c r="H486" s="109" t="e">
        <f>VLOOKUP(I486,'공시사항점검표 목차(2023)'!$K$11:$L$73,2,FALSE)</f>
        <v>#N/A</v>
      </c>
      <c r="I486" s="112" t="s">
        <v>1150</v>
      </c>
    </row>
    <row r="487" spans="1:9" ht="26.45" customHeight="1">
      <c r="A487" s="111" t="s">
        <v>802</v>
      </c>
      <c r="H487" s="109" t="e">
        <f>VLOOKUP(I487,'공시사항점검표 목차(2023)'!$K$11:$L$73,2,FALSE)</f>
        <v>#N/A</v>
      </c>
      <c r="I487" s="112" t="s">
        <v>1151</v>
      </c>
    </row>
    <row r="488" spans="1:9" ht="26.45" customHeight="1">
      <c r="A488" s="269" t="s">
        <v>360</v>
      </c>
      <c r="B488" s="270"/>
      <c r="C488" s="270"/>
      <c r="D488" s="271"/>
      <c r="E488" s="114" t="s">
        <v>157</v>
      </c>
      <c r="F488" s="102" t="s">
        <v>301</v>
      </c>
      <c r="G488" s="114" t="s">
        <v>0</v>
      </c>
      <c r="H488" s="109" t="e">
        <f>VLOOKUP(I488,'공시사항점검표 목차(2023)'!$K$11:$L$73,2,FALSE)</f>
        <v>#N/A</v>
      </c>
      <c r="I488" s="112" t="s">
        <v>1151</v>
      </c>
    </row>
    <row r="489" spans="1:9" ht="28.5">
      <c r="A489" s="279" t="s">
        <v>83</v>
      </c>
      <c r="B489" s="280"/>
      <c r="C489" s="280"/>
      <c r="D489" s="281"/>
      <c r="E489" s="196" t="s">
        <v>82</v>
      </c>
      <c r="F489" s="117"/>
      <c r="G489" s="118"/>
      <c r="H489" s="109" t="e">
        <f>VLOOKUP(I489,'공시사항점검표 목차(2023)'!$K$11:$L$73,2,FALSE)</f>
        <v>#N/A</v>
      </c>
      <c r="I489" s="112" t="s">
        <v>1151</v>
      </c>
    </row>
    <row r="490" spans="1:9" ht="28.5">
      <c r="A490" s="282" t="s">
        <v>85</v>
      </c>
      <c r="B490" s="283"/>
      <c r="C490" s="283"/>
      <c r="D490" s="284"/>
      <c r="E490" s="196" t="s">
        <v>84</v>
      </c>
      <c r="F490" s="117"/>
      <c r="G490" s="118"/>
      <c r="H490" s="109" t="e">
        <f>VLOOKUP(I490,'공시사항점검표 목차(2023)'!$K$11:$L$73,2,FALSE)</f>
        <v>#N/A</v>
      </c>
      <c r="I490" s="112" t="s">
        <v>1151</v>
      </c>
    </row>
    <row r="491" spans="1:9" ht="28.5">
      <c r="A491" s="282" t="s">
        <v>86</v>
      </c>
      <c r="B491" s="283"/>
      <c r="C491" s="283"/>
      <c r="D491" s="284"/>
      <c r="E491" s="196" t="s">
        <v>84</v>
      </c>
      <c r="F491" s="117"/>
      <c r="G491" s="118"/>
      <c r="H491" s="109" t="e">
        <f>VLOOKUP(I491,'공시사항점검표 목차(2023)'!$K$11:$L$73,2,FALSE)</f>
        <v>#N/A</v>
      </c>
      <c r="I491" s="112" t="s">
        <v>1151</v>
      </c>
    </row>
    <row r="492" spans="1:9" ht="28.5">
      <c r="A492" s="282" t="s">
        <v>87</v>
      </c>
      <c r="B492" s="283"/>
      <c r="C492" s="283"/>
      <c r="D492" s="284"/>
      <c r="E492" s="196" t="s">
        <v>88</v>
      </c>
      <c r="F492" s="117"/>
      <c r="G492" s="118"/>
      <c r="H492" s="109" t="e">
        <f>VLOOKUP(I492,'공시사항점검표 목차(2023)'!$K$11:$L$73,2,FALSE)</f>
        <v>#N/A</v>
      </c>
      <c r="I492" s="112" t="s">
        <v>1151</v>
      </c>
    </row>
    <row r="493" spans="1:9" ht="17.45" customHeight="1">
      <c r="A493" s="147"/>
      <c r="B493" s="163" t="s">
        <v>640</v>
      </c>
      <c r="C493" s="283" t="s">
        <v>803</v>
      </c>
      <c r="D493" s="284"/>
      <c r="E493" s="146"/>
      <c r="F493" s="117"/>
      <c r="G493" s="118"/>
      <c r="H493" s="109" t="e">
        <f>VLOOKUP(I493,'공시사항점검표 목차(2023)'!$K$11:$L$73,2,FALSE)</f>
        <v>#N/A</v>
      </c>
      <c r="I493" s="112" t="s">
        <v>1151</v>
      </c>
    </row>
    <row r="494" spans="1:9" ht="34.9" customHeight="1">
      <c r="A494" s="147"/>
      <c r="B494" s="162" t="s">
        <v>482</v>
      </c>
      <c r="C494" s="283" t="s">
        <v>804</v>
      </c>
      <c r="D494" s="284"/>
      <c r="E494" s="146"/>
      <c r="F494" s="117"/>
      <c r="G494" s="118"/>
      <c r="H494" s="109" t="e">
        <f>VLOOKUP(I494,'공시사항점검표 목차(2023)'!$K$11:$L$73,2,FALSE)</f>
        <v>#N/A</v>
      </c>
      <c r="I494" s="112" t="s">
        <v>1151</v>
      </c>
    </row>
    <row r="495" spans="1:9" ht="17.45" customHeight="1">
      <c r="A495" s="147"/>
      <c r="B495" s="162" t="s">
        <v>724</v>
      </c>
      <c r="C495" s="283" t="s">
        <v>805</v>
      </c>
      <c r="D495" s="284"/>
      <c r="E495" s="196"/>
      <c r="F495" s="117"/>
      <c r="G495" s="118"/>
      <c r="H495" s="109" t="e">
        <f>VLOOKUP(I495,'공시사항점검표 목차(2023)'!$K$11:$L$73,2,FALSE)</f>
        <v>#N/A</v>
      </c>
      <c r="I495" s="112" t="s">
        <v>1151</v>
      </c>
    </row>
    <row r="496" spans="1:9" ht="35.450000000000003" customHeight="1">
      <c r="A496" s="147"/>
      <c r="B496" s="162" t="s">
        <v>727</v>
      </c>
      <c r="C496" s="283" t="s">
        <v>806</v>
      </c>
      <c r="D496" s="284"/>
      <c r="E496" s="146"/>
      <c r="F496" s="117"/>
      <c r="G496" s="118"/>
      <c r="H496" s="109" t="e">
        <f>VLOOKUP(I496,'공시사항점검표 목차(2023)'!$K$11:$L$73,2,FALSE)</f>
        <v>#N/A</v>
      </c>
      <c r="I496" s="112" t="s">
        <v>1151</v>
      </c>
    </row>
    <row r="497" spans="1:9" ht="28.5">
      <c r="A497" s="282" t="s">
        <v>90</v>
      </c>
      <c r="B497" s="283"/>
      <c r="C497" s="283"/>
      <c r="D497" s="284"/>
      <c r="E497" s="196" t="s">
        <v>89</v>
      </c>
      <c r="F497" s="117"/>
      <c r="G497" s="118"/>
      <c r="H497" s="109" t="e">
        <f>VLOOKUP(I497,'공시사항점검표 목차(2023)'!$K$11:$L$73,2,FALSE)</f>
        <v>#N/A</v>
      </c>
      <c r="I497" s="112" t="s">
        <v>1151</v>
      </c>
    </row>
    <row r="498" spans="1:9" ht="49.9" customHeight="1">
      <c r="A498" s="147"/>
      <c r="B498" s="162" t="s">
        <v>640</v>
      </c>
      <c r="C498" s="283" t="s">
        <v>807</v>
      </c>
      <c r="D498" s="284"/>
      <c r="E498" s="146"/>
      <c r="F498" s="117"/>
      <c r="G498" s="118"/>
      <c r="H498" s="109" t="e">
        <f>VLOOKUP(I498,'공시사항점검표 목차(2023)'!$K$11:$L$73,2,FALSE)</f>
        <v>#N/A</v>
      </c>
      <c r="I498" s="112" t="s">
        <v>1151</v>
      </c>
    </row>
    <row r="499" spans="1:9" ht="47.45" customHeight="1">
      <c r="A499" s="147"/>
      <c r="B499" s="162" t="s">
        <v>482</v>
      </c>
      <c r="C499" s="283" t="s">
        <v>808</v>
      </c>
      <c r="D499" s="284"/>
      <c r="E499" s="196"/>
      <c r="F499" s="117"/>
      <c r="G499" s="118"/>
      <c r="H499" s="109" t="e">
        <f>VLOOKUP(I499,'공시사항점검표 목차(2023)'!$K$11:$L$73,2,FALSE)</f>
        <v>#N/A</v>
      </c>
      <c r="I499" s="112" t="s">
        <v>1151</v>
      </c>
    </row>
    <row r="500" spans="1:9">
      <c r="A500" s="147"/>
      <c r="B500" s="163"/>
      <c r="C500" s="108" t="s">
        <v>717</v>
      </c>
      <c r="D500" s="193" t="s">
        <v>819</v>
      </c>
      <c r="E500" s="196"/>
      <c r="F500" s="117"/>
      <c r="G500" s="118"/>
      <c r="H500" s="109" t="e">
        <f>VLOOKUP(I500,'공시사항점검표 목차(2023)'!$K$11:$L$73,2,FALSE)</f>
        <v>#N/A</v>
      </c>
      <c r="I500" s="112" t="s">
        <v>1151</v>
      </c>
    </row>
    <row r="501" spans="1:9">
      <c r="A501" s="147"/>
      <c r="B501" s="163"/>
      <c r="C501" s="108" t="s">
        <v>454</v>
      </c>
      <c r="D501" s="193" t="s">
        <v>820</v>
      </c>
      <c r="E501" s="196"/>
      <c r="F501" s="117"/>
      <c r="G501" s="118"/>
      <c r="H501" s="109" t="e">
        <f>VLOOKUP(I501,'공시사항점검표 목차(2023)'!$K$11:$L$73,2,FALSE)</f>
        <v>#N/A</v>
      </c>
      <c r="I501" s="112" t="s">
        <v>1151</v>
      </c>
    </row>
    <row r="502" spans="1:9">
      <c r="A502" s="147"/>
      <c r="B502" s="163"/>
      <c r="C502" s="108" t="s">
        <v>455</v>
      </c>
      <c r="D502" s="193" t="s">
        <v>809</v>
      </c>
      <c r="E502" s="196"/>
      <c r="F502" s="132"/>
      <c r="G502" s="118"/>
      <c r="H502" s="109" t="e">
        <f>VLOOKUP(I502,'공시사항점검표 목차(2023)'!$K$11:$L$73,2,FALSE)</f>
        <v>#N/A</v>
      </c>
      <c r="I502" s="112" t="s">
        <v>1151</v>
      </c>
    </row>
    <row r="503" spans="1:9">
      <c r="A503" s="147"/>
      <c r="B503" s="163"/>
      <c r="C503" s="108" t="s">
        <v>811</v>
      </c>
      <c r="D503" s="193" t="s">
        <v>810</v>
      </c>
      <c r="E503" s="196"/>
      <c r="F503" s="117"/>
      <c r="G503" s="118"/>
      <c r="H503" s="109" t="e">
        <f>VLOOKUP(I503,'공시사항점검표 목차(2023)'!$K$11:$L$73,2,FALSE)</f>
        <v>#N/A</v>
      </c>
      <c r="I503" s="112" t="s">
        <v>1151</v>
      </c>
    </row>
    <row r="504" spans="1:9">
      <c r="A504" s="147"/>
      <c r="B504" s="163"/>
      <c r="C504" s="108" t="s">
        <v>525</v>
      </c>
      <c r="D504" s="193" t="s">
        <v>814</v>
      </c>
      <c r="E504" s="196"/>
      <c r="F504" s="117"/>
      <c r="G504" s="118"/>
      <c r="H504" s="109" t="e">
        <f>VLOOKUP(I504,'공시사항점검표 목차(2023)'!$K$11:$L$73,2,FALSE)</f>
        <v>#N/A</v>
      </c>
      <c r="I504" s="112" t="s">
        <v>1151</v>
      </c>
    </row>
    <row r="505" spans="1:9">
      <c r="A505" s="147"/>
      <c r="B505" s="163"/>
      <c r="C505" s="108" t="s">
        <v>813</v>
      </c>
      <c r="D505" s="193" t="s">
        <v>812</v>
      </c>
      <c r="E505" s="196"/>
      <c r="F505" s="117"/>
      <c r="G505" s="118"/>
      <c r="H505" s="109" t="e">
        <f>VLOOKUP(I505,'공시사항점검표 목차(2023)'!$K$11:$L$73,2,FALSE)</f>
        <v>#N/A</v>
      </c>
      <c r="I505" s="112" t="s">
        <v>1151</v>
      </c>
    </row>
    <row r="506" spans="1:9">
      <c r="A506" s="147"/>
      <c r="B506" s="163"/>
      <c r="C506" s="108" t="s">
        <v>816</v>
      </c>
      <c r="D506" s="193" t="s">
        <v>815</v>
      </c>
      <c r="E506" s="196"/>
      <c r="F506" s="117"/>
      <c r="G506" s="118"/>
      <c r="H506" s="109" t="e">
        <f>VLOOKUP(I506,'공시사항점검표 목차(2023)'!$K$11:$L$73,2,FALSE)</f>
        <v>#N/A</v>
      </c>
      <c r="I506" s="112" t="s">
        <v>1151</v>
      </c>
    </row>
    <row r="507" spans="1:9">
      <c r="A507" s="147"/>
      <c r="B507" s="163"/>
      <c r="C507" s="108" t="s">
        <v>818</v>
      </c>
      <c r="D507" s="193" t="s">
        <v>817</v>
      </c>
      <c r="E507" s="146"/>
      <c r="F507" s="117"/>
      <c r="G507" s="118"/>
      <c r="H507" s="109" t="e">
        <f>VLOOKUP(I507,'공시사항점검표 목차(2023)'!$K$11:$L$73,2,FALSE)</f>
        <v>#N/A</v>
      </c>
      <c r="I507" s="112" t="s">
        <v>1151</v>
      </c>
    </row>
    <row r="508" spans="1:9" ht="82.15" customHeight="1">
      <c r="A508" s="147"/>
      <c r="B508" s="162" t="s">
        <v>821</v>
      </c>
      <c r="C508" s="283" t="s">
        <v>1085</v>
      </c>
      <c r="D508" s="284"/>
      <c r="E508" s="196"/>
      <c r="F508" s="117"/>
      <c r="G508" s="118"/>
      <c r="H508" s="109" t="e">
        <f>VLOOKUP(I508,'공시사항점검표 목차(2023)'!$K$11:$L$73,2,FALSE)</f>
        <v>#N/A</v>
      </c>
      <c r="I508" s="112" t="s">
        <v>1151</v>
      </c>
    </row>
    <row r="509" spans="1:9" ht="17.45" customHeight="1">
      <c r="A509" s="147"/>
      <c r="B509" s="163" t="s">
        <v>823</v>
      </c>
      <c r="C509" s="283" t="s">
        <v>822</v>
      </c>
      <c r="D509" s="284"/>
      <c r="E509" s="196"/>
      <c r="F509" s="117"/>
      <c r="G509" s="118"/>
      <c r="H509" s="109" t="e">
        <f>VLOOKUP(I509,'공시사항점검표 목차(2023)'!$K$11:$L$73,2,FALSE)</f>
        <v>#N/A</v>
      </c>
      <c r="I509" s="112" t="s">
        <v>1151</v>
      </c>
    </row>
    <row r="510" spans="1:9">
      <c r="A510" s="147"/>
      <c r="B510" s="163"/>
      <c r="C510" s="108" t="s">
        <v>717</v>
      </c>
      <c r="D510" s="193" t="s">
        <v>825</v>
      </c>
      <c r="E510" s="196"/>
      <c r="F510" s="117"/>
      <c r="G510" s="118"/>
      <c r="H510" s="109" t="e">
        <f>VLOOKUP(I510,'공시사항점검표 목차(2023)'!$K$11:$L$73,2,FALSE)</f>
        <v>#N/A</v>
      </c>
      <c r="I510" s="112" t="s">
        <v>1151</v>
      </c>
    </row>
    <row r="511" spans="1:9" ht="57">
      <c r="A511" s="147"/>
      <c r="B511" s="163"/>
      <c r="C511" s="162" t="s">
        <v>824</v>
      </c>
      <c r="D511" s="193" t="s">
        <v>1086</v>
      </c>
      <c r="E511" s="196"/>
      <c r="F511" s="117"/>
      <c r="G511" s="118"/>
      <c r="H511" s="109" t="e">
        <f>VLOOKUP(I511,'공시사항점검표 목차(2023)'!$K$11:$L$73,2,FALSE)</f>
        <v>#N/A</v>
      </c>
      <c r="I511" s="112" t="s">
        <v>1151</v>
      </c>
    </row>
    <row r="512" spans="1:9" ht="48" customHeight="1">
      <c r="A512" s="285" t="s">
        <v>826</v>
      </c>
      <c r="B512" s="286"/>
      <c r="C512" s="286"/>
      <c r="D512" s="287"/>
      <c r="E512" s="197" t="s">
        <v>263</v>
      </c>
      <c r="F512" s="126"/>
      <c r="G512" s="127"/>
      <c r="H512" s="109" t="e">
        <f>VLOOKUP(I512,'공시사항점검표 목차(2023)'!$K$11:$L$73,2,FALSE)</f>
        <v>#N/A</v>
      </c>
      <c r="I512" s="112" t="s">
        <v>1151</v>
      </c>
    </row>
    <row r="513" spans="1:9" ht="26.45" customHeight="1">
      <c r="A513" s="111" t="s">
        <v>827</v>
      </c>
      <c r="H513" s="109" t="e">
        <f>VLOOKUP(I513,'공시사항점검표 목차(2023)'!$K$11:$L$73,2,FALSE)</f>
        <v>#N/A</v>
      </c>
      <c r="I513" s="112" t="s">
        <v>1152</v>
      </c>
    </row>
    <row r="514" spans="1:9" ht="26.45" customHeight="1">
      <c r="A514" s="269" t="s">
        <v>360</v>
      </c>
      <c r="B514" s="270"/>
      <c r="C514" s="270"/>
      <c r="D514" s="271"/>
      <c r="E514" s="114" t="s">
        <v>157</v>
      </c>
      <c r="F514" s="102" t="s">
        <v>301</v>
      </c>
      <c r="G514" s="114" t="s">
        <v>0</v>
      </c>
      <c r="H514" s="109" t="e">
        <f>VLOOKUP(I514,'공시사항점검표 목차(2023)'!$K$11:$L$73,2,FALSE)</f>
        <v>#N/A</v>
      </c>
      <c r="I514" s="112" t="s">
        <v>1152</v>
      </c>
    </row>
    <row r="515" spans="1:9" ht="28.5">
      <c r="A515" s="279" t="s">
        <v>92</v>
      </c>
      <c r="B515" s="280"/>
      <c r="C515" s="280"/>
      <c r="D515" s="281"/>
      <c r="E515" s="196" t="s">
        <v>91</v>
      </c>
      <c r="F515" s="117"/>
      <c r="G515" s="118"/>
      <c r="H515" s="109" t="e">
        <f>VLOOKUP(I515,'공시사항점검표 목차(2023)'!$K$11:$L$73,2,FALSE)</f>
        <v>#N/A</v>
      </c>
      <c r="I515" s="112" t="s">
        <v>1152</v>
      </c>
    </row>
    <row r="516" spans="1:9" ht="57" customHeight="1">
      <c r="A516" s="282" t="s">
        <v>844</v>
      </c>
      <c r="B516" s="283"/>
      <c r="C516" s="283"/>
      <c r="D516" s="284"/>
      <c r="E516" s="196"/>
      <c r="F516" s="117"/>
      <c r="G516" s="118"/>
      <c r="H516" s="109" t="e">
        <f>VLOOKUP(I516,'공시사항점검표 목차(2023)'!$K$11:$L$73,2,FALSE)</f>
        <v>#N/A</v>
      </c>
      <c r="I516" s="112" t="s">
        <v>1152</v>
      </c>
    </row>
    <row r="517" spans="1:9" ht="22.15" customHeight="1">
      <c r="A517" s="282" t="s">
        <v>845</v>
      </c>
      <c r="B517" s="283"/>
      <c r="C517" s="283"/>
      <c r="D517" s="284"/>
      <c r="E517" s="196"/>
      <c r="F517" s="117"/>
      <c r="G517" s="118"/>
      <c r="H517" s="109" t="e">
        <f>VLOOKUP(I517,'공시사항점검표 목차(2023)'!$K$11:$L$73,2,FALSE)</f>
        <v>#N/A</v>
      </c>
      <c r="I517" s="112" t="s">
        <v>1152</v>
      </c>
    </row>
    <row r="518" spans="1:9" ht="17.45" customHeight="1">
      <c r="A518" s="147"/>
      <c r="B518" s="162" t="s">
        <v>640</v>
      </c>
      <c r="C518" s="283" t="s">
        <v>828</v>
      </c>
      <c r="D518" s="284"/>
      <c r="E518" s="196"/>
      <c r="F518" s="117"/>
      <c r="G518" s="118"/>
      <c r="H518" s="109" t="e">
        <f>VLOOKUP(I518,'공시사항점검표 목차(2023)'!$K$11:$L$73,2,FALSE)</f>
        <v>#N/A</v>
      </c>
      <c r="I518" s="112" t="s">
        <v>1152</v>
      </c>
    </row>
    <row r="519" spans="1:9" ht="33.6" customHeight="1">
      <c r="A519" s="147"/>
      <c r="B519" s="162" t="s">
        <v>482</v>
      </c>
      <c r="C519" s="283" t="s">
        <v>829</v>
      </c>
      <c r="D519" s="284"/>
      <c r="E519" s="196"/>
      <c r="F519" s="117"/>
      <c r="G519" s="118"/>
      <c r="H519" s="109" t="e">
        <f>VLOOKUP(I519,'공시사항점검표 목차(2023)'!$K$11:$L$73,2,FALSE)</f>
        <v>#N/A</v>
      </c>
      <c r="I519" s="112" t="s">
        <v>1152</v>
      </c>
    </row>
    <row r="520" spans="1:9">
      <c r="A520" s="147"/>
      <c r="B520" s="163"/>
      <c r="C520" s="108" t="s">
        <v>831</v>
      </c>
      <c r="D520" s="193" t="s">
        <v>830</v>
      </c>
      <c r="E520" s="196"/>
      <c r="F520" s="117"/>
      <c r="G520" s="118"/>
      <c r="H520" s="109" t="e">
        <f>VLOOKUP(I520,'공시사항점검표 목차(2023)'!$K$11:$L$73,2,FALSE)</f>
        <v>#N/A</v>
      </c>
      <c r="I520" s="112" t="s">
        <v>1152</v>
      </c>
    </row>
    <row r="521" spans="1:9">
      <c r="A521" s="147"/>
      <c r="B521" s="163"/>
      <c r="C521" s="108" t="s">
        <v>454</v>
      </c>
      <c r="D521" s="193" t="s">
        <v>832</v>
      </c>
      <c r="E521" s="196"/>
      <c r="F521" s="117"/>
      <c r="G521" s="118"/>
      <c r="H521" s="109" t="e">
        <f>VLOOKUP(I521,'공시사항점검표 목차(2023)'!$K$11:$L$73,2,FALSE)</f>
        <v>#N/A</v>
      </c>
      <c r="I521" s="112" t="s">
        <v>1152</v>
      </c>
    </row>
    <row r="522" spans="1:9">
      <c r="A522" s="147"/>
      <c r="B522" s="163"/>
      <c r="C522" s="108" t="s">
        <v>834</v>
      </c>
      <c r="D522" s="193" t="s">
        <v>833</v>
      </c>
      <c r="E522" s="196"/>
      <c r="F522" s="117"/>
      <c r="G522" s="118"/>
      <c r="H522" s="109" t="e">
        <f>VLOOKUP(I522,'공시사항점검표 목차(2023)'!$K$11:$L$73,2,FALSE)</f>
        <v>#N/A</v>
      </c>
      <c r="I522" s="112" t="s">
        <v>1152</v>
      </c>
    </row>
    <row r="523" spans="1:9" ht="17.45" customHeight="1">
      <c r="A523" s="147"/>
      <c r="B523" s="163" t="s">
        <v>620</v>
      </c>
      <c r="C523" s="283" t="s">
        <v>835</v>
      </c>
      <c r="D523" s="284"/>
      <c r="E523" s="196"/>
      <c r="F523" s="117"/>
      <c r="G523" s="118"/>
      <c r="H523" s="109" t="e">
        <f>VLOOKUP(I523,'공시사항점검표 목차(2023)'!$K$11:$L$73,2,FALSE)</f>
        <v>#N/A</v>
      </c>
      <c r="I523" s="112" t="s">
        <v>1152</v>
      </c>
    </row>
    <row r="524" spans="1:9" ht="33.6" customHeight="1">
      <c r="A524" s="147"/>
      <c r="B524" s="163" t="s">
        <v>837</v>
      </c>
      <c r="C524" s="283" t="s">
        <v>836</v>
      </c>
      <c r="D524" s="284"/>
      <c r="E524" s="196"/>
      <c r="F524" s="117"/>
      <c r="G524" s="118"/>
      <c r="H524" s="109" t="e">
        <f>VLOOKUP(I524,'공시사항점검표 목차(2023)'!$K$11:$L$73,2,FALSE)</f>
        <v>#N/A</v>
      </c>
      <c r="I524" s="112" t="s">
        <v>1152</v>
      </c>
    </row>
    <row r="525" spans="1:9" ht="17.45" customHeight="1">
      <c r="A525" s="147"/>
      <c r="B525" s="163" t="s">
        <v>610</v>
      </c>
      <c r="C525" s="283" t="s">
        <v>838</v>
      </c>
      <c r="D525" s="284"/>
      <c r="E525" s="196"/>
      <c r="F525" s="117"/>
      <c r="G525" s="118"/>
      <c r="H525" s="109" t="e">
        <f>VLOOKUP(I525,'공시사항점검표 목차(2023)'!$K$11:$L$73,2,FALSE)</f>
        <v>#N/A</v>
      </c>
      <c r="I525" s="112" t="s">
        <v>1152</v>
      </c>
    </row>
    <row r="526" spans="1:9">
      <c r="A526" s="147"/>
      <c r="B526" s="163"/>
      <c r="C526" s="108" t="s">
        <v>831</v>
      </c>
      <c r="D526" s="193" t="s">
        <v>839</v>
      </c>
      <c r="E526" s="196"/>
      <c r="F526" s="117"/>
      <c r="G526" s="118"/>
      <c r="H526" s="109" t="e">
        <f>VLOOKUP(I526,'공시사항점검표 목차(2023)'!$K$11:$L$73,2,FALSE)</f>
        <v>#N/A</v>
      </c>
      <c r="I526" s="112" t="s">
        <v>1152</v>
      </c>
    </row>
    <row r="527" spans="1:9">
      <c r="A527" s="147"/>
      <c r="B527" s="163"/>
      <c r="C527" s="108" t="s">
        <v>454</v>
      </c>
      <c r="D527" s="193" t="s">
        <v>840</v>
      </c>
      <c r="E527" s="196"/>
      <c r="F527" s="117"/>
      <c r="G527" s="118"/>
      <c r="H527" s="109" t="e">
        <f>VLOOKUP(I527,'공시사항점검표 목차(2023)'!$K$11:$L$73,2,FALSE)</f>
        <v>#N/A</v>
      </c>
      <c r="I527" s="112" t="s">
        <v>1152</v>
      </c>
    </row>
    <row r="528" spans="1:9">
      <c r="A528" s="147"/>
      <c r="B528" s="163"/>
      <c r="C528" s="108" t="s">
        <v>834</v>
      </c>
      <c r="D528" s="193" t="s">
        <v>841</v>
      </c>
      <c r="E528" s="196"/>
      <c r="F528" s="117"/>
      <c r="G528" s="118"/>
      <c r="H528" s="109" t="e">
        <f>VLOOKUP(I528,'공시사항점검표 목차(2023)'!$K$11:$L$73,2,FALSE)</f>
        <v>#N/A</v>
      </c>
      <c r="I528" s="112" t="s">
        <v>1152</v>
      </c>
    </row>
    <row r="529" spans="1:9" ht="28.5">
      <c r="A529" s="147"/>
      <c r="B529" s="163" t="s">
        <v>843</v>
      </c>
      <c r="C529" s="283" t="s">
        <v>842</v>
      </c>
      <c r="D529" s="284"/>
      <c r="E529" s="172" t="s">
        <v>242</v>
      </c>
      <c r="F529" s="117"/>
      <c r="G529" s="118"/>
      <c r="H529" s="109" t="e">
        <f>VLOOKUP(I529,'공시사항점검표 목차(2023)'!$K$11:$L$73,2,FALSE)</f>
        <v>#N/A</v>
      </c>
      <c r="I529" s="112" t="s">
        <v>1152</v>
      </c>
    </row>
    <row r="530" spans="1:9" ht="17.45" customHeight="1">
      <c r="A530" s="282" t="s">
        <v>846</v>
      </c>
      <c r="B530" s="283"/>
      <c r="C530" s="283"/>
      <c r="D530" s="284"/>
      <c r="E530" s="196"/>
      <c r="F530" s="132"/>
      <c r="G530" s="118"/>
      <c r="H530" s="109" t="e">
        <f>VLOOKUP(I530,'공시사항점검표 목차(2023)'!$K$11:$L$73,2,FALSE)</f>
        <v>#N/A</v>
      </c>
      <c r="I530" s="112" t="s">
        <v>1152</v>
      </c>
    </row>
    <row r="531" spans="1:9" ht="28.5">
      <c r="A531" s="147"/>
      <c r="B531" s="163" t="s">
        <v>640</v>
      </c>
      <c r="C531" s="283" t="s">
        <v>847</v>
      </c>
      <c r="D531" s="284"/>
      <c r="E531" s="196" t="s">
        <v>93</v>
      </c>
      <c r="F531" s="117"/>
      <c r="G531" s="118"/>
      <c r="H531" s="109" t="e">
        <f>VLOOKUP(I531,'공시사항점검표 목차(2023)'!$K$11:$L$73,2,FALSE)</f>
        <v>#N/A</v>
      </c>
      <c r="I531" s="112" t="s">
        <v>1152</v>
      </c>
    </row>
    <row r="532" spans="1:9">
      <c r="A532" s="147"/>
      <c r="B532" s="163"/>
      <c r="C532" s="108" t="s">
        <v>831</v>
      </c>
      <c r="D532" s="193" t="s">
        <v>830</v>
      </c>
      <c r="E532" s="196"/>
      <c r="F532" s="117"/>
      <c r="G532" s="118"/>
      <c r="H532" s="109" t="e">
        <f>VLOOKUP(I532,'공시사항점검표 목차(2023)'!$K$11:$L$73,2,FALSE)</f>
        <v>#N/A</v>
      </c>
      <c r="I532" s="112" t="s">
        <v>1152</v>
      </c>
    </row>
    <row r="533" spans="1:9">
      <c r="A533" s="147"/>
      <c r="B533" s="163"/>
      <c r="C533" s="108" t="s">
        <v>454</v>
      </c>
      <c r="D533" s="193" t="s">
        <v>848</v>
      </c>
      <c r="E533" s="196"/>
      <c r="F533" s="117"/>
      <c r="G533" s="118"/>
      <c r="H533" s="109" t="e">
        <f>VLOOKUP(I533,'공시사항점검표 목차(2023)'!$K$11:$L$73,2,FALSE)</f>
        <v>#N/A</v>
      </c>
      <c r="I533" s="112" t="s">
        <v>1152</v>
      </c>
    </row>
    <row r="534" spans="1:9">
      <c r="A534" s="147"/>
      <c r="B534" s="163"/>
      <c r="C534" s="108" t="s">
        <v>834</v>
      </c>
      <c r="D534" s="193" t="s">
        <v>833</v>
      </c>
      <c r="E534" s="196"/>
      <c r="F534" s="117"/>
      <c r="G534" s="118"/>
      <c r="H534" s="109" t="e">
        <f>VLOOKUP(I534,'공시사항점검표 목차(2023)'!$K$11:$L$73,2,FALSE)</f>
        <v>#N/A</v>
      </c>
      <c r="I534" s="112" t="s">
        <v>1152</v>
      </c>
    </row>
    <row r="535" spans="1:9" ht="34.15" customHeight="1">
      <c r="A535" s="147"/>
      <c r="B535" s="162" t="s">
        <v>482</v>
      </c>
      <c r="C535" s="283" t="s">
        <v>849</v>
      </c>
      <c r="D535" s="284"/>
      <c r="E535" s="196"/>
      <c r="F535" s="117"/>
      <c r="G535" s="118"/>
      <c r="H535" s="109" t="e">
        <f>VLOOKUP(I535,'공시사항점검표 목차(2023)'!$K$11:$L$73,2,FALSE)</f>
        <v>#N/A</v>
      </c>
      <c r="I535" s="112" t="s">
        <v>1152</v>
      </c>
    </row>
    <row r="536" spans="1:9" ht="33" customHeight="1">
      <c r="A536" s="147"/>
      <c r="B536" s="163" t="s">
        <v>620</v>
      </c>
      <c r="C536" s="283" t="s">
        <v>850</v>
      </c>
      <c r="D536" s="284"/>
      <c r="E536" s="196"/>
      <c r="F536" s="117"/>
      <c r="G536" s="118"/>
      <c r="H536" s="109" t="e">
        <f>VLOOKUP(I536,'공시사항점검표 목차(2023)'!$K$11:$L$73,2,FALSE)</f>
        <v>#N/A</v>
      </c>
      <c r="I536" s="112" t="s">
        <v>1152</v>
      </c>
    </row>
    <row r="537" spans="1:9" ht="17.45" customHeight="1">
      <c r="A537" s="147"/>
      <c r="B537" s="163" t="s">
        <v>837</v>
      </c>
      <c r="C537" s="283" t="s">
        <v>838</v>
      </c>
      <c r="D537" s="284"/>
      <c r="E537" s="196"/>
      <c r="F537" s="117"/>
      <c r="G537" s="118"/>
      <c r="H537" s="109" t="e">
        <f>VLOOKUP(I537,'공시사항점검표 목차(2023)'!$K$11:$L$73,2,FALSE)</f>
        <v>#N/A</v>
      </c>
      <c r="I537" s="112" t="s">
        <v>1152</v>
      </c>
    </row>
    <row r="538" spans="1:9">
      <c r="A538" s="147"/>
      <c r="B538" s="163"/>
      <c r="C538" s="108" t="s">
        <v>831</v>
      </c>
      <c r="D538" s="193" t="s">
        <v>851</v>
      </c>
      <c r="E538" s="196"/>
      <c r="F538" s="117"/>
      <c r="G538" s="118"/>
      <c r="H538" s="109" t="e">
        <f>VLOOKUP(I538,'공시사항점검표 목차(2023)'!$K$11:$L$73,2,FALSE)</f>
        <v>#N/A</v>
      </c>
      <c r="I538" s="112" t="s">
        <v>1152</v>
      </c>
    </row>
    <row r="539" spans="1:9">
      <c r="A539" s="147"/>
      <c r="B539" s="163"/>
      <c r="C539" s="108" t="s">
        <v>454</v>
      </c>
      <c r="D539" s="193" t="s">
        <v>852</v>
      </c>
      <c r="E539" s="196"/>
      <c r="F539" s="117"/>
      <c r="G539" s="118"/>
      <c r="H539" s="109" t="e">
        <f>VLOOKUP(I539,'공시사항점검표 목차(2023)'!$K$11:$L$73,2,FALSE)</f>
        <v>#N/A</v>
      </c>
      <c r="I539" s="112" t="s">
        <v>1152</v>
      </c>
    </row>
    <row r="540" spans="1:9">
      <c r="A540" s="147"/>
      <c r="B540" s="163"/>
      <c r="C540" s="108" t="s">
        <v>834</v>
      </c>
      <c r="D540" s="193" t="s">
        <v>841</v>
      </c>
      <c r="E540" s="196"/>
      <c r="F540" s="117"/>
      <c r="G540" s="118"/>
      <c r="H540" s="109" t="e">
        <f>VLOOKUP(I540,'공시사항점검표 목차(2023)'!$K$11:$L$73,2,FALSE)</f>
        <v>#N/A</v>
      </c>
      <c r="I540" s="112" t="s">
        <v>1152</v>
      </c>
    </row>
    <row r="541" spans="1:9" ht="28.5">
      <c r="A541" s="282" t="s">
        <v>853</v>
      </c>
      <c r="B541" s="283"/>
      <c r="C541" s="283"/>
      <c r="D541" s="284"/>
      <c r="E541" s="196" t="s">
        <v>94</v>
      </c>
      <c r="F541" s="117"/>
      <c r="G541" s="118"/>
      <c r="H541" s="109" t="e">
        <f>VLOOKUP(I541,'공시사항점검표 목차(2023)'!$K$11:$L$73,2,FALSE)</f>
        <v>#N/A</v>
      </c>
      <c r="I541" s="112" t="s">
        <v>1152</v>
      </c>
    </row>
    <row r="542" spans="1:9" ht="37.9" customHeight="1">
      <c r="A542" s="147"/>
      <c r="B542" s="162" t="s">
        <v>640</v>
      </c>
      <c r="C542" s="283" t="s">
        <v>855</v>
      </c>
      <c r="D542" s="284"/>
      <c r="E542" s="196"/>
      <c r="F542" s="117"/>
      <c r="G542" s="118"/>
      <c r="H542" s="109" t="e">
        <f>VLOOKUP(I542,'공시사항점검표 목차(2023)'!$K$11:$L$73,2,FALSE)</f>
        <v>#N/A</v>
      </c>
      <c r="I542" s="112" t="s">
        <v>1152</v>
      </c>
    </row>
    <row r="543" spans="1:9" ht="33.6" customHeight="1">
      <c r="A543" s="147"/>
      <c r="B543" s="162" t="s">
        <v>482</v>
      </c>
      <c r="C543" s="283" t="s">
        <v>856</v>
      </c>
      <c r="D543" s="284"/>
      <c r="E543" s="196"/>
      <c r="F543" s="117"/>
      <c r="G543" s="118"/>
      <c r="H543" s="109" t="e">
        <f>VLOOKUP(I543,'공시사항점검표 목차(2023)'!$K$11:$L$73,2,FALSE)</f>
        <v>#N/A</v>
      </c>
      <c r="I543" s="112" t="s">
        <v>1152</v>
      </c>
    </row>
    <row r="544" spans="1:9" ht="28.5">
      <c r="A544" s="282" t="s">
        <v>96</v>
      </c>
      <c r="B544" s="283"/>
      <c r="C544" s="283"/>
      <c r="D544" s="284"/>
      <c r="E544" s="196" t="s">
        <v>95</v>
      </c>
      <c r="F544" s="117"/>
      <c r="G544" s="118"/>
      <c r="H544" s="109" t="e">
        <f>VLOOKUP(I544,'공시사항점검표 목차(2023)'!$K$11:$L$73,2,FALSE)</f>
        <v>#N/A</v>
      </c>
      <c r="I544" s="112" t="s">
        <v>1152</v>
      </c>
    </row>
    <row r="545" spans="1:9" ht="17.45" customHeight="1">
      <c r="A545" s="282" t="s">
        <v>854</v>
      </c>
      <c r="B545" s="283"/>
      <c r="C545" s="283"/>
      <c r="D545" s="284"/>
      <c r="E545" s="196"/>
      <c r="F545" s="117"/>
      <c r="G545" s="118"/>
      <c r="H545" s="109" t="e">
        <f>VLOOKUP(I545,'공시사항점검표 목차(2023)'!$K$11:$L$73,2,FALSE)</f>
        <v>#N/A</v>
      </c>
      <c r="I545" s="112" t="s">
        <v>1152</v>
      </c>
    </row>
    <row r="546" spans="1:9" ht="51" customHeight="1">
      <c r="A546" s="147"/>
      <c r="B546" s="162" t="s">
        <v>640</v>
      </c>
      <c r="C546" s="283" t="s">
        <v>857</v>
      </c>
      <c r="D546" s="284"/>
      <c r="E546" s="146"/>
      <c r="F546" s="117"/>
      <c r="G546" s="118"/>
      <c r="H546" s="109" t="e">
        <f>VLOOKUP(I546,'공시사항점검표 목차(2023)'!$K$11:$L$73,2,FALSE)</f>
        <v>#N/A</v>
      </c>
      <c r="I546" s="112" t="s">
        <v>1152</v>
      </c>
    </row>
    <row r="547" spans="1:9" ht="17.45" customHeight="1">
      <c r="A547" s="147"/>
      <c r="B547" s="162" t="s">
        <v>482</v>
      </c>
      <c r="C547" s="283" t="s">
        <v>858</v>
      </c>
      <c r="D547" s="284"/>
      <c r="E547" s="196"/>
      <c r="F547" s="117"/>
      <c r="G547" s="118"/>
      <c r="H547" s="109" t="e">
        <f>VLOOKUP(I547,'공시사항점검표 목차(2023)'!$K$11:$L$73,2,FALSE)</f>
        <v>#N/A</v>
      </c>
      <c r="I547" s="112" t="s">
        <v>1152</v>
      </c>
    </row>
    <row r="548" spans="1:9" ht="17.45" customHeight="1">
      <c r="A548" s="147"/>
      <c r="B548" s="163" t="s">
        <v>620</v>
      </c>
      <c r="C548" s="283" t="s">
        <v>859</v>
      </c>
      <c r="D548" s="284"/>
      <c r="E548" s="196"/>
      <c r="F548" s="117"/>
      <c r="G548" s="118"/>
      <c r="H548" s="109" t="e">
        <f>VLOOKUP(I548,'공시사항점검표 목차(2023)'!$K$11:$L$73,2,FALSE)</f>
        <v>#N/A</v>
      </c>
      <c r="I548" s="112" t="s">
        <v>1152</v>
      </c>
    </row>
    <row r="549" spans="1:9" ht="17.45" customHeight="1">
      <c r="A549" s="147"/>
      <c r="B549" s="163" t="s">
        <v>837</v>
      </c>
      <c r="C549" s="283" t="s">
        <v>860</v>
      </c>
      <c r="D549" s="284"/>
      <c r="E549" s="196"/>
      <c r="F549" s="117"/>
      <c r="G549" s="118"/>
      <c r="H549" s="109" t="e">
        <f>VLOOKUP(I549,'공시사항점검표 목차(2023)'!$K$11:$L$73,2,FALSE)</f>
        <v>#N/A</v>
      </c>
      <c r="I549" s="112" t="s">
        <v>1152</v>
      </c>
    </row>
    <row r="550" spans="1:9" ht="17.45" customHeight="1">
      <c r="A550" s="147"/>
      <c r="B550" s="163" t="s">
        <v>610</v>
      </c>
      <c r="C550" s="283" t="s">
        <v>861</v>
      </c>
      <c r="D550" s="284"/>
      <c r="E550" s="196"/>
      <c r="F550" s="117"/>
      <c r="G550" s="118"/>
      <c r="H550" s="109" t="e">
        <f>VLOOKUP(I550,'공시사항점검표 목차(2023)'!$K$11:$L$73,2,FALSE)</f>
        <v>#N/A</v>
      </c>
      <c r="I550" s="112" t="s">
        <v>1152</v>
      </c>
    </row>
    <row r="551" spans="1:9" ht="17.45" customHeight="1">
      <c r="A551" s="147"/>
      <c r="B551" s="163" t="s">
        <v>612</v>
      </c>
      <c r="C551" s="283" t="s">
        <v>862</v>
      </c>
      <c r="D551" s="284"/>
      <c r="E551" s="196"/>
      <c r="F551" s="117"/>
      <c r="G551" s="118"/>
      <c r="H551" s="109" t="e">
        <f>VLOOKUP(I551,'공시사항점검표 목차(2023)'!$K$11:$L$73,2,FALSE)</f>
        <v>#N/A</v>
      </c>
      <c r="I551" s="112" t="s">
        <v>1152</v>
      </c>
    </row>
    <row r="552" spans="1:9" ht="28.5">
      <c r="A552" s="282" t="s">
        <v>871</v>
      </c>
      <c r="B552" s="283"/>
      <c r="C552" s="283"/>
      <c r="D552" s="284"/>
      <c r="E552" s="196" t="s">
        <v>97</v>
      </c>
      <c r="F552" s="117"/>
      <c r="G552" s="118"/>
      <c r="H552" s="109" t="e">
        <f>VLOOKUP(I552,'공시사항점검표 목차(2023)'!$K$11:$L$73,2,FALSE)</f>
        <v>#N/A</v>
      </c>
      <c r="I552" s="112" t="s">
        <v>1152</v>
      </c>
    </row>
    <row r="553" spans="1:9" ht="17.45" customHeight="1">
      <c r="A553" s="147"/>
      <c r="B553" s="162" t="s">
        <v>640</v>
      </c>
      <c r="C553" s="283" t="s">
        <v>863</v>
      </c>
      <c r="D553" s="284"/>
      <c r="E553" s="196"/>
      <c r="F553" s="117"/>
      <c r="G553" s="118"/>
      <c r="H553" s="109" t="e">
        <f>VLOOKUP(I553,'공시사항점검표 목차(2023)'!$K$11:$L$73,2,FALSE)</f>
        <v>#N/A</v>
      </c>
      <c r="I553" s="112" t="s">
        <v>1152</v>
      </c>
    </row>
    <row r="554" spans="1:9" ht="28.5">
      <c r="A554" s="147"/>
      <c r="B554" s="163"/>
      <c r="C554" s="108" t="s">
        <v>831</v>
      </c>
      <c r="D554" s="193" t="s">
        <v>866</v>
      </c>
      <c r="E554" s="196"/>
      <c r="F554" s="117"/>
      <c r="G554" s="118"/>
      <c r="H554" s="109" t="e">
        <f>VLOOKUP(I554,'공시사항점검표 목차(2023)'!$K$11:$L$73,2,FALSE)</f>
        <v>#N/A</v>
      </c>
      <c r="I554" s="112" t="s">
        <v>1152</v>
      </c>
    </row>
    <row r="555" spans="1:9">
      <c r="A555" s="147"/>
      <c r="B555" s="163"/>
      <c r="C555" s="108" t="s">
        <v>454</v>
      </c>
      <c r="D555" s="193" t="s">
        <v>867</v>
      </c>
      <c r="E555" s="196"/>
      <c r="F555" s="117"/>
      <c r="G555" s="118"/>
      <c r="H555" s="109" t="e">
        <f>VLOOKUP(I555,'공시사항점검표 목차(2023)'!$K$11:$L$73,2,FALSE)</f>
        <v>#N/A</v>
      </c>
      <c r="I555" s="112" t="s">
        <v>1152</v>
      </c>
    </row>
    <row r="556" spans="1:9">
      <c r="A556" s="147"/>
      <c r="B556" s="163"/>
      <c r="C556" s="108" t="s">
        <v>834</v>
      </c>
      <c r="D556" s="193" t="s">
        <v>868</v>
      </c>
      <c r="E556" s="196"/>
      <c r="F556" s="117"/>
      <c r="G556" s="118"/>
      <c r="H556" s="109" t="e">
        <f>VLOOKUP(I556,'공시사항점검표 목차(2023)'!$K$11:$L$73,2,FALSE)</f>
        <v>#N/A</v>
      </c>
      <c r="I556" s="112" t="s">
        <v>1152</v>
      </c>
    </row>
    <row r="557" spans="1:9" ht="28.5">
      <c r="A557" s="147"/>
      <c r="B557" s="162" t="s">
        <v>482</v>
      </c>
      <c r="C557" s="283" t="s">
        <v>864</v>
      </c>
      <c r="D557" s="284"/>
      <c r="E557" s="196" t="s">
        <v>98</v>
      </c>
      <c r="F557" s="117"/>
      <c r="G557" s="118"/>
      <c r="H557" s="109" t="e">
        <f>VLOOKUP(I557,'공시사항점검표 목차(2023)'!$K$11:$L$73,2,FALSE)</f>
        <v>#N/A</v>
      </c>
      <c r="I557" s="112" t="s">
        <v>1152</v>
      </c>
    </row>
    <row r="558" spans="1:9" ht="28.5">
      <c r="A558" s="147"/>
      <c r="B558" s="163" t="s">
        <v>620</v>
      </c>
      <c r="C558" s="283" t="s">
        <v>865</v>
      </c>
      <c r="D558" s="284"/>
      <c r="E558" s="196" t="s">
        <v>99</v>
      </c>
      <c r="F558" s="132"/>
      <c r="G558" s="118"/>
      <c r="H558" s="109" t="e">
        <f>VLOOKUP(I558,'공시사항점검표 목차(2023)'!$K$11:$L$73,2,FALSE)</f>
        <v>#N/A</v>
      </c>
      <c r="I558" s="112" t="s">
        <v>1152</v>
      </c>
    </row>
    <row r="559" spans="1:9" ht="28.5">
      <c r="A559" s="282" t="s">
        <v>872</v>
      </c>
      <c r="B559" s="283"/>
      <c r="C559" s="283"/>
      <c r="D559" s="284"/>
      <c r="E559" s="196" t="s">
        <v>94</v>
      </c>
      <c r="F559" s="117"/>
      <c r="G559" s="118"/>
      <c r="H559" s="109" t="e">
        <f>VLOOKUP(I559,'공시사항점검표 목차(2023)'!$K$11:$L$73,2,FALSE)</f>
        <v>#N/A</v>
      </c>
      <c r="I559" s="112" t="s">
        <v>1152</v>
      </c>
    </row>
    <row r="560" spans="1:9" ht="31.9" customHeight="1">
      <c r="A560" s="147"/>
      <c r="B560" s="162" t="s">
        <v>640</v>
      </c>
      <c r="C560" s="283" t="s">
        <v>869</v>
      </c>
      <c r="D560" s="284"/>
      <c r="E560" s="196"/>
      <c r="F560" s="117"/>
      <c r="G560" s="118"/>
      <c r="H560" s="109" t="e">
        <f>VLOOKUP(I560,'공시사항점검표 목차(2023)'!$K$11:$L$73,2,FALSE)</f>
        <v>#N/A</v>
      </c>
      <c r="I560" s="112" t="s">
        <v>1152</v>
      </c>
    </row>
    <row r="561" spans="1:9" ht="33" customHeight="1">
      <c r="A561" s="147"/>
      <c r="B561" s="162" t="s">
        <v>482</v>
      </c>
      <c r="C561" s="283" t="s">
        <v>870</v>
      </c>
      <c r="D561" s="284"/>
      <c r="E561" s="146"/>
      <c r="F561" s="117"/>
      <c r="G561" s="118"/>
      <c r="H561" s="109" t="e">
        <f>VLOOKUP(I561,'공시사항점검표 목차(2023)'!$K$11:$L$73,2,FALSE)</f>
        <v>#N/A</v>
      </c>
      <c r="I561" s="112" t="s">
        <v>1152</v>
      </c>
    </row>
    <row r="562" spans="1:9" ht="28.5">
      <c r="A562" s="282" t="s">
        <v>873</v>
      </c>
      <c r="B562" s="283"/>
      <c r="C562" s="283"/>
      <c r="D562" s="284"/>
      <c r="E562" s="196" t="s">
        <v>264</v>
      </c>
      <c r="F562" s="117"/>
      <c r="G562" s="118"/>
      <c r="H562" s="109" t="e">
        <f>VLOOKUP(I562,'공시사항점검표 목차(2023)'!$K$11:$L$73,2,FALSE)</f>
        <v>#N/A</v>
      </c>
      <c r="I562" s="112" t="s">
        <v>1152</v>
      </c>
    </row>
    <row r="563" spans="1:9" ht="28.5">
      <c r="A563" s="285" t="s">
        <v>874</v>
      </c>
      <c r="B563" s="286"/>
      <c r="C563" s="286"/>
      <c r="D563" s="287"/>
      <c r="E563" s="197" t="s">
        <v>100</v>
      </c>
      <c r="F563" s="126"/>
      <c r="G563" s="127"/>
      <c r="H563" s="109" t="e">
        <f>VLOOKUP(I563,'공시사항점검표 목차(2023)'!$K$11:$L$73,2,FALSE)</f>
        <v>#N/A</v>
      </c>
      <c r="I563" s="112" t="s">
        <v>1152</v>
      </c>
    </row>
    <row r="564" spans="1:9" ht="26.45" customHeight="1">
      <c r="A564" s="111" t="s">
        <v>875</v>
      </c>
      <c r="H564" s="109" t="e">
        <f>VLOOKUP(I564,'공시사항점검표 목차(2023)'!$K$11:$L$73,2,FALSE)</f>
        <v>#N/A</v>
      </c>
      <c r="I564" s="112" t="s">
        <v>1153</v>
      </c>
    </row>
    <row r="565" spans="1:9" ht="26.45" customHeight="1">
      <c r="A565" s="269" t="s">
        <v>360</v>
      </c>
      <c r="B565" s="270"/>
      <c r="C565" s="270"/>
      <c r="D565" s="271"/>
      <c r="E565" s="114" t="s">
        <v>157</v>
      </c>
      <c r="F565" s="102" t="s">
        <v>301</v>
      </c>
      <c r="G565" s="114" t="s">
        <v>0</v>
      </c>
      <c r="H565" s="109" t="e">
        <f>VLOOKUP(I565,'공시사항점검표 목차(2023)'!$K$11:$L$73,2,FALSE)</f>
        <v>#N/A</v>
      </c>
      <c r="I565" s="112" t="s">
        <v>1153</v>
      </c>
    </row>
    <row r="566" spans="1:9" ht="55.9" customHeight="1">
      <c r="A566" s="279" t="s">
        <v>109</v>
      </c>
      <c r="B566" s="280"/>
      <c r="C566" s="280"/>
      <c r="D566" s="281"/>
      <c r="E566" s="196" t="s">
        <v>108</v>
      </c>
      <c r="F566" s="117"/>
      <c r="G566" s="118"/>
      <c r="H566" s="109" t="e">
        <f>VLOOKUP(I566,'공시사항점검표 목차(2023)'!$K$11:$L$73,2,FALSE)</f>
        <v>#N/A</v>
      </c>
      <c r="I566" s="112" t="s">
        <v>1153</v>
      </c>
    </row>
    <row r="567" spans="1:9" ht="17.45" customHeight="1">
      <c r="A567" s="147"/>
      <c r="B567" s="162" t="s">
        <v>640</v>
      </c>
      <c r="C567" s="283" t="s">
        <v>876</v>
      </c>
      <c r="D567" s="284"/>
      <c r="E567" s="196"/>
      <c r="F567" s="117"/>
      <c r="G567" s="118"/>
      <c r="H567" s="109" t="e">
        <f>VLOOKUP(I567,'공시사항점검표 목차(2023)'!$K$11:$L$73,2,FALSE)</f>
        <v>#N/A</v>
      </c>
      <c r="I567" s="112" t="s">
        <v>1153</v>
      </c>
    </row>
    <row r="568" spans="1:9" ht="17.45" customHeight="1">
      <c r="A568" s="147"/>
      <c r="B568" s="162" t="s">
        <v>482</v>
      </c>
      <c r="C568" s="283" t="s">
        <v>877</v>
      </c>
      <c r="D568" s="284"/>
      <c r="E568" s="196"/>
      <c r="F568" s="117"/>
      <c r="G568" s="118"/>
      <c r="H568" s="109" t="e">
        <f>VLOOKUP(I568,'공시사항점검표 목차(2023)'!$K$11:$L$73,2,FALSE)</f>
        <v>#N/A</v>
      </c>
      <c r="I568" s="112" t="s">
        <v>1153</v>
      </c>
    </row>
    <row r="569" spans="1:9" ht="17.45" customHeight="1">
      <c r="A569" s="147"/>
      <c r="B569" s="163" t="s">
        <v>620</v>
      </c>
      <c r="C569" s="283" t="s">
        <v>878</v>
      </c>
      <c r="D569" s="284"/>
      <c r="E569" s="196"/>
      <c r="F569" s="117"/>
      <c r="G569" s="118"/>
      <c r="H569" s="109" t="e">
        <f>VLOOKUP(I569,'공시사항점검표 목차(2023)'!$K$11:$L$73,2,FALSE)</f>
        <v>#N/A</v>
      </c>
      <c r="I569" s="112" t="s">
        <v>1153</v>
      </c>
    </row>
    <row r="570" spans="1:9" ht="32.450000000000003" customHeight="1">
      <c r="A570" s="147"/>
      <c r="B570" s="162" t="s">
        <v>837</v>
      </c>
      <c r="C570" s="283" t="s">
        <v>879</v>
      </c>
      <c r="D570" s="284"/>
      <c r="E570" s="196"/>
      <c r="F570" s="117"/>
      <c r="G570" s="118"/>
      <c r="H570" s="109" t="e">
        <f>VLOOKUP(I570,'공시사항점검표 목차(2023)'!$K$11:$L$73,2,FALSE)</f>
        <v>#N/A</v>
      </c>
      <c r="I570" s="112" t="s">
        <v>1153</v>
      </c>
    </row>
    <row r="571" spans="1:9" ht="36.6" customHeight="1">
      <c r="A571" s="147"/>
      <c r="B571" s="162" t="s">
        <v>610</v>
      </c>
      <c r="C571" s="283" t="s">
        <v>880</v>
      </c>
      <c r="D571" s="284"/>
      <c r="E571" s="196"/>
      <c r="F571" s="117"/>
      <c r="G571" s="118"/>
      <c r="H571" s="109" t="e">
        <f>VLOOKUP(I571,'공시사항점검표 목차(2023)'!$K$11:$L$73,2,FALSE)</f>
        <v>#N/A</v>
      </c>
      <c r="I571" s="112" t="s">
        <v>1153</v>
      </c>
    </row>
    <row r="572" spans="1:9">
      <c r="A572" s="147"/>
      <c r="B572" s="163"/>
      <c r="C572" s="108" t="s">
        <v>831</v>
      </c>
      <c r="D572" s="193" t="s">
        <v>881</v>
      </c>
      <c r="E572" s="196"/>
      <c r="F572" s="117"/>
      <c r="G572" s="118"/>
      <c r="H572" s="109" t="e">
        <f>VLOOKUP(I572,'공시사항점검표 목차(2023)'!$K$11:$L$73,2,FALSE)</f>
        <v>#N/A</v>
      </c>
      <c r="I572" s="112" t="s">
        <v>1153</v>
      </c>
    </row>
    <row r="573" spans="1:9">
      <c r="A573" s="147"/>
      <c r="B573" s="163"/>
      <c r="C573" s="108" t="s">
        <v>454</v>
      </c>
      <c r="D573" s="193" t="s">
        <v>882</v>
      </c>
      <c r="E573" s="196"/>
      <c r="F573" s="117"/>
      <c r="G573" s="118"/>
      <c r="H573" s="109" t="e">
        <f>VLOOKUP(I573,'공시사항점검표 목차(2023)'!$K$11:$L$73,2,FALSE)</f>
        <v>#N/A</v>
      </c>
      <c r="I573" s="112" t="s">
        <v>1153</v>
      </c>
    </row>
    <row r="574" spans="1:9">
      <c r="A574" s="147"/>
      <c r="B574" s="163"/>
      <c r="C574" s="108" t="s">
        <v>834</v>
      </c>
      <c r="D574" s="193" t="s">
        <v>883</v>
      </c>
      <c r="E574" s="196"/>
      <c r="F574" s="117"/>
      <c r="G574" s="118"/>
      <c r="H574" s="109" t="e">
        <f>VLOOKUP(I574,'공시사항점검표 목차(2023)'!$K$11:$L$73,2,FALSE)</f>
        <v>#N/A</v>
      </c>
      <c r="I574" s="112" t="s">
        <v>1153</v>
      </c>
    </row>
    <row r="575" spans="1:9" ht="28.5">
      <c r="A575" s="147"/>
      <c r="B575" s="163"/>
      <c r="C575" s="108" t="s">
        <v>457</v>
      </c>
      <c r="D575" s="173" t="s">
        <v>884</v>
      </c>
      <c r="E575" s="196"/>
      <c r="F575" s="117"/>
      <c r="G575" s="118"/>
      <c r="H575" s="109" t="e">
        <f>VLOOKUP(I575,'공시사항점검표 목차(2023)'!$K$11:$L$73,2,FALSE)</f>
        <v>#N/A</v>
      </c>
      <c r="I575" s="112" t="s">
        <v>1153</v>
      </c>
    </row>
    <row r="576" spans="1:9" ht="17.45" customHeight="1">
      <c r="A576" s="147"/>
      <c r="B576" s="163" t="s">
        <v>886</v>
      </c>
      <c r="C576" s="283" t="s">
        <v>885</v>
      </c>
      <c r="D576" s="284"/>
      <c r="E576" s="196"/>
      <c r="F576" s="117"/>
      <c r="G576" s="118"/>
      <c r="H576" s="109" t="e">
        <f>VLOOKUP(I576,'공시사항점검표 목차(2023)'!$K$11:$L$73,2,FALSE)</f>
        <v>#N/A</v>
      </c>
      <c r="I576" s="112" t="s">
        <v>1153</v>
      </c>
    </row>
    <row r="577" spans="1:9">
      <c r="A577" s="147"/>
      <c r="B577" s="163"/>
      <c r="C577" s="108" t="s">
        <v>452</v>
      </c>
      <c r="D577" s="193" t="s">
        <v>887</v>
      </c>
      <c r="E577" s="196"/>
      <c r="F577" s="117"/>
      <c r="G577" s="118"/>
      <c r="H577" s="109" t="e">
        <f>VLOOKUP(I577,'공시사항점검표 목차(2023)'!$K$11:$L$73,2,FALSE)</f>
        <v>#N/A</v>
      </c>
      <c r="I577" s="112" t="s">
        <v>1153</v>
      </c>
    </row>
    <row r="578" spans="1:9">
      <c r="A578" s="147"/>
      <c r="B578" s="163"/>
      <c r="C578" s="108" t="s">
        <v>454</v>
      </c>
      <c r="D578" s="193" t="s">
        <v>888</v>
      </c>
      <c r="E578" s="196"/>
      <c r="F578" s="117"/>
      <c r="G578" s="118"/>
      <c r="H578" s="109" t="e">
        <f>VLOOKUP(I578,'공시사항점검표 목차(2023)'!$K$11:$L$73,2,FALSE)</f>
        <v>#N/A</v>
      </c>
      <c r="I578" s="112" t="s">
        <v>1153</v>
      </c>
    </row>
    <row r="579" spans="1:9" ht="42.75">
      <c r="A579" s="147"/>
      <c r="B579" s="163"/>
      <c r="C579" s="108" t="s">
        <v>834</v>
      </c>
      <c r="D579" s="193" t="s">
        <v>889</v>
      </c>
      <c r="E579" s="196"/>
      <c r="F579" s="117"/>
      <c r="G579" s="118"/>
      <c r="H579" s="109" t="e">
        <f>VLOOKUP(I579,'공시사항점검표 목차(2023)'!$K$11:$L$73,2,FALSE)</f>
        <v>#N/A</v>
      </c>
      <c r="I579" s="112" t="s">
        <v>1153</v>
      </c>
    </row>
    <row r="580" spans="1:9" ht="17.45" customHeight="1">
      <c r="A580" s="147"/>
      <c r="B580" s="163" t="s">
        <v>890</v>
      </c>
      <c r="C580" s="283" t="s">
        <v>891</v>
      </c>
      <c r="D580" s="284"/>
      <c r="E580" s="196"/>
      <c r="F580" s="117"/>
      <c r="G580" s="118"/>
      <c r="H580" s="109" t="e">
        <f>VLOOKUP(I580,'공시사항점검표 목차(2023)'!$K$11:$L$73,2,FALSE)</f>
        <v>#N/A</v>
      </c>
      <c r="I580" s="112" t="s">
        <v>1153</v>
      </c>
    </row>
    <row r="581" spans="1:9" ht="33.6" customHeight="1">
      <c r="A581" s="147"/>
      <c r="B581" s="162" t="s">
        <v>534</v>
      </c>
      <c r="C581" s="283" t="s">
        <v>892</v>
      </c>
      <c r="D581" s="284"/>
      <c r="E581" s="196"/>
      <c r="F581" s="117"/>
      <c r="G581" s="118"/>
      <c r="H581" s="109" t="e">
        <f>VLOOKUP(I581,'공시사항점검표 목차(2023)'!$K$11:$L$73,2,FALSE)</f>
        <v>#N/A</v>
      </c>
      <c r="I581" s="112" t="s">
        <v>1153</v>
      </c>
    </row>
    <row r="582" spans="1:9" ht="47.45" customHeight="1">
      <c r="A582" s="147"/>
      <c r="B582" s="174" t="s">
        <v>894</v>
      </c>
      <c r="C582" s="283" t="s">
        <v>893</v>
      </c>
      <c r="D582" s="284"/>
      <c r="E582" s="196"/>
      <c r="F582" s="117"/>
      <c r="G582" s="118"/>
      <c r="H582" s="109" t="e">
        <f>VLOOKUP(I582,'공시사항점검표 목차(2023)'!$K$11:$L$73,2,FALSE)</f>
        <v>#N/A</v>
      </c>
      <c r="I582" s="112" t="s">
        <v>1153</v>
      </c>
    </row>
    <row r="583" spans="1:9" ht="17.45" customHeight="1">
      <c r="A583" s="147"/>
      <c r="B583" s="163" t="s">
        <v>553</v>
      </c>
      <c r="C583" s="283" t="s">
        <v>895</v>
      </c>
      <c r="D583" s="284"/>
      <c r="E583" s="196"/>
      <c r="F583" s="117"/>
      <c r="G583" s="118"/>
      <c r="H583" s="109" t="e">
        <f>VLOOKUP(I583,'공시사항점검표 목차(2023)'!$K$11:$L$73,2,FALSE)</f>
        <v>#N/A</v>
      </c>
      <c r="I583" s="112" t="s">
        <v>1153</v>
      </c>
    </row>
    <row r="584" spans="1:9" ht="36" customHeight="1">
      <c r="A584" s="147"/>
      <c r="B584" s="163"/>
      <c r="C584" s="283" t="s">
        <v>1</v>
      </c>
      <c r="D584" s="284"/>
      <c r="E584" s="196"/>
      <c r="F584" s="117"/>
      <c r="G584" s="118"/>
      <c r="H584" s="109" t="e">
        <f>VLOOKUP(I584,'공시사항점검표 목차(2023)'!$K$11:$L$73,2,FALSE)</f>
        <v>#N/A</v>
      </c>
      <c r="I584" s="112" t="s">
        <v>1153</v>
      </c>
    </row>
    <row r="585" spans="1:9" ht="33" customHeight="1">
      <c r="A585" s="147"/>
      <c r="B585" s="163"/>
      <c r="C585" s="283" t="s">
        <v>2</v>
      </c>
      <c r="D585" s="284"/>
      <c r="E585" s="196"/>
      <c r="F585" s="117"/>
      <c r="G585" s="118"/>
      <c r="H585" s="109" t="e">
        <f>VLOOKUP(I585,'공시사항점검표 목차(2023)'!$K$11:$L$73,2,FALSE)</f>
        <v>#N/A</v>
      </c>
      <c r="I585" s="112" t="s">
        <v>1153</v>
      </c>
    </row>
    <row r="586" spans="1:9" ht="17.45" customHeight="1">
      <c r="A586" s="147"/>
      <c r="B586" s="163" t="s">
        <v>757</v>
      </c>
      <c r="C586" s="283" t="s">
        <v>896</v>
      </c>
      <c r="D586" s="284"/>
      <c r="E586" s="196"/>
      <c r="F586" s="117"/>
      <c r="G586" s="118"/>
      <c r="H586" s="109" t="e">
        <f>VLOOKUP(I586,'공시사항점검표 목차(2023)'!$K$11:$L$73,2,FALSE)</f>
        <v>#N/A</v>
      </c>
      <c r="I586" s="112" t="s">
        <v>1153</v>
      </c>
    </row>
    <row r="587" spans="1:9" ht="28.5">
      <c r="A587" s="147"/>
      <c r="B587" s="163"/>
      <c r="C587" s="164" t="s">
        <v>831</v>
      </c>
      <c r="D587" s="193" t="s">
        <v>897</v>
      </c>
      <c r="E587" s="196"/>
      <c r="F587" s="117"/>
      <c r="G587" s="118"/>
      <c r="H587" s="109" t="e">
        <f>VLOOKUP(I587,'공시사항점검표 목차(2023)'!$K$11:$L$73,2,FALSE)</f>
        <v>#N/A</v>
      </c>
      <c r="I587" s="112" t="s">
        <v>1153</v>
      </c>
    </row>
    <row r="588" spans="1:9" ht="28.5">
      <c r="A588" s="147"/>
      <c r="B588" s="163"/>
      <c r="C588" s="164" t="s">
        <v>454</v>
      </c>
      <c r="D588" s="193" t="s">
        <v>898</v>
      </c>
      <c r="E588" s="196"/>
      <c r="F588" s="117"/>
      <c r="G588" s="118"/>
      <c r="H588" s="109" t="e">
        <f>VLOOKUP(I588,'공시사항점검표 목차(2023)'!$K$11:$L$73,2,FALSE)</f>
        <v>#N/A</v>
      </c>
      <c r="I588" s="112" t="s">
        <v>1153</v>
      </c>
    </row>
    <row r="589" spans="1:9" ht="28.5">
      <c r="A589" s="147"/>
      <c r="B589" s="163"/>
      <c r="C589" s="164" t="s">
        <v>834</v>
      </c>
      <c r="D589" s="193" t="s">
        <v>899</v>
      </c>
      <c r="E589" s="196"/>
      <c r="F589" s="117"/>
      <c r="G589" s="118"/>
      <c r="H589" s="109" t="e">
        <f>VLOOKUP(I589,'공시사항점검표 목차(2023)'!$K$11:$L$73,2,FALSE)</f>
        <v>#N/A</v>
      </c>
      <c r="I589" s="112" t="s">
        <v>1153</v>
      </c>
    </row>
    <row r="590" spans="1:9" ht="39" customHeight="1">
      <c r="A590" s="282" t="s">
        <v>320</v>
      </c>
      <c r="B590" s="283"/>
      <c r="C590" s="283"/>
      <c r="D590" s="284"/>
      <c r="E590" s="117" t="s">
        <v>241</v>
      </c>
      <c r="F590" s="117"/>
      <c r="G590" s="118"/>
      <c r="H590" s="109" t="e">
        <f>VLOOKUP(I590,'공시사항점검표 목차(2023)'!$K$11:$L$73,2,FALSE)</f>
        <v>#N/A</v>
      </c>
      <c r="I590" s="112" t="s">
        <v>1153</v>
      </c>
    </row>
    <row r="591" spans="1:9" ht="52.9" customHeight="1">
      <c r="A591" s="147"/>
      <c r="B591" s="164" t="s">
        <v>904</v>
      </c>
      <c r="C591" s="283" t="s">
        <v>903</v>
      </c>
      <c r="D591" s="284"/>
      <c r="E591" s="152"/>
      <c r="F591" s="117"/>
      <c r="G591" s="118"/>
      <c r="H591" s="109" t="e">
        <f>VLOOKUP(I591,'공시사항점검표 목차(2023)'!$K$11:$L$73,2,FALSE)</f>
        <v>#N/A</v>
      </c>
      <c r="I591" s="112" t="s">
        <v>1153</v>
      </c>
    </row>
    <row r="592" spans="1:9">
      <c r="A592" s="147"/>
      <c r="B592" s="163"/>
      <c r="C592" s="164" t="s">
        <v>831</v>
      </c>
      <c r="D592" s="193" t="s">
        <v>900</v>
      </c>
      <c r="E592" s="152"/>
      <c r="F592" s="117"/>
      <c r="G592" s="118"/>
      <c r="H592" s="109" t="e">
        <f>VLOOKUP(I592,'공시사항점검표 목차(2023)'!$K$11:$L$73,2,FALSE)</f>
        <v>#N/A</v>
      </c>
      <c r="I592" s="112" t="s">
        <v>1153</v>
      </c>
    </row>
    <row r="593" spans="1:9">
      <c r="A593" s="147"/>
      <c r="B593" s="163"/>
      <c r="C593" s="164" t="s">
        <v>454</v>
      </c>
      <c r="D593" s="193" t="s">
        <v>901</v>
      </c>
      <c r="E593" s="152"/>
      <c r="F593" s="117"/>
      <c r="G593" s="118"/>
      <c r="H593" s="109" t="e">
        <f>VLOOKUP(I593,'공시사항점검표 목차(2023)'!$K$11:$L$73,2,FALSE)</f>
        <v>#N/A</v>
      </c>
      <c r="I593" s="112" t="s">
        <v>1153</v>
      </c>
    </row>
    <row r="594" spans="1:9" ht="28.5">
      <c r="A594" s="147"/>
      <c r="B594" s="163"/>
      <c r="C594" s="164" t="s">
        <v>834</v>
      </c>
      <c r="D594" s="193" t="s">
        <v>902</v>
      </c>
      <c r="E594" s="152"/>
      <c r="F594" s="117"/>
      <c r="G594" s="118"/>
      <c r="H594" s="109" t="e">
        <f>VLOOKUP(I594,'공시사항점검표 목차(2023)'!$K$11:$L$73,2,FALSE)</f>
        <v>#N/A</v>
      </c>
      <c r="I594" s="112" t="s">
        <v>1153</v>
      </c>
    </row>
    <row r="595" spans="1:9" ht="48.6" customHeight="1">
      <c r="A595" s="147"/>
      <c r="B595" s="164" t="s">
        <v>906</v>
      </c>
      <c r="C595" s="283" t="s">
        <v>905</v>
      </c>
      <c r="D595" s="284"/>
      <c r="E595" s="152"/>
      <c r="F595" s="117"/>
      <c r="G595" s="118"/>
      <c r="H595" s="109" t="e">
        <f>VLOOKUP(I595,'공시사항점검표 목차(2023)'!$K$11:$L$73,2,FALSE)</f>
        <v>#N/A</v>
      </c>
      <c r="I595" s="112" t="s">
        <v>1153</v>
      </c>
    </row>
    <row r="596" spans="1:9">
      <c r="A596" s="147"/>
      <c r="B596" s="163"/>
      <c r="C596" s="164" t="s">
        <v>831</v>
      </c>
      <c r="D596" s="193" t="s">
        <v>907</v>
      </c>
      <c r="E596" s="152"/>
      <c r="F596" s="117"/>
      <c r="G596" s="118"/>
      <c r="H596" s="109" t="e">
        <f>VLOOKUP(I596,'공시사항점검표 목차(2023)'!$K$11:$L$73,2,FALSE)</f>
        <v>#N/A</v>
      </c>
      <c r="I596" s="112" t="s">
        <v>1153</v>
      </c>
    </row>
    <row r="597" spans="1:9">
      <c r="A597" s="147"/>
      <c r="B597" s="163"/>
      <c r="C597" s="164" t="s">
        <v>454</v>
      </c>
      <c r="D597" s="193" t="s">
        <v>908</v>
      </c>
      <c r="E597" s="152"/>
      <c r="F597" s="117"/>
      <c r="G597" s="118"/>
      <c r="H597" s="109" t="e">
        <f>VLOOKUP(I597,'공시사항점검표 목차(2023)'!$K$11:$L$73,2,FALSE)</f>
        <v>#N/A</v>
      </c>
      <c r="I597" s="112" t="s">
        <v>1153</v>
      </c>
    </row>
    <row r="598" spans="1:9">
      <c r="A598" s="147"/>
      <c r="B598" s="163"/>
      <c r="C598" s="164" t="s">
        <v>834</v>
      </c>
      <c r="D598" s="193" t="s">
        <v>909</v>
      </c>
      <c r="E598" s="152"/>
      <c r="F598" s="117"/>
      <c r="G598" s="118"/>
      <c r="H598" s="109" t="e">
        <f>VLOOKUP(I598,'공시사항점검표 목차(2023)'!$K$11:$L$73,2,FALSE)</f>
        <v>#N/A</v>
      </c>
      <c r="I598" s="112" t="s">
        <v>1153</v>
      </c>
    </row>
    <row r="599" spans="1:9" ht="54" customHeight="1">
      <c r="A599" s="147"/>
      <c r="B599" s="164" t="s">
        <v>724</v>
      </c>
      <c r="C599" s="283" t="s">
        <v>910</v>
      </c>
      <c r="D599" s="284"/>
      <c r="E599" s="152"/>
      <c r="F599" s="117"/>
      <c r="G599" s="118"/>
      <c r="H599" s="109" t="e">
        <f>VLOOKUP(I599,'공시사항점검표 목차(2023)'!$K$11:$L$73,2,FALSE)</f>
        <v>#N/A</v>
      </c>
      <c r="I599" s="112" t="s">
        <v>1153</v>
      </c>
    </row>
    <row r="600" spans="1:9" ht="34.15" customHeight="1">
      <c r="A600" s="147"/>
      <c r="B600" s="164" t="s">
        <v>460</v>
      </c>
      <c r="C600" s="283" t="s">
        <v>911</v>
      </c>
      <c r="D600" s="284"/>
      <c r="E600" s="152"/>
      <c r="F600" s="117"/>
      <c r="G600" s="118"/>
      <c r="H600" s="109" t="e">
        <f>VLOOKUP(I600,'공시사항점검표 목차(2023)'!$K$11:$L$73,2,FALSE)</f>
        <v>#N/A</v>
      </c>
      <c r="I600" s="112" t="s">
        <v>1153</v>
      </c>
    </row>
    <row r="601" spans="1:9">
      <c r="A601" s="147"/>
      <c r="B601" s="163"/>
      <c r="C601" s="164" t="s">
        <v>831</v>
      </c>
      <c r="D601" s="193" t="s">
        <v>912</v>
      </c>
      <c r="E601" s="152"/>
      <c r="F601" s="117"/>
      <c r="G601" s="118"/>
      <c r="H601" s="109" t="e">
        <f>VLOOKUP(I601,'공시사항점검표 목차(2023)'!$K$11:$L$73,2,FALSE)</f>
        <v>#N/A</v>
      </c>
      <c r="I601" s="112" t="s">
        <v>1153</v>
      </c>
    </row>
    <row r="602" spans="1:9">
      <c r="A602" s="147"/>
      <c r="B602" s="163"/>
      <c r="C602" s="164" t="s">
        <v>454</v>
      </c>
      <c r="D602" s="193" t="s">
        <v>913</v>
      </c>
      <c r="E602" s="152"/>
      <c r="F602" s="117"/>
      <c r="G602" s="118"/>
      <c r="H602" s="109" t="e">
        <f>VLOOKUP(I602,'공시사항점검표 목차(2023)'!$K$11:$L$73,2,FALSE)</f>
        <v>#N/A</v>
      </c>
      <c r="I602" s="112" t="s">
        <v>1153</v>
      </c>
    </row>
    <row r="603" spans="1:9">
      <c r="A603" s="147"/>
      <c r="B603" s="163"/>
      <c r="C603" s="164" t="s">
        <v>834</v>
      </c>
      <c r="D603" s="193" t="s">
        <v>914</v>
      </c>
      <c r="E603" s="152"/>
      <c r="F603" s="117"/>
      <c r="G603" s="118"/>
      <c r="H603" s="109" t="e">
        <f>VLOOKUP(I603,'공시사항점검표 목차(2023)'!$K$11:$L$73,2,FALSE)</f>
        <v>#N/A</v>
      </c>
      <c r="I603" s="112" t="s">
        <v>1153</v>
      </c>
    </row>
    <row r="604" spans="1:9" ht="42.75">
      <c r="A604" s="147"/>
      <c r="B604" s="163"/>
      <c r="C604" s="164" t="s">
        <v>916</v>
      </c>
      <c r="D604" s="193" t="s">
        <v>915</v>
      </c>
      <c r="E604" s="152"/>
      <c r="F604" s="117"/>
      <c r="G604" s="118"/>
      <c r="H604" s="109" t="e">
        <f>VLOOKUP(I604,'공시사항점검표 목차(2023)'!$K$11:$L$73,2,FALSE)</f>
        <v>#N/A</v>
      </c>
      <c r="I604" s="112" t="s">
        <v>1153</v>
      </c>
    </row>
    <row r="605" spans="1:9">
      <c r="A605" s="147"/>
      <c r="B605" s="163"/>
      <c r="C605" s="108" t="s">
        <v>525</v>
      </c>
      <c r="D605" s="193" t="s">
        <v>917</v>
      </c>
      <c r="E605" s="152"/>
      <c r="F605" s="117"/>
      <c r="G605" s="118"/>
      <c r="H605" s="109" t="e">
        <f>VLOOKUP(I605,'공시사항점검표 목차(2023)'!$K$11:$L$73,2,FALSE)</f>
        <v>#N/A</v>
      </c>
      <c r="I605" s="112" t="s">
        <v>1153</v>
      </c>
    </row>
    <row r="606" spans="1:9">
      <c r="A606" s="147"/>
      <c r="B606" s="163"/>
      <c r="C606" s="108" t="s">
        <v>813</v>
      </c>
      <c r="D606" s="193" t="s">
        <v>918</v>
      </c>
      <c r="E606" s="152"/>
      <c r="F606" s="117"/>
      <c r="G606" s="118"/>
      <c r="H606" s="109" t="e">
        <f>VLOOKUP(I606,'공시사항점검표 목차(2023)'!$K$11:$L$73,2,FALSE)</f>
        <v>#N/A</v>
      </c>
      <c r="I606" s="112" t="s">
        <v>1153</v>
      </c>
    </row>
    <row r="607" spans="1:9">
      <c r="A607" s="147"/>
      <c r="B607" s="163"/>
      <c r="C607" s="108" t="s">
        <v>816</v>
      </c>
      <c r="D607" s="193" t="s">
        <v>919</v>
      </c>
      <c r="E607" s="152"/>
      <c r="F607" s="117"/>
      <c r="G607" s="118"/>
      <c r="H607" s="109" t="e">
        <f>VLOOKUP(I607,'공시사항점검표 목차(2023)'!$K$11:$L$73,2,FALSE)</f>
        <v>#N/A</v>
      </c>
      <c r="I607" s="112" t="s">
        <v>1153</v>
      </c>
    </row>
    <row r="608" spans="1:9" ht="34.15" customHeight="1">
      <c r="A608" s="147"/>
      <c r="B608" s="164" t="s">
        <v>735</v>
      </c>
      <c r="C608" s="283" t="s">
        <v>920</v>
      </c>
      <c r="D608" s="284"/>
      <c r="E608" s="152"/>
      <c r="F608" s="117"/>
      <c r="G608" s="118"/>
      <c r="H608" s="109" t="e">
        <f>VLOOKUP(I608,'공시사항점검표 목차(2023)'!$K$11:$L$73,2,FALSE)</f>
        <v>#N/A</v>
      </c>
      <c r="I608" s="112" t="s">
        <v>1153</v>
      </c>
    </row>
    <row r="609" spans="1:9" ht="28.5">
      <c r="A609" s="147"/>
      <c r="B609" s="163"/>
      <c r="C609" s="164" t="s">
        <v>831</v>
      </c>
      <c r="D609" s="193" t="s">
        <v>921</v>
      </c>
      <c r="E609" s="152"/>
      <c r="F609" s="117"/>
      <c r="G609" s="118"/>
      <c r="H609" s="109" t="e">
        <f>VLOOKUP(I609,'공시사항점검표 목차(2023)'!$K$11:$L$73,2,FALSE)</f>
        <v>#N/A</v>
      </c>
      <c r="I609" s="112" t="s">
        <v>1153</v>
      </c>
    </row>
    <row r="610" spans="1:9" ht="28.5">
      <c r="A610" s="148"/>
      <c r="B610" s="165"/>
      <c r="C610" s="175" t="s">
        <v>454</v>
      </c>
      <c r="D610" s="194" t="s">
        <v>922</v>
      </c>
      <c r="E610" s="153"/>
      <c r="F610" s="126"/>
      <c r="G610" s="127"/>
      <c r="H610" s="109" t="e">
        <f>VLOOKUP(I610,'공시사항점검표 목차(2023)'!$K$11:$L$73,2,FALSE)</f>
        <v>#N/A</v>
      </c>
      <c r="I610" s="112" t="s">
        <v>1153</v>
      </c>
    </row>
    <row r="611" spans="1:9" ht="26.45" customHeight="1">
      <c r="A611" s="111" t="s">
        <v>923</v>
      </c>
      <c r="H611" s="109" t="e">
        <f>VLOOKUP(I611,'공시사항점검표 목차(2023)'!$K$11:$L$73,2,FALSE)</f>
        <v>#N/A</v>
      </c>
      <c r="I611" s="112" t="s">
        <v>1154</v>
      </c>
    </row>
    <row r="612" spans="1:9" ht="26.45" hidden="1" customHeight="1">
      <c r="A612" s="269" t="s">
        <v>360</v>
      </c>
      <c r="B612" s="270"/>
      <c r="C612" s="270"/>
      <c r="D612" s="271"/>
      <c r="E612" s="114" t="s">
        <v>157</v>
      </c>
      <c r="F612" s="102" t="s">
        <v>301</v>
      </c>
      <c r="G612" s="114" t="s">
        <v>0</v>
      </c>
      <c r="H612" s="109" t="e">
        <f>VLOOKUP(I612,'공시사항점검표 목차(2023)'!$K$11:$L$73,2,FALSE)</f>
        <v>#N/A</v>
      </c>
      <c r="I612" s="112" t="s">
        <v>1154</v>
      </c>
    </row>
    <row r="613" spans="1:9" ht="28.5">
      <c r="A613" s="279" t="s">
        <v>102</v>
      </c>
      <c r="B613" s="280"/>
      <c r="C613" s="280"/>
      <c r="D613" s="281"/>
      <c r="E613" s="196" t="s">
        <v>101</v>
      </c>
      <c r="F613" s="117"/>
      <c r="G613" s="118"/>
      <c r="H613" s="109" t="e">
        <f>VLOOKUP(I613,'공시사항점검표 목차(2023)'!$K$11:$L$73,2,FALSE)</f>
        <v>#N/A</v>
      </c>
      <c r="I613" s="112" t="s">
        <v>1154</v>
      </c>
    </row>
    <row r="614" spans="1:9" ht="17.45" customHeight="1">
      <c r="A614" s="147"/>
      <c r="B614" s="162" t="s">
        <v>640</v>
      </c>
      <c r="C614" s="283" t="s">
        <v>924</v>
      </c>
      <c r="D614" s="284"/>
      <c r="E614" s="196"/>
      <c r="F614" s="117"/>
      <c r="G614" s="118"/>
      <c r="H614" s="109" t="e">
        <f>VLOOKUP(I614,'공시사항점검표 목차(2023)'!$K$11:$L$73,2,FALSE)</f>
        <v>#N/A</v>
      </c>
      <c r="I614" s="112" t="s">
        <v>1154</v>
      </c>
    </row>
    <row r="615" spans="1:9" ht="17.45" customHeight="1">
      <c r="A615" s="147"/>
      <c r="B615" s="162" t="s">
        <v>482</v>
      </c>
      <c r="C615" s="283" t="s">
        <v>925</v>
      </c>
      <c r="D615" s="284"/>
      <c r="E615" s="196"/>
      <c r="F615" s="117"/>
      <c r="G615" s="118"/>
      <c r="H615" s="109" t="e">
        <f>VLOOKUP(I615,'공시사항점검표 목차(2023)'!$K$11:$L$73,2,FALSE)</f>
        <v>#N/A</v>
      </c>
      <c r="I615" s="112" t="s">
        <v>1154</v>
      </c>
    </row>
    <row r="616" spans="1:9" ht="17.45" customHeight="1">
      <c r="A616" s="147"/>
      <c r="B616" s="163" t="s">
        <v>620</v>
      </c>
      <c r="C616" s="283" t="s">
        <v>926</v>
      </c>
      <c r="D616" s="284"/>
      <c r="E616" s="196"/>
      <c r="F616" s="117"/>
      <c r="G616" s="118"/>
      <c r="H616" s="109" t="e">
        <f>VLOOKUP(I616,'공시사항점검표 목차(2023)'!$K$11:$L$73,2,FALSE)</f>
        <v>#N/A</v>
      </c>
      <c r="I616" s="112" t="s">
        <v>1154</v>
      </c>
    </row>
    <row r="617" spans="1:9" ht="48" customHeight="1">
      <c r="A617" s="147"/>
      <c r="B617" s="162" t="s">
        <v>837</v>
      </c>
      <c r="C617" s="283" t="s">
        <v>927</v>
      </c>
      <c r="D617" s="284"/>
      <c r="E617" s="196"/>
      <c r="F617" s="117"/>
      <c r="G617" s="118"/>
      <c r="H617" s="109" t="e">
        <f>VLOOKUP(I617,'공시사항점검표 목차(2023)'!$K$11:$L$73,2,FALSE)</f>
        <v>#N/A</v>
      </c>
      <c r="I617" s="112" t="s">
        <v>1154</v>
      </c>
    </row>
    <row r="618" spans="1:9" ht="17.45" customHeight="1">
      <c r="A618" s="147"/>
      <c r="B618" s="163" t="s">
        <v>610</v>
      </c>
      <c r="C618" s="283" t="s">
        <v>928</v>
      </c>
      <c r="D618" s="284"/>
      <c r="E618" s="196"/>
      <c r="F618" s="117"/>
      <c r="G618" s="118"/>
      <c r="H618" s="109" t="e">
        <f>VLOOKUP(I618,'공시사항점검표 목차(2023)'!$K$11:$L$73,2,FALSE)</f>
        <v>#N/A</v>
      </c>
      <c r="I618" s="112" t="s">
        <v>1154</v>
      </c>
    </row>
    <row r="619" spans="1:9" ht="17.45" customHeight="1">
      <c r="A619" s="147"/>
      <c r="B619" s="163" t="s">
        <v>612</v>
      </c>
      <c r="C619" s="283" t="s">
        <v>929</v>
      </c>
      <c r="D619" s="284"/>
      <c r="E619" s="146"/>
      <c r="F619" s="117"/>
      <c r="G619" s="118"/>
      <c r="H619" s="109" t="e">
        <f>VLOOKUP(I619,'공시사항점검표 목차(2023)'!$K$11:$L$73,2,FALSE)</f>
        <v>#N/A</v>
      </c>
      <c r="I619" s="112" t="s">
        <v>1154</v>
      </c>
    </row>
    <row r="620" spans="1:9" ht="17.45" customHeight="1">
      <c r="A620" s="147"/>
      <c r="B620" s="163" t="s">
        <v>695</v>
      </c>
      <c r="C620" s="283" t="s">
        <v>930</v>
      </c>
      <c r="D620" s="284"/>
      <c r="E620" s="196"/>
      <c r="F620" s="117"/>
      <c r="G620" s="118"/>
      <c r="H620" s="109" t="e">
        <f>VLOOKUP(I620,'공시사항점검표 목차(2023)'!$K$11:$L$73,2,FALSE)</f>
        <v>#N/A</v>
      </c>
      <c r="I620" s="112" t="s">
        <v>1154</v>
      </c>
    </row>
    <row r="621" spans="1:9" ht="28.5">
      <c r="A621" s="282" t="s">
        <v>104</v>
      </c>
      <c r="B621" s="283"/>
      <c r="C621" s="283"/>
      <c r="D621" s="284"/>
      <c r="E621" s="196" t="s">
        <v>103</v>
      </c>
      <c r="F621" s="117"/>
      <c r="G621" s="118"/>
      <c r="H621" s="109" t="e">
        <f>VLOOKUP(I621,'공시사항점검표 목차(2023)'!$K$11:$L$73,2,FALSE)</f>
        <v>#N/A</v>
      </c>
      <c r="I621" s="112" t="s">
        <v>1154</v>
      </c>
    </row>
    <row r="622" spans="1:9" ht="36" customHeight="1">
      <c r="A622" s="147"/>
      <c r="B622" s="162" t="s">
        <v>640</v>
      </c>
      <c r="C622" s="283" t="s">
        <v>931</v>
      </c>
      <c r="D622" s="284"/>
      <c r="E622" s="196"/>
      <c r="F622" s="117"/>
      <c r="G622" s="118"/>
      <c r="H622" s="109" t="e">
        <f>VLOOKUP(I622,'공시사항점검표 목차(2023)'!$K$11:$L$73,2,FALSE)</f>
        <v>#N/A</v>
      </c>
      <c r="I622" s="112" t="s">
        <v>1154</v>
      </c>
    </row>
    <row r="623" spans="1:9" ht="17.45" customHeight="1">
      <c r="A623" s="148"/>
      <c r="B623" s="166" t="s">
        <v>482</v>
      </c>
      <c r="C623" s="286" t="s">
        <v>932</v>
      </c>
      <c r="D623" s="287"/>
      <c r="E623" s="171"/>
      <c r="F623" s="126"/>
      <c r="G623" s="127"/>
      <c r="H623" s="109" t="e">
        <f>VLOOKUP(I623,'공시사항점검표 목차(2023)'!$K$11:$L$73,2,FALSE)</f>
        <v>#N/A</v>
      </c>
      <c r="I623" s="112" t="s">
        <v>1154</v>
      </c>
    </row>
    <row r="624" spans="1:9" ht="26.45" customHeight="1">
      <c r="A624" s="111" t="s">
        <v>933</v>
      </c>
      <c r="H624" s="109" t="e">
        <f>VLOOKUP(I624,'공시사항점검표 목차(2023)'!$K$11:$L$73,2,FALSE)</f>
        <v>#N/A</v>
      </c>
      <c r="I624" s="112" t="s">
        <v>1155</v>
      </c>
    </row>
    <row r="625" spans="1:9" ht="26.45" customHeight="1">
      <c r="A625" s="269" t="s">
        <v>360</v>
      </c>
      <c r="B625" s="270"/>
      <c r="C625" s="270"/>
      <c r="D625" s="271"/>
      <c r="E625" s="114" t="s">
        <v>157</v>
      </c>
      <c r="F625" s="102" t="s">
        <v>301</v>
      </c>
      <c r="G625" s="114" t="s">
        <v>0</v>
      </c>
      <c r="H625" s="109" t="e">
        <f>VLOOKUP(I625,'공시사항점검표 목차(2023)'!$K$11:$L$73,2,FALSE)</f>
        <v>#N/A</v>
      </c>
      <c r="I625" s="112" t="s">
        <v>1155</v>
      </c>
    </row>
    <row r="626" spans="1:9" ht="55.15" customHeight="1">
      <c r="A626" s="279" t="s">
        <v>936</v>
      </c>
      <c r="B626" s="280"/>
      <c r="C626" s="280"/>
      <c r="D626" s="281"/>
      <c r="E626" s="196" t="s">
        <v>106</v>
      </c>
      <c r="F626" s="117"/>
      <c r="G626" s="118"/>
      <c r="H626" s="109" t="e">
        <f>VLOOKUP(I626,'공시사항점검표 목차(2023)'!$K$11:$L$73,2,FALSE)</f>
        <v>#N/A</v>
      </c>
      <c r="I626" s="112" t="s">
        <v>1155</v>
      </c>
    </row>
    <row r="627" spans="1:9" ht="17.45" customHeight="1">
      <c r="A627" s="147"/>
      <c r="B627" s="162" t="s">
        <v>640</v>
      </c>
      <c r="C627" s="283" t="s">
        <v>934</v>
      </c>
      <c r="D627" s="284"/>
      <c r="E627" s="196"/>
      <c r="F627" s="117"/>
      <c r="G627" s="118"/>
      <c r="H627" s="109" t="e">
        <f>VLOOKUP(I627,'공시사항점검표 목차(2023)'!$K$11:$L$73,2,FALSE)</f>
        <v>#N/A</v>
      </c>
      <c r="I627" s="112" t="s">
        <v>1155</v>
      </c>
    </row>
    <row r="628" spans="1:9" ht="17.45" customHeight="1">
      <c r="A628" s="147"/>
      <c r="B628" s="162" t="s">
        <v>482</v>
      </c>
      <c r="C628" s="283" t="s">
        <v>935</v>
      </c>
      <c r="D628" s="284"/>
      <c r="E628" s="196"/>
      <c r="F628" s="117"/>
      <c r="G628" s="118"/>
      <c r="H628" s="109" t="e">
        <f>VLOOKUP(I628,'공시사항점검표 목차(2023)'!$K$11:$L$73,2,FALSE)</f>
        <v>#N/A</v>
      </c>
      <c r="I628" s="112" t="s">
        <v>1155</v>
      </c>
    </row>
    <row r="629" spans="1:9" ht="17.45" customHeight="1">
      <c r="A629" s="147"/>
      <c r="B629" s="163" t="s">
        <v>620</v>
      </c>
      <c r="C629" s="283" t="s">
        <v>937</v>
      </c>
      <c r="D629" s="284"/>
      <c r="E629" s="196"/>
      <c r="F629" s="117"/>
      <c r="G629" s="118"/>
      <c r="H629" s="109" t="e">
        <f>VLOOKUP(I629,'공시사항점검표 목차(2023)'!$K$11:$L$73,2,FALSE)</f>
        <v>#N/A</v>
      </c>
      <c r="I629" s="112" t="s">
        <v>1155</v>
      </c>
    </row>
    <row r="630" spans="1:9" ht="37.9" customHeight="1">
      <c r="A630" s="148"/>
      <c r="B630" s="166" t="s">
        <v>837</v>
      </c>
      <c r="C630" s="286" t="s">
        <v>938</v>
      </c>
      <c r="D630" s="287"/>
      <c r="E630" s="171"/>
      <c r="F630" s="126"/>
      <c r="G630" s="127"/>
      <c r="H630" s="109" t="e">
        <f>VLOOKUP(I630,'공시사항점검표 목차(2023)'!$K$11:$L$73,2,FALSE)</f>
        <v>#N/A</v>
      </c>
      <c r="I630" s="112" t="s">
        <v>1155</v>
      </c>
    </row>
    <row r="631" spans="1:9" ht="26.45" customHeight="1">
      <c r="A631" s="111" t="s">
        <v>939</v>
      </c>
      <c r="H631" s="109" t="e">
        <f>VLOOKUP(I631,'공시사항점검표 목차(2023)'!$K$11:$L$73,2,FALSE)</f>
        <v>#N/A</v>
      </c>
      <c r="I631" s="112" t="s">
        <v>1156</v>
      </c>
    </row>
    <row r="632" spans="1:9" ht="26.45" customHeight="1">
      <c r="A632" s="269" t="s">
        <v>360</v>
      </c>
      <c r="B632" s="270"/>
      <c r="C632" s="270"/>
      <c r="D632" s="271"/>
      <c r="E632" s="114" t="s">
        <v>157</v>
      </c>
      <c r="F632" s="102" t="s">
        <v>301</v>
      </c>
      <c r="G632" s="114" t="s">
        <v>0</v>
      </c>
      <c r="H632" s="109" t="e">
        <f>VLOOKUP(I632,'공시사항점검표 목차(2023)'!$K$11:$L$73,2,FALSE)</f>
        <v>#N/A</v>
      </c>
      <c r="I632" s="112" t="s">
        <v>1156</v>
      </c>
    </row>
    <row r="633" spans="1:9" ht="28.5">
      <c r="A633" s="279" t="s">
        <v>125</v>
      </c>
      <c r="B633" s="280"/>
      <c r="C633" s="280"/>
      <c r="D633" s="281"/>
      <c r="E633" s="196" t="s">
        <v>124</v>
      </c>
      <c r="F633" s="117"/>
      <c r="G633" s="118"/>
      <c r="H633" s="109" t="e">
        <f>VLOOKUP(I633,'공시사항점검표 목차(2023)'!$K$11:$L$73,2,FALSE)</f>
        <v>#N/A</v>
      </c>
      <c r="I633" s="112" t="s">
        <v>1156</v>
      </c>
    </row>
    <row r="634" spans="1:9" ht="28.5">
      <c r="A634" s="147"/>
      <c r="B634" s="163" t="s">
        <v>656</v>
      </c>
      <c r="C634" s="283" t="s">
        <v>940</v>
      </c>
      <c r="D634" s="284"/>
      <c r="E634" s="196" t="s">
        <v>126</v>
      </c>
      <c r="F634" s="117"/>
      <c r="G634" s="118"/>
      <c r="H634" s="109" t="e">
        <f>VLOOKUP(I634,'공시사항점검표 목차(2023)'!$K$11:$L$73,2,FALSE)</f>
        <v>#N/A</v>
      </c>
      <c r="I634" s="112" t="s">
        <v>1156</v>
      </c>
    </row>
    <row r="635" spans="1:9" ht="33" customHeight="1">
      <c r="A635" s="147"/>
      <c r="B635" s="162" t="s">
        <v>482</v>
      </c>
      <c r="C635" s="283" t="s">
        <v>941</v>
      </c>
      <c r="D635" s="284"/>
      <c r="E635" s="196"/>
      <c r="F635" s="132"/>
      <c r="G635" s="118"/>
      <c r="H635" s="109" t="e">
        <f>VLOOKUP(I635,'공시사항점검표 목차(2023)'!$K$11:$L$73,2,FALSE)</f>
        <v>#N/A</v>
      </c>
      <c r="I635" s="112" t="s">
        <v>1156</v>
      </c>
    </row>
    <row r="636" spans="1:9" ht="19.149999999999999" customHeight="1">
      <c r="A636" s="147"/>
      <c r="B636" s="162"/>
      <c r="C636" s="108" t="s">
        <v>452</v>
      </c>
      <c r="D636" s="193" t="s">
        <v>944</v>
      </c>
      <c r="E636" s="196"/>
      <c r="F636" s="117"/>
      <c r="G636" s="118"/>
      <c r="H636" s="109" t="e">
        <f>VLOOKUP(I636,'공시사항점검표 목차(2023)'!$K$11:$L$73,2,FALSE)</f>
        <v>#N/A</v>
      </c>
      <c r="I636" s="112" t="s">
        <v>1156</v>
      </c>
    </row>
    <row r="637" spans="1:9" ht="28.5">
      <c r="A637" s="147"/>
      <c r="B637" s="162"/>
      <c r="C637" s="162" t="s">
        <v>824</v>
      </c>
      <c r="D637" s="193" t="s">
        <v>945</v>
      </c>
      <c r="E637" s="196"/>
      <c r="F637" s="117"/>
      <c r="G637" s="118"/>
      <c r="H637" s="109" t="e">
        <f>VLOOKUP(I637,'공시사항점검표 목차(2023)'!$K$11:$L$73,2,FALSE)</f>
        <v>#N/A</v>
      </c>
      <c r="I637" s="112" t="s">
        <v>1156</v>
      </c>
    </row>
    <row r="638" spans="1:9" ht="35.450000000000003" customHeight="1">
      <c r="A638" s="147"/>
      <c r="B638" s="162" t="s">
        <v>943</v>
      </c>
      <c r="C638" s="283" t="s">
        <v>942</v>
      </c>
      <c r="D638" s="284"/>
      <c r="E638" s="196"/>
      <c r="F638" s="117"/>
      <c r="G638" s="118"/>
      <c r="H638" s="109" t="e">
        <f>VLOOKUP(I638,'공시사항점검표 목차(2023)'!$K$11:$L$73,2,FALSE)</f>
        <v>#N/A</v>
      </c>
      <c r="I638" s="112" t="s">
        <v>1156</v>
      </c>
    </row>
    <row r="639" spans="1:9" ht="34.15" customHeight="1">
      <c r="A639" s="282" t="s">
        <v>321</v>
      </c>
      <c r="B639" s="283"/>
      <c r="C639" s="283"/>
      <c r="D639" s="284"/>
      <c r="E639" s="196" t="s">
        <v>127</v>
      </c>
      <c r="F639" s="117"/>
      <c r="G639" s="118"/>
      <c r="H639" s="109" t="e">
        <f>VLOOKUP(I639,'공시사항점검표 목차(2023)'!$K$11:$L$73,2,FALSE)</f>
        <v>#N/A</v>
      </c>
      <c r="I639" s="112" t="s">
        <v>1156</v>
      </c>
    </row>
    <row r="640" spans="1:9" ht="28.5">
      <c r="A640" s="282" t="s">
        <v>129</v>
      </c>
      <c r="B640" s="283"/>
      <c r="C640" s="283"/>
      <c r="D640" s="284"/>
      <c r="E640" s="196" t="s">
        <v>128</v>
      </c>
      <c r="F640" s="117"/>
      <c r="G640" s="118"/>
      <c r="H640" s="109" t="e">
        <f>VLOOKUP(I640,'공시사항점검표 목차(2023)'!$K$11:$L$73,2,FALSE)</f>
        <v>#N/A</v>
      </c>
      <c r="I640" s="112" t="s">
        <v>1156</v>
      </c>
    </row>
    <row r="641" spans="1:9" ht="51" customHeight="1">
      <c r="A641" s="285" t="s">
        <v>131</v>
      </c>
      <c r="B641" s="286"/>
      <c r="C641" s="286"/>
      <c r="D641" s="287"/>
      <c r="E641" s="197" t="s">
        <v>130</v>
      </c>
      <c r="F641" s="126"/>
      <c r="G641" s="127"/>
      <c r="H641" s="109" t="e">
        <f>VLOOKUP(I641,'공시사항점검표 목차(2023)'!$K$11:$L$73,2,FALSE)</f>
        <v>#N/A</v>
      </c>
      <c r="I641" s="112" t="s">
        <v>1156</v>
      </c>
    </row>
    <row r="642" spans="1:9" ht="30" customHeight="1">
      <c r="A642" s="192"/>
      <c r="B642" s="192"/>
      <c r="C642" s="192"/>
      <c r="D642" s="192"/>
      <c r="E642" s="90"/>
      <c r="F642" s="85"/>
      <c r="G642" s="85"/>
      <c r="H642" s="109"/>
      <c r="I642" s="112"/>
    </row>
    <row r="643" spans="1:9" ht="26.45" customHeight="1">
      <c r="A643" s="111" t="s">
        <v>947</v>
      </c>
      <c r="H643" s="109" t="e">
        <f>VLOOKUP(I643,'공시사항점검표 목차(2023)'!$K$11:$L$73,2,FALSE)</f>
        <v>#N/A</v>
      </c>
      <c r="I643" s="112" t="s">
        <v>1157</v>
      </c>
    </row>
    <row r="644" spans="1:9" ht="26.45" hidden="1" customHeight="1">
      <c r="A644" s="269" t="s">
        <v>360</v>
      </c>
      <c r="B644" s="270"/>
      <c r="C644" s="270"/>
      <c r="D644" s="271"/>
      <c r="E644" s="114" t="s">
        <v>157</v>
      </c>
      <c r="F644" s="102" t="s">
        <v>301</v>
      </c>
      <c r="G644" s="114" t="s">
        <v>0</v>
      </c>
      <c r="H644" s="109" t="e">
        <f>VLOOKUP(I644,'공시사항점검표 목차(2023)'!$K$11:$L$73,2,FALSE)</f>
        <v>#N/A</v>
      </c>
      <c r="I644" s="112" t="s">
        <v>1157</v>
      </c>
    </row>
    <row r="645" spans="1:9" ht="54" customHeight="1">
      <c r="A645" s="279" t="s">
        <v>948</v>
      </c>
      <c r="B645" s="280"/>
      <c r="C645" s="280"/>
      <c r="D645" s="281"/>
      <c r="E645" s="196" t="s">
        <v>1170</v>
      </c>
      <c r="F645" s="117"/>
      <c r="G645" s="118"/>
      <c r="H645" s="109" t="e">
        <f>VLOOKUP(I645,'공시사항점검표 목차(2023)'!$K$11:$L$73,2,FALSE)</f>
        <v>#N/A</v>
      </c>
      <c r="I645" s="112" t="s">
        <v>1157</v>
      </c>
    </row>
    <row r="646" spans="1:9" ht="28.5">
      <c r="A646" s="147"/>
      <c r="B646" s="163" t="s">
        <v>480</v>
      </c>
      <c r="C646" s="283" t="s">
        <v>949</v>
      </c>
      <c r="D646" s="284"/>
      <c r="E646" s="196" t="s">
        <v>265</v>
      </c>
      <c r="F646" s="117"/>
      <c r="G646" s="118"/>
      <c r="H646" s="109" t="e">
        <f>VLOOKUP(I646,'공시사항점검표 목차(2023)'!$K$11:$L$73,2,FALSE)</f>
        <v>#N/A</v>
      </c>
      <c r="I646" s="112" t="s">
        <v>1157</v>
      </c>
    </row>
    <row r="647" spans="1:9">
      <c r="A647" s="147"/>
      <c r="B647" s="163"/>
      <c r="C647" s="108" t="s">
        <v>452</v>
      </c>
      <c r="D647" s="193" t="s">
        <v>953</v>
      </c>
      <c r="E647" s="196"/>
      <c r="F647" s="117"/>
      <c r="G647" s="118"/>
      <c r="H647" s="109" t="e">
        <f>VLOOKUP(I647,'공시사항점검표 목차(2023)'!$K$11:$L$73,2,FALSE)</f>
        <v>#N/A</v>
      </c>
      <c r="I647" s="112" t="s">
        <v>1157</v>
      </c>
    </row>
    <row r="648" spans="1:9" ht="28.5">
      <c r="A648" s="147"/>
      <c r="B648" s="163"/>
      <c r="C648" s="164" t="s">
        <v>946</v>
      </c>
      <c r="D648" s="193" t="s">
        <v>954</v>
      </c>
      <c r="E648" s="196"/>
      <c r="F648" s="117"/>
      <c r="G648" s="118"/>
      <c r="H648" s="109" t="e">
        <f>VLOOKUP(I648,'공시사항점검표 목차(2023)'!$K$11:$L$73,2,FALSE)</f>
        <v>#N/A</v>
      </c>
      <c r="I648" s="112" t="s">
        <v>1157</v>
      </c>
    </row>
    <row r="649" spans="1:9" ht="17.45" customHeight="1">
      <c r="A649" s="147"/>
      <c r="B649" s="163" t="s">
        <v>482</v>
      </c>
      <c r="C649" s="283" t="s">
        <v>950</v>
      </c>
      <c r="D649" s="284"/>
      <c r="E649" s="196"/>
      <c r="F649" s="117"/>
      <c r="G649" s="118"/>
      <c r="H649" s="109" t="e">
        <f>VLOOKUP(I649,'공시사항점검표 목차(2023)'!$K$11:$L$73,2,FALSE)</f>
        <v>#N/A</v>
      </c>
      <c r="I649" s="112" t="s">
        <v>1157</v>
      </c>
    </row>
    <row r="650" spans="1:9">
      <c r="A650" s="147"/>
      <c r="B650" s="163"/>
      <c r="C650" s="108" t="s">
        <v>452</v>
      </c>
      <c r="D650" s="193" t="s">
        <v>953</v>
      </c>
      <c r="E650" s="196"/>
      <c r="F650" s="117"/>
      <c r="G650" s="118"/>
      <c r="H650" s="109" t="e">
        <f>VLOOKUP(I650,'공시사항점검표 목차(2023)'!$K$11:$L$73,2,FALSE)</f>
        <v>#N/A</v>
      </c>
      <c r="I650" s="112" t="s">
        <v>1157</v>
      </c>
    </row>
    <row r="651" spans="1:9" ht="28.5">
      <c r="A651" s="147"/>
      <c r="B651" s="163"/>
      <c r="C651" s="108" t="s">
        <v>946</v>
      </c>
      <c r="D651" s="193" t="s">
        <v>955</v>
      </c>
      <c r="E651" s="196"/>
      <c r="F651" s="117"/>
      <c r="G651" s="118"/>
      <c r="H651" s="109" t="e">
        <f>VLOOKUP(I651,'공시사항점검표 목차(2023)'!$K$11:$L$73,2,FALSE)</f>
        <v>#N/A</v>
      </c>
      <c r="I651" s="112" t="s">
        <v>1157</v>
      </c>
    </row>
    <row r="652" spans="1:9">
      <c r="A652" s="147"/>
      <c r="B652" s="163"/>
      <c r="C652" s="108" t="s">
        <v>674</v>
      </c>
      <c r="D652" s="193" t="s">
        <v>951</v>
      </c>
      <c r="E652" s="196"/>
      <c r="F652" s="117"/>
      <c r="G652" s="118"/>
      <c r="H652" s="109" t="e">
        <f>VLOOKUP(I652,'공시사항점검표 목차(2023)'!$K$11:$L$73,2,FALSE)</f>
        <v>#N/A</v>
      </c>
      <c r="I652" s="112" t="s">
        <v>1157</v>
      </c>
    </row>
    <row r="653" spans="1:9" ht="28.5">
      <c r="A653" s="148"/>
      <c r="B653" s="165"/>
      <c r="C653" s="175" t="s">
        <v>1087</v>
      </c>
      <c r="D653" s="194" t="s">
        <v>952</v>
      </c>
      <c r="E653" s="197"/>
      <c r="F653" s="126"/>
      <c r="G653" s="127"/>
      <c r="H653" s="109" t="e">
        <f>VLOOKUP(I653,'공시사항점검표 목차(2023)'!$K$11:$L$73,2,FALSE)</f>
        <v>#N/A</v>
      </c>
      <c r="I653" s="112" t="s">
        <v>1157</v>
      </c>
    </row>
    <row r="654" spans="1:9" ht="26.45" customHeight="1">
      <c r="A654" s="111" t="s">
        <v>956</v>
      </c>
      <c r="H654" s="109" t="e">
        <f>VLOOKUP(I654,'공시사항점검표 목차(2023)'!$K$11:$L$73,2,FALSE)</f>
        <v>#N/A</v>
      </c>
      <c r="I654" s="176" t="s">
        <v>1158</v>
      </c>
    </row>
    <row r="655" spans="1:9" ht="26.45" customHeight="1">
      <c r="A655" s="269" t="s">
        <v>360</v>
      </c>
      <c r="B655" s="270"/>
      <c r="C655" s="270"/>
      <c r="D655" s="271"/>
      <c r="E655" s="114" t="s">
        <v>157</v>
      </c>
      <c r="F655" s="102" t="s">
        <v>301</v>
      </c>
      <c r="G655" s="114" t="s">
        <v>0</v>
      </c>
      <c r="H655" s="109" t="e">
        <f>VLOOKUP(I655,'공시사항점검표 목차(2023)'!$K$11:$L$73,2,FALSE)</f>
        <v>#N/A</v>
      </c>
      <c r="I655" s="176" t="s">
        <v>1158</v>
      </c>
    </row>
    <row r="656" spans="1:9" ht="54" customHeight="1">
      <c r="A656" s="279" t="s">
        <v>118</v>
      </c>
      <c r="B656" s="280"/>
      <c r="C656" s="280"/>
      <c r="D656" s="281"/>
      <c r="E656" s="195" t="s">
        <v>117</v>
      </c>
      <c r="F656" s="137"/>
      <c r="G656" s="138"/>
      <c r="H656" s="109" t="e">
        <f>VLOOKUP(I656,'공시사항점검표 목차(2023)'!$K$11:$L$73,2,FALSE)</f>
        <v>#N/A</v>
      </c>
      <c r="I656" s="176" t="s">
        <v>1158</v>
      </c>
    </row>
    <row r="657" spans="1:9" ht="37.15" customHeight="1">
      <c r="A657" s="147"/>
      <c r="B657" s="162" t="s">
        <v>480</v>
      </c>
      <c r="C657" s="283" t="s">
        <v>957</v>
      </c>
      <c r="D657" s="284"/>
      <c r="E657" s="196"/>
      <c r="F657" s="117"/>
      <c r="G657" s="118"/>
      <c r="H657" s="109" t="e">
        <f>VLOOKUP(I657,'공시사항점검표 목차(2023)'!$K$11:$L$73,2,FALSE)</f>
        <v>#N/A</v>
      </c>
      <c r="I657" s="176" t="s">
        <v>1158</v>
      </c>
    </row>
    <row r="658" spans="1:9" ht="17.45" customHeight="1">
      <c r="A658" s="147"/>
      <c r="B658" s="163" t="s">
        <v>959</v>
      </c>
      <c r="C658" s="283" t="s">
        <v>958</v>
      </c>
      <c r="D658" s="284"/>
      <c r="E658" s="196"/>
      <c r="F658" s="117"/>
      <c r="G658" s="118"/>
      <c r="H658" s="109" t="e">
        <f>VLOOKUP(I658,'공시사항점검표 목차(2023)'!$K$11:$L$73,2,FALSE)</f>
        <v>#N/A</v>
      </c>
      <c r="I658" s="176" t="s">
        <v>1158</v>
      </c>
    </row>
    <row r="659" spans="1:9" ht="28.5">
      <c r="A659" s="282" t="s">
        <v>960</v>
      </c>
      <c r="B659" s="283"/>
      <c r="C659" s="283"/>
      <c r="D659" s="284"/>
      <c r="E659" s="196" t="s">
        <v>57</v>
      </c>
      <c r="F659" s="117"/>
      <c r="G659" s="118"/>
      <c r="H659" s="109" t="e">
        <f>VLOOKUP(I659,'공시사항점검표 목차(2023)'!$K$11:$L$73,2,FALSE)</f>
        <v>#N/A</v>
      </c>
      <c r="I659" s="176" t="s">
        <v>1158</v>
      </c>
    </row>
    <row r="660" spans="1:9" ht="57">
      <c r="A660" s="282" t="s">
        <v>961</v>
      </c>
      <c r="B660" s="283"/>
      <c r="C660" s="283"/>
      <c r="D660" s="284"/>
      <c r="E660" s="196" t="s">
        <v>6</v>
      </c>
      <c r="F660" s="156"/>
      <c r="G660" s="118"/>
      <c r="H660" s="109" t="e">
        <f>VLOOKUP(I660,'공시사항점검표 목차(2023)'!$K$11:$L$73,2,FALSE)</f>
        <v>#N/A</v>
      </c>
      <c r="I660" s="176" t="s">
        <v>1158</v>
      </c>
    </row>
    <row r="661" spans="1:9" ht="28.5">
      <c r="A661" s="285" t="s">
        <v>962</v>
      </c>
      <c r="B661" s="286"/>
      <c r="C661" s="286"/>
      <c r="D661" s="287"/>
      <c r="E661" s="197" t="s">
        <v>122</v>
      </c>
      <c r="F661" s="126"/>
      <c r="G661" s="127"/>
      <c r="H661" s="109" t="e">
        <f>VLOOKUP(I661,'공시사항점검표 목차(2023)'!$K$11:$L$73,2,FALSE)</f>
        <v>#N/A</v>
      </c>
      <c r="I661" s="176" t="s">
        <v>1158</v>
      </c>
    </row>
    <row r="662" spans="1:9" ht="26.45" customHeight="1">
      <c r="A662" s="111" t="s">
        <v>963</v>
      </c>
      <c r="H662" s="109" t="e">
        <f>VLOOKUP(I662,'공시사항점검표 목차(2023)'!$K$11:$L$73,2,FALSE)</f>
        <v>#N/A</v>
      </c>
      <c r="I662" s="112" t="s">
        <v>1159</v>
      </c>
    </row>
    <row r="663" spans="1:9" ht="26.45" customHeight="1">
      <c r="A663" s="111" t="s">
        <v>964</v>
      </c>
      <c r="H663" s="109" t="e">
        <f>VLOOKUP(I663,'공시사항점검표 목차(2023)'!$K$11:$L$73,2,FALSE)</f>
        <v>#N/A</v>
      </c>
      <c r="I663" s="112" t="s">
        <v>1160</v>
      </c>
    </row>
    <row r="664" spans="1:9" ht="26.45" customHeight="1">
      <c r="A664" s="269" t="s">
        <v>360</v>
      </c>
      <c r="B664" s="270"/>
      <c r="C664" s="270"/>
      <c r="D664" s="271"/>
      <c r="E664" s="114" t="s">
        <v>157</v>
      </c>
      <c r="F664" s="102" t="s">
        <v>301</v>
      </c>
      <c r="G664" s="114" t="s">
        <v>0</v>
      </c>
      <c r="H664" s="109" t="e">
        <f>VLOOKUP(I664,'공시사항점검표 목차(2023)'!$K$11:$L$73,2,FALSE)</f>
        <v>#N/A</v>
      </c>
      <c r="I664" s="112" t="s">
        <v>1160</v>
      </c>
    </row>
    <row r="665" spans="1:9" ht="28.5">
      <c r="A665" s="279" t="s">
        <v>315</v>
      </c>
      <c r="B665" s="280"/>
      <c r="C665" s="280"/>
      <c r="D665" s="281"/>
      <c r="E665" s="196" t="s">
        <v>107</v>
      </c>
      <c r="F665" s="117"/>
      <c r="G665" s="118"/>
      <c r="H665" s="109" t="e">
        <f>VLOOKUP(I665,'공시사항점검표 목차(2023)'!$K$11:$L$73,2,FALSE)</f>
        <v>#N/A</v>
      </c>
      <c r="I665" s="112" t="s">
        <v>1160</v>
      </c>
    </row>
    <row r="666" spans="1:9" ht="17.45" customHeight="1">
      <c r="A666" s="147"/>
      <c r="B666" s="163" t="s">
        <v>966</v>
      </c>
      <c r="C666" s="283" t="s">
        <v>965</v>
      </c>
      <c r="D666" s="284"/>
      <c r="E666" s="196"/>
      <c r="F666" s="117"/>
      <c r="G666" s="118"/>
      <c r="H666" s="109" t="e">
        <f>VLOOKUP(I666,'공시사항점검표 목차(2023)'!$K$11:$L$73,2,FALSE)</f>
        <v>#N/A</v>
      </c>
      <c r="I666" s="112" t="s">
        <v>1160</v>
      </c>
    </row>
    <row r="667" spans="1:9" ht="17.45" customHeight="1">
      <c r="A667" s="147"/>
      <c r="B667" s="163" t="s">
        <v>968</v>
      </c>
      <c r="C667" s="283" t="s">
        <v>967</v>
      </c>
      <c r="D667" s="284"/>
      <c r="E667" s="196"/>
      <c r="F667" s="117"/>
      <c r="G667" s="118"/>
      <c r="H667" s="109" t="e">
        <f>VLOOKUP(I667,'공시사항점검표 목차(2023)'!$K$11:$L$73,2,FALSE)</f>
        <v>#N/A</v>
      </c>
      <c r="I667" s="112" t="s">
        <v>1160</v>
      </c>
    </row>
    <row r="668" spans="1:9">
      <c r="A668" s="147"/>
      <c r="B668" s="163"/>
      <c r="C668" s="108" t="s">
        <v>970</v>
      </c>
      <c r="D668" s="193" t="s">
        <v>969</v>
      </c>
      <c r="E668" s="196"/>
      <c r="F668" s="117"/>
      <c r="G668" s="118"/>
      <c r="H668" s="109" t="e">
        <f>VLOOKUP(I668,'공시사항점검표 목차(2023)'!$K$11:$L$73,2,FALSE)</f>
        <v>#N/A</v>
      </c>
      <c r="I668" s="112" t="s">
        <v>1160</v>
      </c>
    </row>
    <row r="669" spans="1:9">
      <c r="A669" s="147"/>
      <c r="B669" s="163"/>
      <c r="C669" s="108" t="s">
        <v>972</v>
      </c>
      <c r="D669" s="193" t="s">
        <v>971</v>
      </c>
      <c r="E669" s="196"/>
      <c r="F669" s="117"/>
      <c r="G669" s="118"/>
      <c r="H669" s="109" t="e">
        <f>VLOOKUP(I669,'공시사항점검표 목차(2023)'!$K$11:$L$73,2,FALSE)</f>
        <v>#N/A</v>
      </c>
      <c r="I669" s="112" t="s">
        <v>1160</v>
      </c>
    </row>
    <row r="670" spans="1:9" ht="17.45" customHeight="1">
      <c r="A670" s="147"/>
      <c r="B670" s="163" t="s">
        <v>974</v>
      </c>
      <c r="C670" s="283" t="s">
        <v>973</v>
      </c>
      <c r="D670" s="284"/>
      <c r="E670" s="196"/>
      <c r="F670" s="117"/>
      <c r="G670" s="118"/>
      <c r="H670" s="109" t="e">
        <f>VLOOKUP(I670,'공시사항점검표 목차(2023)'!$K$11:$L$73,2,FALSE)</f>
        <v>#N/A</v>
      </c>
      <c r="I670" s="112" t="s">
        <v>1160</v>
      </c>
    </row>
    <row r="671" spans="1:9" ht="17.45" customHeight="1">
      <c r="A671" s="147"/>
      <c r="B671" s="163" t="s">
        <v>976</v>
      </c>
      <c r="C671" s="283" t="s">
        <v>975</v>
      </c>
      <c r="D671" s="284"/>
      <c r="E671" s="196"/>
      <c r="F671" s="117"/>
      <c r="G671" s="118"/>
      <c r="H671" s="109" t="e">
        <f>VLOOKUP(I671,'공시사항점검표 목차(2023)'!$K$11:$L$73,2,FALSE)</f>
        <v>#N/A</v>
      </c>
      <c r="I671" s="112" t="s">
        <v>1160</v>
      </c>
    </row>
    <row r="672" spans="1:9">
      <c r="A672" s="147"/>
      <c r="B672" s="163"/>
      <c r="C672" s="177" t="s">
        <v>980</v>
      </c>
      <c r="D672" s="173" t="s">
        <v>977</v>
      </c>
      <c r="E672" s="196"/>
      <c r="F672" s="117"/>
      <c r="G672" s="118"/>
      <c r="H672" s="109" t="e">
        <f>VLOOKUP(I672,'공시사항점검표 목차(2023)'!$K$11:$L$73,2,FALSE)</f>
        <v>#N/A</v>
      </c>
      <c r="I672" s="112" t="s">
        <v>1160</v>
      </c>
    </row>
    <row r="673" spans="1:9">
      <c r="A673" s="147"/>
      <c r="B673" s="163"/>
      <c r="C673" s="108" t="s">
        <v>981</v>
      </c>
      <c r="D673" s="193" t="s">
        <v>978</v>
      </c>
      <c r="E673" s="146"/>
      <c r="F673" s="117"/>
      <c r="G673" s="118"/>
      <c r="H673" s="109" t="e">
        <f>VLOOKUP(I673,'공시사항점검표 목차(2023)'!$K$11:$L$73,2,FALSE)</f>
        <v>#N/A</v>
      </c>
      <c r="I673" s="112" t="s">
        <v>1160</v>
      </c>
    </row>
    <row r="674" spans="1:9" ht="28.5">
      <c r="A674" s="147"/>
      <c r="B674" s="163"/>
      <c r="C674" s="108" t="s">
        <v>983</v>
      </c>
      <c r="D674" s="173" t="s">
        <v>982</v>
      </c>
      <c r="E674" s="196"/>
      <c r="F674" s="117"/>
      <c r="G674" s="118"/>
      <c r="H674" s="109" t="e">
        <f>VLOOKUP(I674,'공시사항점검표 목차(2023)'!$K$11:$L$73,2,FALSE)</f>
        <v>#N/A</v>
      </c>
      <c r="I674" s="112" t="s">
        <v>1160</v>
      </c>
    </row>
    <row r="675" spans="1:9">
      <c r="A675" s="147"/>
      <c r="B675" s="163"/>
      <c r="C675" s="108" t="s">
        <v>985</v>
      </c>
      <c r="D675" s="193" t="s">
        <v>984</v>
      </c>
      <c r="E675" s="196"/>
      <c r="F675" s="117"/>
      <c r="G675" s="118"/>
      <c r="H675" s="109" t="e">
        <f>VLOOKUP(I675,'공시사항점검표 목차(2023)'!$K$11:$L$73,2,FALSE)</f>
        <v>#N/A</v>
      </c>
      <c r="I675" s="112" t="s">
        <v>1160</v>
      </c>
    </row>
    <row r="676" spans="1:9" ht="28.5">
      <c r="A676" s="147"/>
      <c r="B676" s="163"/>
      <c r="C676" s="108" t="s">
        <v>987</v>
      </c>
      <c r="D676" s="193" t="s">
        <v>986</v>
      </c>
      <c r="E676" s="196"/>
      <c r="F676" s="117"/>
      <c r="G676" s="118"/>
      <c r="H676" s="109" t="e">
        <f>VLOOKUP(I676,'공시사항점검표 목차(2023)'!$K$11:$L$73,2,FALSE)</f>
        <v>#N/A</v>
      </c>
      <c r="I676" s="112" t="s">
        <v>1160</v>
      </c>
    </row>
    <row r="677" spans="1:9" ht="35.450000000000003" customHeight="1">
      <c r="A677" s="147"/>
      <c r="B677" s="163" t="s">
        <v>989</v>
      </c>
      <c r="C677" s="283" t="s">
        <v>988</v>
      </c>
      <c r="D677" s="284"/>
      <c r="E677" s="196"/>
      <c r="F677" s="117"/>
      <c r="G677" s="118"/>
      <c r="H677" s="109" t="e">
        <f>VLOOKUP(I677,'공시사항점검표 목차(2023)'!$K$11:$L$73,2,FALSE)</f>
        <v>#N/A</v>
      </c>
      <c r="I677" s="112" t="s">
        <v>1160</v>
      </c>
    </row>
    <row r="678" spans="1:9" ht="37.9" customHeight="1">
      <c r="A678" s="147"/>
      <c r="B678" s="163" t="s">
        <v>991</v>
      </c>
      <c r="C678" s="283" t="s">
        <v>990</v>
      </c>
      <c r="D678" s="284"/>
      <c r="E678" s="196"/>
      <c r="F678" s="117"/>
      <c r="G678" s="118"/>
      <c r="H678" s="109" t="e">
        <f>VLOOKUP(I678,'공시사항점검표 목차(2023)'!$K$11:$L$73,2,FALSE)</f>
        <v>#N/A</v>
      </c>
      <c r="I678" s="112" t="s">
        <v>1160</v>
      </c>
    </row>
    <row r="679" spans="1:9" ht="81.599999999999994" customHeight="1">
      <c r="A679" s="282" t="s">
        <v>266</v>
      </c>
      <c r="B679" s="283"/>
      <c r="C679" s="283"/>
      <c r="D679" s="284"/>
      <c r="E679" s="196" t="s">
        <v>147</v>
      </c>
      <c r="F679" s="117"/>
      <c r="G679" s="118"/>
      <c r="H679" s="109" t="e">
        <f>VLOOKUP(I679,'공시사항점검표 목차(2023)'!$K$11:$L$73,2,FALSE)</f>
        <v>#N/A</v>
      </c>
      <c r="I679" s="112" t="s">
        <v>1160</v>
      </c>
    </row>
    <row r="680" spans="1:9" ht="17.45" customHeight="1">
      <c r="A680" s="147"/>
      <c r="B680" s="163" t="s">
        <v>966</v>
      </c>
      <c r="C680" s="283" t="s">
        <v>992</v>
      </c>
      <c r="D680" s="284"/>
      <c r="E680" s="196"/>
      <c r="F680" s="117"/>
      <c r="G680" s="118"/>
      <c r="H680" s="109" t="e">
        <f>VLOOKUP(I680,'공시사항점검표 목차(2023)'!$K$11:$L$73,2,FALSE)</f>
        <v>#N/A</v>
      </c>
      <c r="I680" s="112" t="s">
        <v>1160</v>
      </c>
    </row>
    <row r="681" spans="1:9" ht="17.45" customHeight="1">
      <c r="A681" s="147"/>
      <c r="B681" s="163" t="s">
        <v>968</v>
      </c>
      <c r="C681" s="283" t="s">
        <v>993</v>
      </c>
      <c r="D681" s="284"/>
      <c r="E681" s="196"/>
      <c r="F681" s="117"/>
      <c r="G681" s="118"/>
      <c r="H681" s="109" t="e">
        <f>VLOOKUP(I681,'공시사항점검표 목차(2023)'!$K$11:$L$73,2,FALSE)</f>
        <v>#N/A</v>
      </c>
      <c r="I681" s="112" t="s">
        <v>1160</v>
      </c>
    </row>
    <row r="682" spans="1:9" ht="17.45" customHeight="1">
      <c r="A682" s="147"/>
      <c r="B682" s="163" t="s">
        <v>974</v>
      </c>
      <c r="C682" s="283" t="s">
        <v>994</v>
      </c>
      <c r="D682" s="284"/>
      <c r="E682" s="196"/>
      <c r="F682" s="117"/>
      <c r="G682" s="118"/>
      <c r="H682" s="109" t="e">
        <f>VLOOKUP(I682,'공시사항점검표 목차(2023)'!$K$11:$L$73,2,FALSE)</f>
        <v>#N/A</v>
      </c>
      <c r="I682" s="112" t="s">
        <v>1160</v>
      </c>
    </row>
    <row r="683" spans="1:9" ht="17.45" customHeight="1">
      <c r="A683" s="147"/>
      <c r="B683" s="163" t="s">
        <v>976</v>
      </c>
      <c r="C683" s="283" t="s">
        <v>995</v>
      </c>
      <c r="D683" s="284"/>
      <c r="E683" s="196"/>
      <c r="F683" s="117"/>
      <c r="G683" s="118"/>
      <c r="H683" s="109" t="e">
        <f>VLOOKUP(I683,'공시사항점검표 목차(2023)'!$K$11:$L$73,2,FALSE)</f>
        <v>#N/A</v>
      </c>
      <c r="I683" s="112" t="s">
        <v>1160</v>
      </c>
    </row>
    <row r="684" spans="1:9" ht="23.45" customHeight="1">
      <c r="A684" s="147"/>
      <c r="B684" s="163" t="s">
        <v>989</v>
      </c>
      <c r="C684" s="283" t="s">
        <v>996</v>
      </c>
      <c r="D684" s="284"/>
      <c r="E684" s="196"/>
      <c r="F684" s="117"/>
      <c r="G684" s="118"/>
      <c r="H684" s="109" t="e">
        <f>VLOOKUP(I684,'공시사항점검표 목차(2023)'!$K$11:$L$73,2,FALSE)</f>
        <v>#N/A</v>
      </c>
      <c r="I684" s="112" t="s">
        <v>1160</v>
      </c>
    </row>
    <row r="685" spans="1:9" ht="33.6" customHeight="1">
      <c r="A685" s="147"/>
      <c r="B685" s="163"/>
      <c r="C685" s="283" t="s">
        <v>267</v>
      </c>
      <c r="D685" s="284"/>
      <c r="E685" s="196"/>
      <c r="F685" s="117"/>
      <c r="G685" s="118"/>
      <c r="H685" s="109" t="e">
        <f>VLOOKUP(I685,'공시사항점검표 목차(2023)'!$K$11:$L$73,2,FALSE)</f>
        <v>#N/A</v>
      </c>
      <c r="I685" s="112" t="s">
        <v>1160</v>
      </c>
    </row>
    <row r="686" spans="1:9" ht="35.450000000000003" customHeight="1">
      <c r="A686" s="282" t="s">
        <v>268</v>
      </c>
      <c r="B686" s="283"/>
      <c r="C686" s="283"/>
      <c r="D686" s="284"/>
      <c r="E686" s="196" t="s">
        <v>148</v>
      </c>
      <c r="F686" s="132"/>
      <c r="G686" s="118"/>
      <c r="H686" s="109" t="e">
        <f>VLOOKUP(I686,'공시사항점검표 목차(2023)'!$K$11:$L$73,2,FALSE)</f>
        <v>#N/A</v>
      </c>
      <c r="I686" s="112" t="s">
        <v>1160</v>
      </c>
    </row>
    <row r="687" spans="1:9" ht="17.45" customHeight="1">
      <c r="A687" s="147"/>
      <c r="B687" s="163" t="s">
        <v>966</v>
      </c>
      <c r="C687" s="283" t="s">
        <v>997</v>
      </c>
      <c r="D687" s="284"/>
      <c r="E687" s="196"/>
      <c r="F687" s="117"/>
      <c r="G687" s="118"/>
      <c r="H687" s="109" t="e">
        <f>VLOOKUP(I687,'공시사항점검표 목차(2023)'!$K$11:$L$73,2,FALSE)</f>
        <v>#N/A</v>
      </c>
      <c r="I687" s="112" t="s">
        <v>1160</v>
      </c>
    </row>
    <row r="688" spans="1:9" ht="50.45" customHeight="1">
      <c r="A688" s="147"/>
      <c r="B688" s="162" t="s">
        <v>968</v>
      </c>
      <c r="C688" s="283" t="s">
        <v>998</v>
      </c>
      <c r="D688" s="284"/>
      <c r="E688" s="196"/>
      <c r="F688" s="117"/>
      <c r="G688" s="118"/>
      <c r="H688" s="109" t="e">
        <f>VLOOKUP(I688,'공시사항점검표 목차(2023)'!$K$11:$L$73,2,FALSE)</f>
        <v>#N/A</v>
      </c>
      <c r="I688" s="112" t="s">
        <v>1160</v>
      </c>
    </row>
    <row r="689" spans="1:9" ht="57.6" customHeight="1">
      <c r="A689" s="282" t="s">
        <v>316</v>
      </c>
      <c r="B689" s="283"/>
      <c r="C689" s="283"/>
      <c r="D689" s="284"/>
      <c r="E689" s="196" t="s">
        <v>149</v>
      </c>
      <c r="F689" s="117"/>
      <c r="G689" s="118"/>
      <c r="H689" s="109" t="e">
        <f>VLOOKUP(I689,'공시사항점검표 목차(2023)'!$K$11:$L$73,2,FALSE)</f>
        <v>#N/A</v>
      </c>
      <c r="I689" s="112" t="s">
        <v>1160</v>
      </c>
    </row>
    <row r="690" spans="1:9" ht="17.45" customHeight="1">
      <c r="A690" s="147"/>
      <c r="B690" s="163" t="s">
        <v>966</v>
      </c>
      <c r="C690" s="283" t="s">
        <v>1000</v>
      </c>
      <c r="D690" s="284"/>
      <c r="E690" s="196"/>
      <c r="F690" s="117"/>
      <c r="G690" s="118"/>
      <c r="H690" s="109" t="e">
        <f>VLOOKUP(I690,'공시사항점검표 목차(2023)'!$K$11:$L$73,2,FALSE)</f>
        <v>#N/A</v>
      </c>
      <c r="I690" s="112" t="s">
        <v>1160</v>
      </c>
    </row>
    <row r="691" spans="1:9" ht="17.45" customHeight="1">
      <c r="A691" s="147"/>
      <c r="B691" s="163" t="s">
        <v>968</v>
      </c>
      <c r="C691" s="283" t="s">
        <v>1001</v>
      </c>
      <c r="D691" s="284"/>
      <c r="E691" s="196"/>
      <c r="F691" s="117"/>
      <c r="G691" s="118"/>
      <c r="H691" s="109" t="e">
        <f>VLOOKUP(I691,'공시사항점검표 목차(2023)'!$K$11:$L$73,2,FALSE)</f>
        <v>#N/A</v>
      </c>
      <c r="I691" s="112" t="s">
        <v>1160</v>
      </c>
    </row>
    <row r="692" spans="1:9" ht="32.450000000000003" customHeight="1">
      <c r="A692" s="147"/>
      <c r="B692" s="162" t="s">
        <v>999</v>
      </c>
      <c r="C692" s="283" t="s">
        <v>1002</v>
      </c>
      <c r="D692" s="284"/>
      <c r="E692" s="196"/>
      <c r="F692" s="117"/>
      <c r="G692" s="118"/>
      <c r="H692" s="109" t="e">
        <f>VLOOKUP(I692,'공시사항점검표 목차(2023)'!$K$11:$L$73,2,FALSE)</f>
        <v>#N/A</v>
      </c>
      <c r="I692" s="112" t="s">
        <v>1160</v>
      </c>
    </row>
    <row r="693" spans="1:9" ht="28.5">
      <c r="A693" s="282" t="s">
        <v>317</v>
      </c>
      <c r="B693" s="283"/>
      <c r="C693" s="283"/>
      <c r="D693" s="284"/>
      <c r="E693" s="196" t="s">
        <v>150</v>
      </c>
      <c r="F693" s="117"/>
      <c r="G693" s="118"/>
      <c r="H693" s="109" t="e">
        <f>VLOOKUP(I693,'공시사항점검표 목차(2023)'!$K$11:$L$73,2,FALSE)</f>
        <v>#N/A</v>
      </c>
      <c r="I693" s="112" t="s">
        <v>1160</v>
      </c>
    </row>
    <row r="694" spans="1:9" ht="17.45" customHeight="1">
      <c r="A694" s="147"/>
      <c r="B694" s="163" t="s">
        <v>966</v>
      </c>
      <c r="C694" s="283" t="s">
        <v>1004</v>
      </c>
      <c r="D694" s="284"/>
      <c r="E694" s="196"/>
      <c r="F694" s="117"/>
      <c r="G694" s="118"/>
      <c r="H694" s="109" t="e">
        <f>VLOOKUP(I694,'공시사항점검표 목차(2023)'!$K$11:$L$73,2,FALSE)</f>
        <v>#N/A</v>
      </c>
      <c r="I694" s="112" t="s">
        <v>1160</v>
      </c>
    </row>
    <row r="695" spans="1:9" ht="31.15" customHeight="1">
      <c r="A695" s="178"/>
      <c r="B695" s="162" t="s">
        <v>1003</v>
      </c>
      <c r="C695" s="283" t="s">
        <v>1005</v>
      </c>
      <c r="D695" s="284"/>
      <c r="E695" s="196"/>
      <c r="F695" s="117"/>
      <c r="G695" s="118"/>
      <c r="H695" s="109" t="e">
        <f>VLOOKUP(I695,'공시사항점검표 목차(2023)'!$K$11:$L$73,2,FALSE)</f>
        <v>#N/A</v>
      </c>
      <c r="I695" s="112" t="s">
        <v>1160</v>
      </c>
    </row>
    <row r="696" spans="1:9" ht="33" customHeight="1">
      <c r="A696" s="147"/>
      <c r="B696" s="162" t="s">
        <v>999</v>
      </c>
      <c r="C696" s="283" t="s">
        <v>1006</v>
      </c>
      <c r="D696" s="284"/>
      <c r="E696" s="196"/>
      <c r="F696" s="117"/>
      <c r="G696" s="118"/>
      <c r="H696" s="109" t="e">
        <f>VLOOKUP(I696,'공시사항점검표 목차(2023)'!$K$11:$L$73,2,FALSE)</f>
        <v>#N/A</v>
      </c>
      <c r="I696" s="112" t="s">
        <v>1160</v>
      </c>
    </row>
    <row r="697" spans="1:9" ht="51" customHeight="1">
      <c r="A697" s="282" t="s">
        <v>318</v>
      </c>
      <c r="B697" s="283"/>
      <c r="C697" s="283"/>
      <c r="D697" s="284"/>
      <c r="E697" s="196" t="s">
        <v>151</v>
      </c>
      <c r="F697" s="117"/>
      <c r="G697" s="118"/>
      <c r="H697" s="109" t="e">
        <f>VLOOKUP(I697,'공시사항점검표 목차(2023)'!$K$11:$L$73,2,FALSE)</f>
        <v>#N/A</v>
      </c>
      <c r="I697" s="112" t="s">
        <v>1160</v>
      </c>
    </row>
    <row r="698" spans="1:9" ht="57">
      <c r="A698" s="282" t="s">
        <v>319</v>
      </c>
      <c r="B698" s="283"/>
      <c r="C698" s="283"/>
      <c r="D698" s="284"/>
      <c r="E698" s="179" t="s">
        <v>152</v>
      </c>
      <c r="F698" s="117"/>
      <c r="G698" s="118"/>
      <c r="H698" s="109" t="e">
        <f>VLOOKUP(I698,'공시사항점검표 목차(2023)'!$K$11:$L$73,2,FALSE)</f>
        <v>#N/A</v>
      </c>
      <c r="I698" s="112" t="s">
        <v>1160</v>
      </c>
    </row>
    <row r="699" spans="1:9" ht="35.450000000000003" customHeight="1">
      <c r="A699" s="147"/>
      <c r="B699" s="162" t="s">
        <v>1007</v>
      </c>
      <c r="C699" s="283" t="s">
        <v>1008</v>
      </c>
      <c r="D699" s="284"/>
      <c r="E699" s="179"/>
      <c r="F699" s="117"/>
      <c r="G699" s="118"/>
      <c r="H699" s="109" t="e">
        <f>VLOOKUP(I699,'공시사항점검표 목차(2023)'!$K$11:$L$73,2,FALSE)</f>
        <v>#N/A</v>
      </c>
      <c r="I699" s="112" t="s">
        <v>1160</v>
      </c>
    </row>
    <row r="700" spans="1:9" ht="35.450000000000003" customHeight="1">
      <c r="A700" s="148"/>
      <c r="B700" s="166" t="s">
        <v>1003</v>
      </c>
      <c r="C700" s="286" t="s">
        <v>1009</v>
      </c>
      <c r="D700" s="287"/>
      <c r="E700" s="180"/>
      <c r="F700" s="126"/>
      <c r="G700" s="127"/>
      <c r="H700" s="109" t="e">
        <f>VLOOKUP(I700,'공시사항점검표 목차(2023)'!$K$11:$L$73,2,FALSE)</f>
        <v>#N/A</v>
      </c>
      <c r="I700" s="112" t="s">
        <v>1160</v>
      </c>
    </row>
    <row r="701" spans="1:9" ht="26.45" customHeight="1">
      <c r="A701" s="111" t="s">
        <v>1010</v>
      </c>
      <c r="H701" s="109" t="e">
        <f>VLOOKUP(I701,'공시사항점검표 목차(2023)'!$K$11:$L$73,2,FALSE)</f>
        <v>#N/A</v>
      </c>
      <c r="I701" s="112" t="s">
        <v>1161</v>
      </c>
    </row>
    <row r="702" spans="1:9" ht="26.45" customHeight="1">
      <c r="A702" s="269" t="s">
        <v>360</v>
      </c>
      <c r="B702" s="270"/>
      <c r="C702" s="270"/>
      <c r="D702" s="271"/>
      <c r="E702" s="114" t="s">
        <v>157</v>
      </c>
      <c r="F702" s="102" t="s">
        <v>301</v>
      </c>
      <c r="G702" s="114" t="s">
        <v>0</v>
      </c>
      <c r="H702" s="109" t="e">
        <f>VLOOKUP(I702,'공시사항점검표 목차(2023)'!$K$11:$L$73,2,FALSE)</f>
        <v>#N/A</v>
      </c>
      <c r="I702" s="112" t="s">
        <v>1161</v>
      </c>
    </row>
    <row r="703" spans="1:9" ht="17.45" customHeight="1">
      <c r="A703" s="120"/>
      <c r="B703" s="163" t="s">
        <v>966</v>
      </c>
      <c r="C703" s="280" t="s">
        <v>1014</v>
      </c>
      <c r="D703" s="281"/>
      <c r="E703" s="196"/>
      <c r="F703" s="132"/>
      <c r="G703" s="118"/>
      <c r="H703" s="109" t="e">
        <f>VLOOKUP(I703,'공시사항점검표 목차(2023)'!$K$11:$L$73,2,FALSE)</f>
        <v>#N/A</v>
      </c>
      <c r="I703" s="112" t="s">
        <v>1161</v>
      </c>
    </row>
    <row r="704" spans="1:9" ht="17.45" customHeight="1">
      <c r="A704" s="120"/>
      <c r="B704" s="162" t="s">
        <v>1003</v>
      </c>
      <c r="C704" s="283" t="s">
        <v>1015</v>
      </c>
      <c r="D704" s="284"/>
      <c r="E704" s="196"/>
      <c r="F704" s="132"/>
      <c r="G704" s="118"/>
      <c r="H704" s="109" t="e">
        <f>VLOOKUP(I704,'공시사항점검표 목차(2023)'!$K$11:$L$73,2,FALSE)</f>
        <v>#N/A</v>
      </c>
      <c r="I704" s="112" t="s">
        <v>1161</v>
      </c>
    </row>
    <row r="705" spans="1:9" ht="17.45" customHeight="1">
      <c r="A705" s="120"/>
      <c r="B705" s="162" t="s">
        <v>999</v>
      </c>
      <c r="C705" s="283" t="s">
        <v>1016</v>
      </c>
      <c r="D705" s="284"/>
      <c r="E705" s="196"/>
      <c r="F705" s="117"/>
      <c r="G705" s="118"/>
      <c r="H705" s="109" t="e">
        <f>VLOOKUP(I705,'공시사항점검표 목차(2023)'!$K$11:$L$73,2,FALSE)</f>
        <v>#N/A</v>
      </c>
      <c r="I705" s="112" t="s">
        <v>1161</v>
      </c>
    </row>
    <row r="706" spans="1:9" ht="28.5">
      <c r="A706" s="120"/>
      <c r="B706" s="84" t="s">
        <v>1011</v>
      </c>
      <c r="C706" s="283" t="s">
        <v>1017</v>
      </c>
      <c r="D706" s="284"/>
      <c r="E706" s="196" t="s">
        <v>248</v>
      </c>
      <c r="F706" s="117"/>
      <c r="G706" s="118"/>
      <c r="H706" s="109" t="e">
        <f>VLOOKUP(I706,'공시사항점검표 목차(2023)'!$K$11:$L$73,2,FALSE)</f>
        <v>#N/A</v>
      </c>
      <c r="I706" s="112" t="s">
        <v>1161</v>
      </c>
    </row>
    <row r="707" spans="1:9" ht="28.5">
      <c r="A707" s="120"/>
      <c r="B707" s="84" t="s">
        <v>1012</v>
      </c>
      <c r="C707" s="283" t="s">
        <v>1018</v>
      </c>
      <c r="D707" s="284"/>
      <c r="E707" s="196" t="s">
        <v>247</v>
      </c>
      <c r="F707" s="117"/>
      <c r="G707" s="118"/>
      <c r="H707" s="109" t="e">
        <f>VLOOKUP(I707,'공시사항점검표 목차(2023)'!$K$11:$L$73,2,FALSE)</f>
        <v>#N/A</v>
      </c>
      <c r="I707" s="112" t="s">
        <v>1161</v>
      </c>
    </row>
    <row r="708" spans="1:9" ht="28.5">
      <c r="A708" s="122"/>
      <c r="B708" s="123" t="s">
        <v>1013</v>
      </c>
      <c r="C708" s="286" t="s">
        <v>1019</v>
      </c>
      <c r="D708" s="287"/>
      <c r="E708" s="197" t="s">
        <v>246</v>
      </c>
      <c r="F708" s="126"/>
      <c r="G708" s="127"/>
      <c r="H708" s="109" t="e">
        <f>VLOOKUP(I708,'공시사항점검표 목차(2023)'!$K$11:$L$73,2,FALSE)</f>
        <v>#N/A</v>
      </c>
      <c r="I708" s="112" t="s">
        <v>1161</v>
      </c>
    </row>
    <row r="709" spans="1:9" ht="26.45" customHeight="1">
      <c r="A709" s="111" t="s">
        <v>1020</v>
      </c>
      <c r="H709" s="109" t="e">
        <f>VLOOKUP(I709,'공시사항점검표 목차(2023)'!$K$11:$L$73,2,FALSE)</f>
        <v>#N/A</v>
      </c>
      <c r="I709" s="112" t="s">
        <v>1162</v>
      </c>
    </row>
    <row r="710" spans="1:9" ht="26.45" customHeight="1">
      <c r="A710" s="269" t="s">
        <v>360</v>
      </c>
      <c r="B710" s="270"/>
      <c r="C710" s="270"/>
      <c r="D710" s="271"/>
      <c r="E710" s="114" t="s">
        <v>157</v>
      </c>
      <c r="F710" s="102" t="s">
        <v>301</v>
      </c>
      <c r="G710" s="114" t="s">
        <v>0</v>
      </c>
      <c r="H710" s="109" t="e">
        <f>VLOOKUP(I710,'공시사항점검표 목차(2023)'!$K$11:$L$73,2,FALSE)</f>
        <v>#N/A</v>
      </c>
      <c r="I710" s="112" t="s">
        <v>1162</v>
      </c>
    </row>
    <row r="711" spans="1:9" ht="28.5">
      <c r="A711" s="279" t="s">
        <v>269</v>
      </c>
      <c r="B711" s="280"/>
      <c r="C711" s="280"/>
      <c r="D711" s="281"/>
      <c r="E711" s="196" t="s">
        <v>110</v>
      </c>
      <c r="F711" s="117"/>
      <c r="G711" s="118"/>
      <c r="H711" s="109" t="e">
        <f>VLOOKUP(I711,'공시사항점검표 목차(2023)'!$K$11:$L$73,2,FALSE)</f>
        <v>#N/A</v>
      </c>
      <c r="I711" s="112" t="s">
        <v>1162</v>
      </c>
    </row>
    <row r="712" spans="1:9" ht="17.45" customHeight="1">
      <c r="A712" s="147"/>
      <c r="B712" s="163" t="s">
        <v>966</v>
      </c>
      <c r="C712" s="283" t="s">
        <v>1021</v>
      </c>
      <c r="D712" s="284"/>
      <c r="E712" s="196"/>
      <c r="F712" s="117"/>
      <c r="G712" s="118"/>
      <c r="H712" s="109" t="e">
        <f>VLOOKUP(I712,'공시사항점검표 목차(2023)'!$K$11:$L$73,2,FALSE)</f>
        <v>#N/A</v>
      </c>
      <c r="I712" s="112" t="s">
        <v>1162</v>
      </c>
    </row>
    <row r="713" spans="1:9" ht="34.15" customHeight="1">
      <c r="A713" s="147"/>
      <c r="B713" s="162" t="s">
        <v>1003</v>
      </c>
      <c r="C713" s="283" t="s">
        <v>1022</v>
      </c>
      <c r="D713" s="284"/>
      <c r="E713" s="196"/>
      <c r="F713" s="117"/>
      <c r="G713" s="118"/>
      <c r="H713" s="109" t="e">
        <f>VLOOKUP(I713,'공시사항점검표 목차(2023)'!$K$11:$L$73,2,FALSE)</f>
        <v>#N/A</v>
      </c>
      <c r="I713" s="112" t="s">
        <v>1162</v>
      </c>
    </row>
    <row r="714" spans="1:9" ht="17.45" customHeight="1">
      <c r="A714" s="147"/>
      <c r="B714" s="162" t="s">
        <v>999</v>
      </c>
      <c r="C714" s="283" t="s">
        <v>1023</v>
      </c>
      <c r="D714" s="284"/>
      <c r="E714" s="196"/>
      <c r="F714" s="117"/>
      <c r="G714" s="118"/>
      <c r="H714" s="109" t="e">
        <f>VLOOKUP(I714,'공시사항점검표 목차(2023)'!$K$11:$L$73,2,FALSE)</f>
        <v>#N/A</v>
      </c>
      <c r="I714" s="112" t="s">
        <v>1162</v>
      </c>
    </row>
    <row r="715" spans="1:9" ht="17.45" customHeight="1">
      <c r="A715" s="147"/>
      <c r="B715" s="84" t="s">
        <v>1011</v>
      </c>
      <c r="C715" s="283" t="s">
        <v>1024</v>
      </c>
      <c r="D715" s="284"/>
      <c r="E715" s="196"/>
      <c r="F715" s="117"/>
      <c r="G715" s="118"/>
      <c r="H715" s="109" t="e">
        <f>VLOOKUP(I715,'공시사항점검표 목차(2023)'!$K$11:$L$73,2,FALSE)</f>
        <v>#N/A</v>
      </c>
      <c r="I715" s="112" t="s">
        <v>1162</v>
      </c>
    </row>
    <row r="716" spans="1:9" ht="39" customHeight="1">
      <c r="A716" s="282" t="s">
        <v>111</v>
      </c>
      <c r="B716" s="283"/>
      <c r="C716" s="283"/>
      <c r="D716" s="284"/>
      <c r="E716" s="196"/>
      <c r="F716" s="117"/>
      <c r="G716" s="118"/>
      <c r="H716" s="109" t="e">
        <f>VLOOKUP(I716,'공시사항점검표 목차(2023)'!$K$11:$L$73,2,FALSE)</f>
        <v>#N/A</v>
      </c>
      <c r="I716" s="112" t="s">
        <v>1162</v>
      </c>
    </row>
    <row r="717" spans="1:9" ht="37.9" customHeight="1">
      <c r="A717" s="147"/>
      <c r="B717" s="163" t="s">
        <v>966</v>
      </c>
      <c r="C717" s="283" t="s">
        <v>1025</v>
      </c>
      <c r="D717" s="284"/>
      <c r="E717" s="196" t="s">
        <v>112</v>
      </c>
      <c r="F717" s="117"/>
      <c r="G717" s="118"/>
      <c r="H717" s="109" t="e">
        <f>VLOOKUP(I717,'공시사항점검표 목차(2023)'!$K$11:$L$73,2,FALSE)</f>
        <v>#N/A</v>
      </c>
      <c r="I717" s="112" t="s">
        <v>1162</v>
      </c>
    </row>
    <row r="718" spans="1:9" ht="18" customHeight="1">
      <c r="A718" s="147"/>
      <c r="B718" s="162" t="s">
        <v>1003</v>
      </c>
      <c r="C718" s="283" t="s">
        <v>1026</v>
      </c>
      <c r="D718" s="284"/>
      <c r="E718" s="196"/>
      <c r="F718" s="117"/>
      <c r="G718" s="118"/>
      <c r="H718" s="109" t="e">
        <f>VLOOKUP(I718,'공시사항점검표 목차(2023)'!$K$11:$L$73,2,FALSE)</f>
        <v>#N/A</v>
      </c>
      <c r="I718" s="112" t="s">
        <v>1162</v>
      </c>
    </row>
    <row r="719" spans="1:9" ht="17.45" customHeight="1">
      <c r="A719" s="147"/>
      <c r="B719" s="162" t="s">
        <v>999</v>
      </c>
      <c r="C719" s="283" t="s">
        <v>1027</v>
      </c>
      <c r="D719" s="284"/>
      <c r="E719" s="196"/>
      <c r="F719" s="117"/>
      <c r="G719" s="118"/>
      <c r="H719" s="109" t="e">
        <f>VLOOKUP(I719,'공시사항점검표 목차(2023)'!$K$11:$L$73,2,FALSE)</f>
        <v>#N/A</v>
      </c>
      <c r="I719" s="112" t="s">
        <v>1162</v>
      </c>
    </row>
    <row r="720" spans="1:9" ht="28.5">
      <c r="A720" s="282" t="s">
        <v>114</v>
      </c>
      <c r="B720" s="283"/>
      <c r="C720" s="283"/>
      <c r="D720" s="284"/>
      <c r="E720" s="196" t="s">
        <v>113</v>
      </c>
      <c r="F720" s="117"/>
      <c r="G720" s="118"/>
      <c r="H720" s="109" t="e">
        <f>VLOOKUP(I720,'공시사항점검표 목차(2023)'!$K$11:$L$73,2,FALSE)</f>
        <v>#N/A</v>
      </c>
      <c r="I720" s="112" t="s">
        <v>1162</v>
      </c>
    </row>
    <row r="721" spans="1:9" ht="34.9" customHeight="1">
      <c r="A721" s="178"/>
      <c r="B721" s="162" t="s">
        <v>1007</v>
      </c>
      <c r="C721" s="283" t="s">
        <v>1028</v>
      </c>
      <c r="D721" s="284"/>
      <c r="E721" s="196"/>
      <c r="F721" s="117"/>
      <c r="G721" s="118"/>
      <c r="H721" s="109" t="e">
        <f>VLOOKUP(I721,'공시사항점검표 목차(2023)'!$K$11:$L$73,2,FALSE)</f>
        <v>#N/A</v>
      </c>
      <c r="I721" s="112" t="s">
        <v>1162</v>
      </c>
    </row>
    <row r="722" spans="1:9" ht="36.6" customHeight="1">
      <c r="A722" s="147"/>
      <c r="B722" s="162" t="s">
        <v>1003</v>
      </c>
      <c r="C722" s="283" t="s">
        <v>1029</v>
      </c>
      <c r="D722" s="284"/>
      <c r="E722" s="196"/>
      <c r="F722" s="117"/>
      <c r="G722" s="118"/>
      <c r="H722" s="109" t="e">
        <f>VLOOKUP(I722,'공시사항점검표 목차(2023)'!$K$11:$L$73,2,FALSE)</f>
        <v>#N/A</v>
      </c>
      <c r="I722" s="112" t="s">
        <v>1162</v>
      </c>
    </row>
    <row r="723" spans="1:9" ht="28.5">
      <c r="A723" s="282" t="s">
        <v>116</v>
      </c>
      <c r="B723" s="283"/>
      <c r="C723" s="283"/>
      <c r="D723" s="284"/>
      <c r="E723" s="196" t="s">
        <v>115</v>
      </c>
      <c r="F723" s="117"/>
      <c r="G723" s="118"/>
      <c r="H723" s="109" t="e">
        <f>VLOOKUP(I723,'공시사항점검표 목차(2023)'!$K$11:$L$73,2,FALSE)</f>
        <v>#N/A</v>
      </c>
      <c r="I723" s="112" t="s">
        <v>1162</v>
      </c>
    </row>
    <row r="724" spans="1:9" ht="17.45" customHeight="1">
      <c r="A724" s="147"/>
      <c r="B724" s="163" t="s">
        <v>966</v>
      </c>
      <c r="C724" s="283" t="s">
        <v>1039</v>
      </c>
      <c r="D724" s="284"/>
      <c r="E724" s="196"/>
      <c r="F724" s="117"/>
      <c r="G724" s="118"/>
      <c r="H724" s="109" t="e">
        <f>VLOOKUP(I724,'공시사항점검표 목차(2023)'!$K$11:$L$73,2,FALSE)</f>
        <v>#N/A</v>
      </c>
      <c r="I724" s="112" t="s">
        <v>1162</v>
      </c>
    </row>
    <row r="725" spans="1:9" ht="17.45" customHeight="1">
      <c r="A725" s="147"/>
      <c r="B725" s="162" t="s">
        <v>1003</v>
      </c>
      <c r="C725" s="283" t="s">
        <v>1040</v>
      </c>
      <c r="D725" s="284"/>
      <c r="E725" s="196"/>
      <c r="F725" s="117"/>
      <c r="G725" s="118"/>
      <c r="H725" s="109" t="e">
        <f>VLOOKUP(I725,'공시사항점검표 목차(2023)'!$K$11:$L$73,2,FALSE)</f>
        <v>#N/A</v>
      </c>
      <c r="I725" s="112" t="s">
        <v>1162</v>
      </c>
    </row>
    <row r="726" spans="1:9" ht="17.45" customHeight="1">
      <c r="A726" s="147"/>
      <c r="B726" s="162" t="s">
        <v>999</v>
      </c>
      <c r="C726" s="283" t="s">
        <v>1041</v>
      </c>
      <c r="D726" s="284"/>
      <c r="E726" s="196"/>
      <c r="F726" s="117"/>
      <c r="G726" s="118"/>
      <c r="H726" s="109" t="e">
        <f>VLOOKUP(I726,'공시사항점검표 목차(2023)'!$K$11:$L$73,2,FALSE)</f>
        <v>#N/A</v>
      </c>
      <c r="I726" s="112" t="s">
        <v>1162</v>
      </c>
    </row>
    <row r="727" spans="1:9" ht="17.45" customHeight="1">
      <c r="A727" s="147"/>
      <c r="B727" s="163" t="s">
        <v>1031</v>
      </c>
      <c r="C727" s="283" t="s">
        <v>1030</v>
      </c>
      <c r="D727" s="284"/>
      <c r="E727" s="196"/>
      <c r="F727" s="117"/>
      <c r="G727" s="118"/>
      <c r="H727" s="109" t="e">
        <f>VLOOKUP(I727,'공시사항점검표 목차(2023)'!$K$11:$L$73,2,FALSE)</f>
        <v>#N/A</v>
      </c>
      <c r="I727" s="112" t="s">
        <v>1162</v>
      </c>
    </row>
    <row r="728" spans="1:9" ht="17.45" customHeight="1">
      <c r="A728" s="147"/>
      <c r="B728" s="163" t="s">
        <v>989</v>
      </c>
      <c r="C728" s="283" t="s">
        <v>1032</v>
      </c>
      <c r="D728" s="284"/>
      <c r="E728" s="146"/>
      <c r="F728" s="117"/>
      <c r="G728" s="118"/>
      <c r="H728" s="109" t="e">
        <f>VLOOKUP(I728,'공시사항점검표 목차(2023)'!$K$11:$L$73,2,FALSE)</f>
        <v>#N/A</v>
      </c>
      <c r="I728" s="112" t="s">
        <v>1162</v>
      </c>
    </row>
    <row r="729" spans="1:9" ht="35.450000000000003" customHeight="1">
      <c r="A729" s="147"/>
      <c r="B729" s="162" t="s">
        <v>1036</v>
      </c>
      <c r="C729" s="283" t="s">
        <v>1033</v>
      </c>
      <c r="D729" s="284"/>
      <c r="E729" s="196"/>
      <c r="F729" s="117"/>
      <c r="G729" s="118"/>
      <c r="H729" s="109" t="e">
        <f>VLOOKUP(I729,'공시사항점검표 목차(2023)'!$K$11:$L$73,2,FALSE)</f>
        <v>#N/A</v>
      </c>
      <c r="I729" s="112" t="s">
        <v>1162</v>
      </c>
    </row>
    <row r="730" spans="1:9" ht="33" customHeight="1">
      <c r="A730" s="147"/>
      <c r="B730" s="162" t="s">
        <v>1035</v>
      </c>
      <c r="C730" s="283" t="s">
        <v>1034</v>
      </c>
      <c r="D730" s="284"/>
      <c r="E730" s="196"/>
      <c r="F730" s="117"/>
      <c r="G730" s="118"/>
      <c r="H730" s="109" t="e">
        <f>VLOOKUP(I730,'공시사항점검표 목차(2023)'!$K$11:$L$73,2,FALSE)</f>
        <v>#N/A</v>
      </c>
      <c r="I730" s="112" t="s">
        <v>1162</v>
      </c>
    </row>
    <row r="731" spans="1:9" ht="17.45" customHeight="1">
      <c r="A731" s="148"/>
      <c r="B731" s="165" t="s">
        <v>1038</v>
      </c>
      <c r="C731" s="286" t="s">
        <v>1037</v>
      </c>
      <c r="D731" s="287"/>
      <c r="E731" s="197"/>
      <c r="F731" s="126"/>
      <c r="G731" s="127"/>
      <c r="H731" s="109" t="e">
        <f>VLOOKUP(I731,'공시사항점검표 목차(2023)'!$K$11:$L$73,2,FALSE)</f>
        <v>#N/A</v>
      </c>
      <c r="I731" s="112" t="s">
        <v>1162</v>
      </c>
    </row>
    <row r="732" spans="1:9" ht="26.45" customHeight="1">
      <c r="A732" s="111" t="s">
        <v>1042</v>
      </c>
      <c r="H732" s="109" t="e">
        <f>VLOOKUP(I732,'공시사항점검표 목차(2023)'!$K$11:$L$73,2,FALSE)</f>
        <v>#N/A</v>
      </c>
      <c r="I732" s="112" t="s">
        <v>1163</v>
      </c>
    </row>
    <row r="733" spans="1:9" ht="26.45" customHeight="1">
      <c r="A733" s="269" t="s">
        <v>360</v>
      </c>
      <c r="B733" s="270"/>
      <c r="C733" s="270"/>
      <c r="D733" s="271"/>
      <c r="E733" s="114" t="s">
        <v>157</v>
      </c>
      <c r="F733" s="102" t="s">
        <v>301</v>
      </c>
      <c r="G733" s="114" t="s">
        <v>0</v>
      </c>
      <c r="H733" s="109" t="e">
        <f>VLOOKUP(I733,'공시사항점검표 목차(2023)'!$K$11:$L$73,2,FALSE)</f>
        <v>#N/A</v>
      </c>
      <c r="I733" s="112" t="s">
        <v>1163</v>
      </c>
    </row>
    <row r="734" spans="1:9" ht="17.45" customHeight="1">
      <c r="A734" s="279" t="s">
        <v>153</v>
      </c>
      <c r="B734" s="280"/>
      <c r="C734" s="280"/>
      <c r="D734" s="281"/>
      <c r="E734" s="146"/>
      <c r="F734" s="117"/>
      <c r="G734" s="118"/>
      <c r="H734" s="109" t="e">
        <f>VLOOKUP(I734,'공시사항점검표 목차(2023)'!$K$11:$L$73,2,FALSE)</f>
        <v>#N/A</v>
      </c>
      <c r="I734" s="112" t="s">
        <v>1163</v>
      </c>
    </row>
    <row r="735" spans="1:9" ht="28.5">
      <c r="A735" s="147"/>
      <c r="B735" s="163" t="s">
        <v>1007</v>
      </c>
      <c r="C735" s="283" t="s">
        <v>1043</v>
      </c>
      <c r="D735" s="284"/>
      <c r="E735" s="152" t="s">
        <v>274</v>
      </c>
      <c r="F735" s="132"/>
      <c r="G735" s="118"/>
      <c r="H735" s="109" t="e">
        <f>VLOOKUP(I735,'공시사항점검표 목차(2023)'!$K$11:$L$73,2,FALSE)</f>
        <v>#N/A</v>
      </c>
      <c r="I735" s="112" t="s">
        <v>1163</v>
      </c>
    </row>
    <row r="736" spans="1:9" ht="28.5">
      <c r="A736" s="147"/>
      <c r="B736" s="163"/>
      <c r="C736" s="108" t="s">
        <v>1048</v>
      </c>
      <c r="D736" s="193" t="s">
        <v>1047</v>
      </c>
      <c r="E736" s="196" t="s">
        <v>275</v>
      </c>
      <c r="F736" s="117"/>
      <c r="G736" s="118"/>
      <c r="H736" s="109" t="e">
        <f>VLOOKUP(I736,'공시사항점검표 목차(2023)'!$K$11:$L$73,2,FALSE)</f>
        <v>#N/A</v>
      </c>
      <c r="I736" s="112" t="s">
        <v>1163</v>
      </c>
    </row>
    <row r="737" spans="1:9">
      <c r="A737" s="147"/>
      <c r="B737" s="163"/>
      <c r="C737" s="108" t="s">
        <v>979</v>
      </c>
      <c r="D737" s="193" t="s">
        <v>1049</v>
      </c>
      <c r="E737" s="196"/>
      <c r="F737" s="117"/>
      <c r="G737" s="118"/>
      <c r="H737" s="109" t="e">
        <f>VLOOKUP(I737,'공시사항점검표 목차(2023)'!$K$11:$L$73,2,FALSE)</f>
        <v>#N/A</v>
      </c>
      <c r="I737" s="112" t="s">
        <v>1163</v>
      </c>
    </row>
    <row r="738" spans="1:9">
      <c r="A738" s="147"/>
      <c r="B738" s="163"/>
      <c r="C738" s="108" t="s">
        <v>1051</v>
      </c>
      <c r="D738" s="193" t="s">
        <v>1050</v>
      </c>
      <c r="E738" s="196"/>
      <c r="F738" s="117"/>
      <c r="G738" s="118"/>
      <c r="H738" s="109" t="e">
        <f>VLOOKUP(I738,'공시사항점검표 목차(2023)'!$K$11:$L$73,2,FALSE)</f>
        <v>#N/A</v>
      </c>
      <c r="I738" s="112" t="s">
        <v>1163</v>
      </c>
    </row>
    <row r="739" spans="1:9" ht="28.5">
      <c r="A739" s="147"/>
      <c r="B739" s="163" t="s">
        <v>1003</v>
      </c>
      <c r="C739" s="283" t="s">
        <v>1044</v>
      </c>
      <c r="D739" s="284"/>
      <c r="E739" s="196" t="s">
        <v>155</v>
      </c>
      <c r="F739" s="132"/>
      <c r="G739" s="118"/>
      <c r="H739" s="109" t="e">
        <f>VLOOKUP(I739,'공시사항점검표 목차(2023)'!$K$11:$L$73,2,FALSE)</f>
        <v>#N/A</v>
      </c>
      <c r="I739" s="112" t="s">
        <v>1163</v>
      </c>
    </row>
    <row r="740" spans="1:9">
      <c r="A740" s="147"/>
      <c r="B740" s="163"/>
      <c r="C740" s="108" t="s">
        <v>1048</v>
      </c>
      <c r="D740" s="193" t="s">
        <v>1052</v>
      </c>
      <c r="E740" s="196"/>
      <c r="F740" s="117"/>
      <c r="G740" s="118"/>
      <c r="H740" s="109" t="e">
        <f>VLOOKUP(I740,'공시사항점검표 목차(2023)'!$K$11:$L$73,2,FALSE)</f>
        <v>#N/A</v>
      </c>
      <c r="I740" s="112" t="s">
        <v>1163</v>
      </c>
    </row>
    <row r="741" spans="1:9" ht="42.75">
      <c r="A741" s="147"/>
      <c r="B741" s="163"/>
      <c r="C741" s="108" t="s">
        <v>979</v>
      </c>
      <c r="D741" s="193" t="s">
        <v>1053</v>
      </c>
      <c r="E741" s="196"/>
      <c r="F741" s="117"/>
      <c r="G741" s="118"/>
      <c r="H741" s="109" t="e">
        <f>VLOOKUP(I741,'공시사항점검표 목차(2023)'!$K$11:$L$73,2,FALSE)</f>
        <v>#N/A</v>
      </c>
      <c r="I741" s="112" t="s">
        <v>1163</v>
      </c>
    </row>
    <row r="742" spans="1:9" ht="28.5">
      <c r="A742" s="282" t="s">
        <v>154</v>
      </c>
      <c r="B742" s="283"/>
      <c r="C742" s="283"/>
      <c r="D742" s="284"/>
      <c r="E742" s="196" t="s">
        <v>156</v>
      </c>
      <c r="F742" s="117"/>
      <c r="G742" s="118"/>
      <c r="H742" s="109" t="e">
        <f>VLOOKUP(I742,'공시사항점검표 목차(2023)'!$K$11:$L$73,2,FALSE)</f>
        <v>#N/A</v>
      </c>
      <c r="I742" s="112" t="s">
        <v>1163</v>
      </c>
    </row>
    <row r="743" spans="1:9" ht="17.45" customHeight="1">
      <c r="A743" s="147"/>
      <c r="B743" s="163" t="s">
        <v>1007</v>
      </c>
      <c r="C743" s="283" t="s">
        <v>1045</v>
      </c>
      <c r="D743" s="284"/>
      <c r="E743" s="196"/>
      <c r="F743" s="117"/>
      <c r="G743" s="118"/>
      <c r="H743" s="109" t="e">
        <f>VLOOKUP(I743,'공시사항점검표 목차(2023)'!$K$11:$L$73,2,FALSE)</f>
        <v>#N/A</v>
      </c>
      <c r="I743" s="112" t="s">
        <v>1163</v>
      </c>
    </row>
    <row r="744" spans="1:9" ht="17.45" customHeight="1">
      <c r="A744" s="148"/>
      <c r="B744" s="165" t="s">
        <v>1003</v>
      </c>
      <c r="C744" s="286" t="s">
        <v>1046</v>
      </c>
      <c r="D744" s="287"/>
      <c r="E744" s="197"/>
      <c r="F744" s="126"/>
      <c r="G744" s="127"/>
      <c r="H744" s="109" t="e">
        <f>VLOOKUP(I744,'공시사항점검표 목차(2023)'!$K$11:$L$73,2,FALSE)</f>
        <v>#N/A</v>
      </c>
      <c r="I744" s="112" t="s">
        <v>1163</v>
      </c>
    </row>
    <row r="745" spans="1:9" ht="22.5" customHeight="1">
      <c r="A745" s="128" t="s">
        <v>1054</v>
      </c>
      <c r="B745" s="129"/>
      <c r="C745" s="130"/>
      <c r="E745" s="196"/>
      <c r="F745" s="156"/>
      <c r="G745" s="157"/>
      <c r="H745" s="109" t="e">
        <f>VLOOKUP(I745,'공시사항점검표 목차(2023)'!$K$11:$L$73,2,FALSE)</f>
        <v>#N/A</v>
      </c>
      <c r="I745" s="112" t="s">
        <v>1164</v>
      </c>
    </row>
    <row r="746" spans="1:9" ht="25.15" customHeight="1" outlineLevel="1">
      <c r="A746" s="269" t="s">
        <v>360</v>
      </c>
      <c r="B746" s="270"/>
      <c r="C746" s="270"/>
      <c r="D746" s="271"/>
      <c r="E746" s="114" t="s">
        <v>157</v>
      </c>
      <c r="F746" s="102" t="s">
        <v>301</v>
      </c>
      <c r="G746" s="114" t="s">
        <v>0</v>
      </c>
      <c r="H746" s="109" t="e">
        <f>VLOOKUP(I746,'공시사항점검표 목차(2023)'!$K$11:$L$73,2,FALSE)</f>
        <v>#N/A</v>
      </c>
      <c r="I746" s="112" t="s">
        <v>1164</v>
      </c>
    </row>
    <row r="747" spans="1:9" ht="56.45" customHeight="1" outlineLevel="1">
      <c r="A747" s="282" t="s">
        <v>132</v>
      </c>
      <c r="B747" s="283"/>
      <c r="C747" s="283"/>
      <c r="D747" s="284"/>
      <c r="E747" s="196" t="s">
        <v>322</v>
      </c>
      <c r="F747" s="117"/>
      <c r="G747" s="118"/>
      <c r="H747" s="109" t="e">
        <f>VLOOKUP(I747,'공시사항점검표 목차(2023)'!$K$11:$L$73,2,FALSE)</f>
        <v>#N/A</v>
      </c>
      <c r="I747" s="112" t="s">
        <v>1164</v>
      </c>
    </row>
    <row r="748" spans="1:9" ht="51.6" customHeight="1" outlineLevel="1">
      <c r="A748" s="282" t="s">
        <v>8</v>
      </c>
      <c r="B748" s="283"/>
      <c r="C748" s="283"/>
      <c r="D748" s="284"/>
      <c r="E748" s="196" t="s">
        <v>7</v>
      </c>
      <c r="F748" s="117"/>
      <c r="G748" s="118"/>
      <c r="H748" s="109" t="e">
        <f>VLOOKUP(I748,'공시사항점검표 목차(2023)'!$K$11:$L$73,2,FALSE)</f>
        <v>#N/A</v>
      </c>
      <c r="I748" s="112" t="s">
        <v>1164</v>
      </c>
    </row>
    <row r="749" spans="1:9" ht="52.15" customHeight="1" outlineLevel="1">
      <c r="A749" s="147"/>
      <c r="B749" s="162" t="s">
        <v>1056</v>
      </c>
      <c r="C749" s="283" t="s">
        <v>1055</v>
      </c>
      <c r="D749" s="284"/>
      <c r="E749" s="196"/>
      <c r="F749" s="117"/>
      <c r="G749" s="118"/>
      <c r="H749" s="109" t="e">
        <f>VLOOKUP(I749,'공시사항점검표 목차(2023)'!$K$11:$L$73,2,FALSE)</f>
        <v>#N/A</v>
      </c>
      <c r="I749" s="112" t="s">
        <v>1164</v>
      </c>
    </row>
    <row r="750" spans="1:9" ht="37.9" customHeight="1" outlineLevel="1">
      <c r="A750" s="147"/>
      <c r="B750" s="162" t="s">
        <v>1058</v>
      </c>
      <c r="C750" s="283" t="s">
        <v>1057</v>
      </c>
      <c r="D750" s="284"/>
      <c r="E750" s="196"/>
      <c r="F750" s="117"/>
      <c r="G750" s="118"/>
      <c r="H750" s="109" t="e">
        <f>VLOOKUP(I750,'공시사항점검표 목차(2023)'!$K$11:$L$73,2,FALSE)</f>
        <v>#N/A</v>
      </c>
      <c r="I750" s="112" t="s">
        <v>1164</v>
      </c>
    </row>
    <row r="751" spans="1:9" ht="36.6" customHeight="1" outlineLevel="1">
      <c r="A751" s="147"/>
      <c r="B751" s="162" t="s">
        <v>974</v>
      </c>
      <c r="C751" s="283" t="s">
        <v>1059</v>
      </c>
      <c r="D751" s="284"/>
      <c r="E751" s="196"/>
      <c r="F751" s="117"/>
      <c r="G751" s="118"/>
      <c r="H751" s="109" t="e">
        <f>VLOOKUP(I751,'공시사항점검표 목차(2023)'!$K$11:$L$73,2,FALSE)</f>
        <v>#N/A</v>
      </c>
      <c r="I751" s="112" t="s">
        <v>1164</v>
      </c>
    </row>
    <row r="752" spans="1:9" outlineLevel="1">
      <c r="A752" s="147"/>
      <c r="B752" s="162" t="s">
        <v>1061</v>
      </c>
      <c r="C752" s="283" t="s">
        <v>1060</v>
      </c>
      <c r="D752" s="284"/>
      <c r="E752" s="196"/>
      <c r="F752" s="117"/>
      <c r="G752" s="118"/>
      <c r="H752" s="109" t="e">
        <f>VLOOKUP(I752,'공시사항점검표 목차(2023)'!$K$11:$L$73,2,FALSE)</f>
        <v>#N/A</v>
      </c>
      <c r="I752" s="112" t="s">
        <v>1164</v>
      </c>
    </row>
    <row r="753" spans="1:9" ht="32.450000000000003" customHeight="1" outlineLevel="1">
      <c r="A753" s="282" t="s">
        <v>9</v>
      </c>
      <c r="B753" s="283"/>
      <c r="C753" s="283"/>
      <c r="D753" s="284"/>
      <c r="E753" s="196" t="s">
        <v>323</v>
      </c>
      <c r="F753" s="117"/>
      <c r="G753" s="118"/>
      <c r="H753" s="109" t="e">
        <f>VLOOKUP(I753,'공시사항점검표 목차(2023)'!$K$11:$L$73,2,FALSE)</f>
        <v>#N/A</v>
      </c>
      <c r="I753" s="112" t="s">
        <v>1164</v>
      </c>
    </row>
    <row r="754" spans="1:9" ht="33.6" customHeight="1" outlineLevel="1">
      <c r="A754" s="147"/>
      <c r="B754" s="162" t="s">
        <v>1056</v>
      </c>
      <c r="C754" s="283" t="s">
        <v>1063</v>
      </c>
      <c r="D754" s="284"/>
      <c r="E754" s="196"/>
      <c r="F754" s="117"/>
      <c r="G754" s="118"/>
      <c r="H754" s="109" t="e">
        <f>VLOOKUP(I754,'공시사항점검표 목차(2023)'!$K$11:$L$73,2,FALSE)</f>
        <v>#N/A</v>
      </c>
      <c r="I754" s="112" t="s">
        <v>1164</v>
      </c>
    </row>
    <row r="755" spans="1:9" ht="39.6" customHeight="1" outlineLevel="1">
      <c r="A755" s="147"/>
      <c r="B755" s="162" t="s">
        <v>1058</v>
      </c>
      <c r="C755" s="283" t="s">
        <v>1064</v>
      </c>
      <c r="D755" s="284"/>
      <c r="E755" s="196"/>
      <c r="F755" s="117"/>
      <c r="G755" s="118"/>
      <c r="H755" s="109" t="e">
        <f>VLOOKUP(I755,'공시사항점검표 목차(2023)'!$K$11:$L$73,2,FALSE)</f>
        <v>#N/A</v>
      </c>
      <c r="I755" s="112" t="s">
        <v>1164</v>
      </c>
    </row>
    <row r="756" spans="1:9" ht="64.900000000000006" customHeight="1" outlineLevel="1">
      <c r="A756" s="147"/>
      <c r="B756" s="162" t="s">
        <v>974</v>
      </c>
      <c r="C756" s="283" t="s">
        <v>1065</v>
      </c>
      <c r="D756" s="284"/>
      <c r="E756" s="146"/>
      <c r="F756" s="117"/>
      <c r="G756" s="118"/>
      <c r="H756" s="109" t="e">
        <f>VLOOKUP(I756,'공시사항점검표 목차(2023)'!$K$11:$L$73,2,FALSE)</f>
        <v>#N/A</v>
      </c>
      <c r="I756" s="112" t="s">
        <v>1164</v>
      </c>
    </row>
    <row r="757" spans="1:9" ht="48.6" customHeight="1" outlineLevel="1">
      <c r="A757" s="147"/>
      <c r="B757" s="162" t="s">
        <v>1061</v>
      </c>
      <c r="C757" s="283" t="s">
        <v>1066</v>
      </c>
      <c r="D757" s="284"/>
      <c r="E757" s="196"/>
      <c r="F757" s="117"/>
      <c r="G757" s="118"/>
      <c r="H757" s="109" t="e">
        <f>VLOOKUP(I757,'공시사항점검표 목차(2023)'!$K$11:$L$73,2,FALSE)</f>
        <v>#N/A</v>
      </c>
      <c r="I757" s="112" t="s">
        <v>1164</v>
      </c>
    </row>
    <row r="758" spans="1:9" outlineLevel="1">
      <c r="A758" s="147"/>
      <c r="B758" s="162" t="s">
        <v>1062</v>
      </c>
      <c r="C758" s="283" t="s">
        <v>1067</v>
      </c>
      <c r="D758" s="284"/>
      <c r="E758" s="181"/>
      <c r="F758" s="117"/>
      <c r="G758" s="118"/>
      <c r="H758" s="109" t="e">
        <f>VLOOKUP(I758,'공시사항점검표 목차(2023)'!$K$11:$L$73,2,FALSE)</f>
        <v>#N/A</v>
      </c>
      <c r="I758" s="112" t="s">
        <v>1164</v>
      </c>
    </row>
    <row r="759" spans="1:9" ht="28.5" outlineLevel="1">
      <c r="A759" s="282" t="s">
        <v>236</v>
      </c>
      <c r="B759" s="283"/>
      <c r="C759" s="283"/>
      <c r="D759" s="284"/>
      <c r="E759" s="196" t="s">
        <v>324</v>
      </c>
      <c r="F759" s="117"/>
      <c r="G759" s="118"/>
      <c r="H759" s="109" t="e">
        <f>VLOOKUP(I759,'공시사항점검표 목차(2023)'!$K$11:$L$73,2,FALSE)</f>
        <v>#N/A</v>
      </c>
      <c r="I759" s="112" t="s">
        <v>1164</v>
      </c>
    </row>
    <row r="760" spans="1:9" ht="28.5" outlineLevel="1">
      <c r="A760" s="282" t="s">
        <v>237</v>
      </c>
      <c r="B760" s="283"/>
      <c r="C760" s="283"/>
      <c r="D760" s="284"/>
      <c r="E760" s="196" t="s">
        <v>325</v>
      </c>
      <c r="F760" s="117"/>
      <c r="G760" s="118"/>
      <c r="H760" s="109" t="e">
        <f>VLOOKUP(I760,'공시사항점검표 목차(2023)'!$K$11:$L$73,2,FALSE)</f>
        <v>#N/A</v>
      </c>
      <c r="I760" s="112" t="s">
        <v>1164</v>
      </c>
    </row>
    <row r="761" spans="1:9" ht="57" customHeight="1">
      <c r="A761" s="285" t="s">
        <v>271</v>
      </c>
      <c r="B761" s="286"/>
      <c r="C761" s="286"/>
      <c r="D761" s="287"/>
      <c r="E761" s="197" t="s">
        <v>270</v>
      </c>
      <c r="F761" s="126"/>
      <c r="G761" s="127"/>
      <c r="H761" s="109" t="e">
        <f>VLOOKUP(I761,'공시사항점검표 목차(2023)'!$K$11:$L$73,2,FALSE)</f>
        <v>#N/A</v>
      </c>
      <c r="I761" s="112" t="s">
        <v>1164</v>
      </c>
    </row>
    <row r="762" spans="1:9" ht="27.75" customHeight="1">
      <c r="A762" s="192"/>
      <c r="B762" s="192"/>
      <c r="C762" s="192"/>
      <c r="D762" s="192"/>
      <c r="E762" s="211"/>
      <c r="F762" s="212"/>
      <c r="G762" s="212"/>
      <c r="H762" s="210"/>
      <c r="I762" s="187"/>
    </row>
    <row r="763" spans="1:9">
      <c r="A763" s="111" t="s">
        <v>1068</v>
      </c>
      <c r="B763" s="129"/>
      <c r="C763" s="130"/>
      <c r="E763" s="96"/>
      <c r="F763" s="125"/>
      <c r="G763" s="125"/>
      <c r="H763" s="190" t="e">
        <f>VLOOKUP(I763,'공시사항점검표 목차(2023)'!$K$11:$L$73,2,FALSE)</f>
        <v>#N/A</v>
      </c>
      <c r="I763" s="191" t="s">
        <v>1165</v>
      </c>
    </row>
    <row r="764" spans="1:9" ht="32.450000000000003" hidden="1" customHeight="1">
      <c r="A764" s="276" t="s">
        <v>360</v>
      </c>
      <c r="B764" s="277"/>
      <c r="C764" s="277"/>
      <c r="D764" s="278"/>
      <c r="E764" s="197" t="s">
        <v>157</v>
      </c>
      <c r="F764" s="95" t="s">
        <v>301</v>
      </c>
      <c r="G764" s="197" t="s">
        <v>0</v>
      </c>
      <c r="H764" s="188" t="e">
        <f>VLOOKUP(I764,'공시사항점검표 목차(2023)'!$K$11:$L$73,2,FALSE)</f>
        <v>#N/A</v>
      </c>
      <c r="I764" s="189" t="s">
        <v>1165</v>
      </c>
    </row>
    <row r="765" spans="1:9" ht="49.15" customHeight="1">
      <c r="A765" s="279" t="s">
        <v>135</v>
      </c>
      <c r="B765" s="280"/>
      <c r="C765" s="280"/>
      <c r="D765" s="281"/>
      <c r="E765" s="196" t="s">
        <v>134</v>
      </c>
      <c r="F765" s="117"/>
      <c r="G765" s="118"/>
      <c r="H765" s="109" t="e">
        <f>VLOOKUP(I765,'공시사항점검표 목차(2023)'!$K$11:$L$73,2,FALSE)</f>
        <v>#N/A</v>
      </c>
      <c r="I765" s="112" t="s">
        <v>1165</v>
      </c>
    </row>
    <row r="766" spans="1:9" ht="40.15" customHeight="1">
      <c r="A766" s="282" t="s">
        <v>137</v>
      </c>
      <c r="B766" s="283"/>
      <c r="C766" s="283"/>
      <c r="D766" s="284"/>
      <c r="E766" s="196" t="s">
        <v>136</v>
      </c>
      <c r="F766" s="117"/>
      <c r="G766" s="118"/>
      <c r="H766" s="109" t="e">
        <f>VLOOKUP(I766,'공시사항점검표 목차(2023)'!$K$11:$L$73,2,FALSE)</f>
        <v>#N/A</v>
      </c>
      <c r="I766" s="112" t="s">
        <v>1165</v>
      </c>
    </row>
    <row r="767" spans="1:9" ht="52.9" customHeight="1">
      <c r="A767" s="282" t="s">
        <v>139</v>
      </c>
      <c r="B767" s="283"/>
      <c r="C767" s="283"/>
      <c r="D767" s="284"/>
      <c r="E767" s="196" t="s">
        <v>138</v>
      </c>
      <c r="F767" s="117"/>
      <c r="G767" s="118"/>
      <c r="H767" s="109" t="e">
        <f>VLOOKUP(I767,'공시사항점검표 목차(2023)'!$K$11:$L$73,2,FALSE)</f>
        <v>#N/A</v>
      </c>
      <c r="I767" s="112" t="s">
        <v>1165</v>
      </c>
    </row>
    <row r="768" spans="1:9" ht="49.9" customHeight="1">
      <c r="A768" s="282" t="s">
        <v>141</v>
      </c>
      <c r="B768" s="283"/>
      <c r="C768" s="283"/>
      <c r="D768" s="284"/>
      <c r="E768" s="196" t="s">
        <v>140</v>
      </c>
      <c r="F768" s="117"/>
      <c r="G768" s="118"/>
      <c r="H768" s="109" t="e">
        <f>VLOOKUP(I768,'공시사항점검표 목차(2023)'!$K$11:$L$73,2,FALSE)</f>
        <v>#N/A</v>
      </c>
      <c r="I768" s="112" t="s">
        <v>1165</v>
      </c>
    </row>
    <row r="769" spans="1:9" ht="60" customHeight="1">
      <c r="A769" s="282" t="s">
        <v>142</v>
      </c>
      <c r="B769" s="283"/>
      <c r="C769" s="283"/>
      <c r="D769" s="284"/>
      <c r="E769" s="196" t="s">
        <v>1069</v>
      </c>
      <c r="F769" s="117"/>
      <c r="G769" s="118"/>
      <c r="H769" s="109" t="e">
        <f>VLOOKUP(I769,'공시사항점검표 목차(2023)'!$K$11:$L$73,2,FALSE)</f>
        <v>#N/A</v>
      </c>
      <c r="I769" s="112" t="s">
        <v>1165</v>
      </c>
    </row>
    <row r="770" spans="1:9" ht="58.15" customHeight="1">
      <c r="A770" s="285" t="s">
        <v>143</v>
      </c>
      <c r="B770" s="286"/>
      <c r="C770" s="286"/>
      <c r="D770" s="287"/>
      <c r="E770" s="197" t="s">
        <v>1070</v>
      </c>
      <c r="F770" s="126"/>
      <c r="G770" s="127"/>
      <c r="H770" s="109" t="e">
        <f>VLOOKUP(I770,'공시사항점검표 목차(2023)'!$K$11:$L$73,2,FALSE)</f>
        <v>#N/A</v>
      </c>
      <c r="I770" s="112" t="s">
        <v>1165</v>
      </c>
    </row>
    <row r="771" spans="1:9">
      <c r="A771" s="111" t="s">
        <v>1183</v>
      </c>
      <c r="B771" s="129"/>
      <c r="C771" s="130"/>
      <c r="E771" s="96"/>
      <c r="F771" s="125"/>
      <c r="G771" s="125"/>
      <c r="H771" s="190"/>
      <c r="I771" s="191"/>
    </row>
    <row r="772" spans="1:9" ht="22.9" customHeight="1">
      <c r="A772" s="269" t="s">
        <v>360</v>
      </c>
      <c r="B772" s="270"/>
      <c r="C772" s="270"/>
      <c r="D772" s="271"/>
      <c r="E772" s="114" t="s">
        <v>157</v>
      </c>
      <c r="F772" s="102" t="s">
        <v>301</v>
      </c>
      <c r="G772" s="114" t="s">
        <v>0</v>
      </c>
      <c r="H772" s="190"/>
      <c r="I772" s="191"/>
    </row>
    <row r="773" spans="1:9" ht="110.45" customHeight="1">
      <c r="A773" s="266" t="s">
        <v>1210</v>
      </c>
      <c r="B773" s="267"/>
      <c r="C773" s="267"/>
      <c r="D773" s="268"/>
      <c r="E773" s="235" t="s">
        <v>1184</v>
      </c>
      <c r="F773" s="236"/>
      <c r="G773" s="240"/>
      <c r="H773" s="109"/>
      <c r="I773" s="112"/>
    </row>
    <row r="774" spans="1:9" ht="17.45" customHeight="1">
      <c r="A774" s="182" t="s">
        <v>326</v>
      </c>
      <c r="B774" s="183"/>
      <c r="C774" s="182"/>
      <c r="D774" s="142"/>
      <c r="E774" s="184"/>
      <c r="F774" s="184"/>
      <c r="G774" s="184"/>
      <c r="H774" s="109" t="e">
        <f>VLOOKUP(I774,'공시사항점검표 목차(2023)'!$K$11:$L$73,2,FALSE)</f>
        <v>#N/A</v>
      </c>
      <c r="I774" s="81" t="s">
        <v>356</v>
      </c>
    </row>
    <row r="775" spans="1:9">
      <c r="A775" s="273" t="s">
        <v>308</v>
      </c>
      <c r="B775" s="273"/>
      <c r="C775" s="273"/>
      <c r="D775" s="275"/>
      <c r="E775" s="185"/>
      <c r="F775" s="186"/>
      <c r="G775" s="186"/>
      <c r="H775" s="109" t="e">
        <f>VLOOKUP(I775,'공시사항점검표 목차(2023)'!$K$11:$L$73,2,FALSE)</f>
        <v>#N/A</v>
      </c>
      <c r="I775" s="81" t="s">
        <v>358</v>
      </c>
    </row>
    <row r="776" spans="1:9" s="201" customFormat="1">
      <c r="A776" s="230" t="s">
        <v>1171</v>
      </c>
      <c r="B776" s="225"/>
      <c r="C776" s="226"/>
      <c r="D776" s="227"/>
      <c r="E776" s="228"/>
      <c r="F776" s="229"/>
      <c r="G776" s="229"/>
      <c r="H776" s="199" t="e">
        <f>VLOOKUP(I776,'공시사항점검표 목차(2023)'!$K$11:$L$73,2,FALSE)</f>
        <v>#N/A</v>
      </c>
      <c r="I776" s="200" t="s">
        <v>1172</v>
      </c>
    </row>
  </sheetData>
  <autoFilter ref="H20:I775" xr:uid="{00000000-0009-0000-0000-000001000000}"/>
  <mergeCells count="561">
    <mergeCell ref="A632:D632"/>
    <mergeCell ref="A633:D633"/>
    <mergeCell ref="C634:D634"/>
    <mergeCell ref="C635:D635"/>
    <mergeCell ref="C627:D627"/>
    <mergeCell ref="C628:D628"/>
    <mergeCell ref="C629:D629"/>
    <mergeCell ref="C630:D630"/>
    <mergeCell ref="A621:D621"/>
    <mergeCell ref="C622:D622"/>
    <mergeCell ref="C623:D623"/>
    <mergeCell ref="A625:D625"/>
    <mergeCell ref="A626:D626"/>
    <mergeCell ref="A664:D664"/>
    <mergeCell ref="C646:D646"/>
    <mergeCell ref="C649:D649"/>
    <mergeCell ref="A655:D655"/>
    <mergeCell ref="A656:D656"/>
    <mergeCell ref="C657:D657"/>
    <mergeCell ref="A640:D640"/>
    <mergeCell ref="A641:D641"/>
    <mergeCell ref="C638:D638"/>
    <mergeCell ref="A644:D644"/>
    <mergeCell ref="A645:D645"/>
    <mergeCell ref="A639:D639"/>
    <mergeCell ref="C658:D658"/>
    <mergeCell ref="A659:D659"/>
    <mergeCell ref="A660:D660"/>
    <mergeCell ref="A661:D661"/>
    <mergeCell ref="C618:D618"/>
    <mergeCell ref="C619:D619"/>
    <mergeCell ref="C620:D620"/>
    <mergeCell ref="C608:D608"/>
    <mergeCell ref="A612:D612"/>
    <mergeCell ref="A613:D613"/>
    <mergeCell ref="C614:D614"/>
    <mergeCell ref="C615:D615"/>
    <mergeCell ref="A590:D590"/>
    <mergeCell ref="C591:D591"/>
    <mergeCell ref="C595:D595"/>
    <mergeCell ref="C599:D599"/>
    <mergeCell ref="C600:D600"/>
    <mergeCell ref="C616:D616"/>
    <mergeCell ref="C617:D617"/>
    <mergeCell ref="C582:D582"/>
    <mergeCell ref="C583:D583"/>
    <mergeCell ref="C584:D584"/>
    <mergeCell ref="C585:D585"/>
    <mergeCell ref="C586:D586"/>
    <mergeCell ref="C570:D570"/>
    <mergeCell ref="C571:D571"/>
    <mergeCell ref="C576:D576"/>
    <mergeCell ref="C580:D580"/>
    <mergeCell ref="C581:D581"/>
    <mergeCell ref="A565:D565"/>
    <mergeCell ref="A566:D566"/>
    <mergeCell ref="C567:D567"/>
    <mergeCell ref="C568:D568"/>
    <mergeCell ref="C569:D569"/>
    <mergeCell ref="A559:D559"/>
    <mergeCell ref="C560:D560"/>
    <mergeCell ref="C561:D561"/>
    <mergeCell ref="A562:D562"/>
    <mergeCell ref="A563:D563"/>
    <mergeCell ref="C551:D551"/>
    <mergeCell ref="A552:D552"/>
    <mergeCell ref="C553:D553"/>
    <mergeCell ref="C557:D557"/>
    <mergeCell ref="C558:D558"/>
    <mergeCell ref="C546:D546"/>
    <mergeCell ref="C547:D547"/>
    <mergeCell ref="C548:D548"/>
    <mergeCell ref="C549:D549"/>
    <mergeCell ref="C550:D550"/>
    <mergeCell ref="A541:D541"/>
    <mergeCell ref="C542:D542"/>
    <mergeCell ref="C543:D543"/>
    <mergeCell ref="A544:D544"/>
    <mergeCell ref="A545:D545"/>
    <mergeCell ref="A530:D530"/>
    <mergeCell ref="C531:D531"/>
    <mergeCell ref="C535:D535"/>
    <mergeCell ref="C536:D536"/>
    <mergeCell ref="C537:D537"/>
    <mergeCell ref="C519:D519"/>
    <mergeCell ref="C523:D523"/>
    <mergeCell ref="C524:D524"/>
    <mergeCell ref="C525:D525"/>
    <mergeCell ref="C529:D529"/>
    <mergeCell ref="A514:D514"/>
    <mergeCell ref="A515:D515"/>
    <mergeCell ref="A516:D516"/>
    <mergeCell ref="A517:D517"/>
    <mergeCell ref="C518:D518"/>
    <mergeCell ref="C498:D498"/>
    <mergeCell ref="C499:D499"/>
    <mergeCell ref="C508:D508"/>
    <mergeCell ref="C509:D509"/>
    <mergeCell ref="A512:D512"/>
    <mergeCell ref="C493:D493"/>
    <mergeCell ref="C494:D494"/>
    <mergeCell ref="C495:D495"/>
    <mergeCell ref="C496:D496"/>
    <mergeCell ref="A497:D497"/>
    <mergeCell ref="A488:D488"/>
    <mergeCell ref="A489:D489"/>
    <mergeCell ref="A490:D490"/>
    <mergeCell ref="A491:D491"/>
    <mergeCell ref="A492:D492"/>
    <mergeCell ref="C481:D481"/>
    <mergeCell ref="C482:D482"/>
    <mergeCell ref="C483:D483"/>
    <mergeCell ref="A485:D485"/>
    <mergeCell ref="A486:D486"/>
    <mergeCell ref="A475:D475"/>
    <mergeCell ref="A476:D476"/>
    <mergeCell ref="A478:D478"/>
    <mergeCell ref="A479:D479"/>
    <mergeCell ref="C480:D480"/>
    <mergeCell ref="C470:D470"/>
    <mergeCell ref="C471:D471"/>
    <mergeCell ref="C472:D472"/>
    <mergeCell ref="C473:D473"/>
    <mergeCell ref="C474:D474"/>
    <mergeCell ref="A463:D463"/>
    <mergeCell ref="A464:D464"/>
    <mergeCell ref="A465:D465"/>
    <mergeCell ref="A468:D468"/>
    <mergeCell ref="A469:D469"/>
    <mergeCell ref="C457:D457"/>
    <mergeCell ref="C458:D458"/>
    <mergeCell ref="C459:D459"/>
    <mergeCell ref="A461:D461"/>
    <mergeCell ref="A462:D462"/>
    <mergeCell ref="C452:D452"/>
    <mergeCell ref="A453:D453"/>
    <mergeCell ref="C454:D454"/>
    <mergeCell ref="C455:D455"/>
    <mergeCell ref="A456:D456"/>
    <mergeCell ref="C447:D447"/>
    <mergeCell ref="C448:D448"/>
    <mergeCell ref="C449:D449"/>
    <mergeCell ref="C450:D450"/>
    <mergeCell ref="C451:D451"/>
    <mergeCell ref="A442:D442"/>
    <mergeCell ref="C443:D443"/>
    <mergeCell ref="C444:D444"/>
    <mergeCell ref="C445:D445"/>
    <mergeCell ref="C446:D446"/>
    <mergeCell ref="A436:D436"/>
    <mergeCell ref="A438:D438"/>
    <mergeCell ref="A439:D439"/>
    <mergeCell ref="A440:D440"/>
    <mergeCell ref="A441:D441"/>
    <mergeCell ref="C431:D431"/>
    <mergeCell ref="C432:D432"/>
    <mergeCell ref="C433:D433"/>
    <mergeCell ref="C434:D434"/>
    <mergeCell ref="C435:D435"/>
    <mergeCell ref="C426:D426"/>
    <mergeCell ref="C427:D427"/>
    <mergeCell ref="C428:D428"/>
    <mergeCell ref="C429:D429"/>
    <mergeCell ref="C430:D430"/>
    <mergeCell ref="C421:D421"/>
    <mergeCell ref="C422:D422"/>
    <mergeCell ref="C423:D423"/>
    <mergeCell ref="C424:D424"/>
    <mergeCell ref="A425:D425"/>
    <mergeCell ref="C416:D416"/>
    <mergeCell ref="A417:D417"/>
    <mergeCell ref="C418:D418"/>
    <mergeCell ref="C419:D419"/>
    <mergeCell ref="C420:D420"/>
    <mergeCell ref="C409:D409"/>
    <mergeCell ref="A410:D410"/>
    <mergeCell ref="C411:D411"/>
    <mergeCell ref="C412:D412"/>
    <mergeCell ref="C415:D415"/>
    <mergeCell ref="A404:D404"/>
    <mergeCell ref="C405:D405"/>
    <mergeCell ref="C406:D406"/>
    <mergeCell ref="C407:D407"/>
    <mergeCell ref="C408:D408"/>
    <mergeCell ref="C398:D398"/>
    <mergeCell ref="C399:D399"/>
    <mergeCell ref="A401:D401"/>
    <mergeCell ref="A402:D402"/>
    <mergeCell ref="C403:D403"/>
    <mergeCell ref="A393:D393"/>
    <mergeCell ref="A394:D394"/>
    <mergeCell ref="A395:D395"/>
    <mergeCell ref="C396:D396"/>
    <mergeCell ref="C397:D397"/>
    <mergeCell ref="C386:D386"/>
    <mergeCell ref="A389:D389"/>
    <mergeCell ref="C390:D390"/>
    <mergeCell ref="C391:D391"/>
    <mergeCell ref="C392:D392"/>
    <mergeCell ref="C378:D378"/>
    <mergeCell ref="C379:D379"/>
    <mergeCell ref="C380:D380"/>
    <mergeCell ref="A381:D381"/>
    <mergeCell ref="C382:D382"/>
    <mergeCell ref="A373:D373"/>
    <mergeCell ref="A374:D374"/>
    <mergeCell ref="C375:D375"/>
    <mergeCell ref="C376:D376"/>
    <mergeCell ref="C377:D377"/>
    <mergeCell ref="A365:D365"/>
    <mergeCell ref="A367:D367"/>
    <mergeCell ref="A368:D368"/>
    <mergeCell ref="C369:D369"/>
    <mergeCell ref="C370:D370"/>
    <mergeCell ref="A360:D360"/>
    <mergeCell ref="A361:D361"/>
    <mergeCell ref="A362:D362"/>
    <mergeCell ref="A363:D363"/>
    <mergeCell ref="A364:D364"/>
    <mergeCell ref="C355:D355"/>
    <mergeCell ref="C356:D356"/>
    <mergeCell ref="C357:D357"/>
    <mergeCell ref="C358:D358"/>
    <mergeCell ref="A359:D359"/>
    <mergeCell ref="A350:D350"/>
    <mergeCell ref="C351:D351"/>
    <mergeCell ref="C352:D352"/>
    <mergeCell ref="C353:D353"/>
    <mergeCell ref="C354:D354"/>
    <mergeCell ref="A343:D343"/>
    <mergeCell ref="A344:D344"/>
    <mergeCell ref="A346:D346"/>
    <mergeCell ref="A347:D347"/>
    <mergeCell ref="A349:D349"/>
    <mergeCell ref="C338:D338"/>
    <mergeCell ref="C339:D339"/>
    <mergeCell ref="C340:D340"/>
    <mergeCell ref="A341:D341"/>
    <mergeCell ref="A342:D342"/>
    <mergeCell ref="A333:D333"/>
    <mergeCell ref="A334:D334"/>
    <mergeCell ref="C335:D335"/>
    <mergeCell ref="C336:D336"/>
    <mergeCell ref="C337:D337"/>
    <mergeCell ref="A328:D328"/>
    <mergeCell ref="A329:D329"/>
    <mergeCell ref="C330:D330"/>
    <mergeCell ref="C331:D331"/>
    <mergeCell ref="A332:D332"/>
    <mergeCell ref="C316:D316"/>
    <mergeCell ref="C317:D317"/>
    <mergeCell ref="C318:D318"/>
    <mergeCell ref="C319:D319"/>
    <mergeCell ref="C320:D320"/>
    <mergeCell ref="A324:D324"/>
    <mergeCell ref="A325:D325"/>
    <mergeCell ref="C326:D326"/>
    <mergeCell ref="C311:D311"/>
    <mergeCell ref="C312:D312"/>
    <mergeCell ref="C313:D313"/>
    <mergeCell ref="C314:D314"/>
    <mergeCell ref="C315:D315"/>
    <mergeCell ref="A305:D305"/>
    <mergeCell ref="A306:D306"/>
    <mergeCell ref="A308:D308"/>
    <mergeCell ref="A309:D309"/>
    <mergeCell ref="C310:D310"/>
    <mergeCell ref="A298:D298"/>
    <mergeCell ref="A299:D299"/>
    <mergeCell ref="A300:D300"/>
    <mergeCell ref="A302:D302"/>
    <mergeCell ref="A303:D303"/>
    <mergeCell ref="A291:D291"/>
    <mergeCell ref="A292:D292"/>
    <mergeCell ref="C293:D293"/>
    <mergeCell ref="C294:D294"/>
    <mergeCell ref="A297:D297"/>
    <mergeCell ref="A284:D284"/>
    <mergeCell ref="C285:D285"/>
    <mergeCell ref="A286:D286"/>
    <mergeCell ref="C287:D287"/>
    <mergeCell ref="C288:D288"/>
    <mergeCell ref="C268:D268"/>
    <mergeCell ref="A271:D271"/>
    <mergeCell ref="A283:D283"/>
    <mergeCell ref="A7:G7"/>
    <mergeCell ref="A272:D272"/>
    <mergeCell ref="A273:D273"/>
    <mergeCell ref="A274:D274"/>
    <mergeCell ref="A275:D275"/>
    <mergeCell ref="A276:D276"/>
    <mergeCell ref="A277:D277"/>
    <mergeCell ref="A278:D278"/>
    <mergeCell ref="A279:D279"/>
    <mergeCell ref="A280:D280"/>
    <mergeCell ref="A281:D281"/>
    <mergeCell ref="A254:D254"/>
    <mergeCell ref="C255:D255"/>
    <mergeCell ref="A261:D261"/>
    <mergeCell ref="C262:D262"/>
    <mergeCell ref="C267:D267"/>
    <mergeCell ref="A248:D248"/>
    <mergeCell ref="C249:D249"/>
    <mergeCell ref="C250:D250"/>
    <mergeCell ref="C251:D251"/>
    <mergeCell ref="A253:D253"/>
    <mergeCell ref="C238:D238"/>
    <mergeCell ref="C243:D243"/>
    <mergeCell ref="C244:D244"/>
    <mergeCell ref="C245:D245"/>
    <mergeCell ref="C247:D247"/>
    <mergeCell ref="C228:D228"/>
    <mergeCell ref="C229:D229"/>
    <mergeCell ref="A230:D230"/>
    <mergeCell ref="C231:D231"/>
    <mergeCell ref="C235:D235"/>
    <mergeCell ref="C223:D223"/>
    <mergeCell ref="C224:D224"/>
    <mergeCell ref="A225:D225"/>
    <mergeCell ref="C226:D226"/>
    <mergeCell ref="C227:D227"/>
    <mergeCell ref="A218:D218"/>
    <mergeCell ref="A219:D219"/>
    <mergeCell ref="A220:D220"/>
    <mergeCell ref="A221:D221"/>
    <mergeCell ref="C222:D222"/>
    <mergeCell ref="C212:D212"/>
    <mergeCell ref="C213:D213"/>
    <mergeCell ref="A214:D214"/>
    <mergeCell ref="A215:D215"/>
    <mergeCell ref="A216:D216"/>
    <mergeCell ref="A207:D207"/>
    <mergeCell ref="C208:D208"/>
    <mergeCell ref="C209:D209"/>
    <mergeCell ref="C210:D210"/>
    <mergeCell ref="C211:D211"/>
    <mergeCell ref="A189:D189"/>
    <mergeCell ref="A202:D202"/>
    <mergeCell ref="A206:D206"/>
    <mergeCell ref="A190:D190"/>
    <mergeCell ref="A191:D191"/>
    <mergeCell ref="A192:D192"/>
    <mergeCell ref="A193:D193"/>
    <mergeCell ref="A197:D197"/>
    <mergeCell ref="C198:D198"/>
    <mergeCell ref="C199:D199"/>
    <mergeCell ref="C200:D200"/>
    <mergeCell ref="A203:D203"/>
    <mergeCell ref="A204:D204"/>
    <mergeCell ref="A182:D182"/>
    <mergeCell ref="C183:D183"/>
    <mergeCell ref="C184:D184"/>
    <mergeCell ref="A185:D185"/>
    <mergeCell ref="A186:D186"/>
    <mergeCell ref="A177:D177"/>
    <mergeCell ref="A178:D178"/>
    <mergeCell ref="C179:D179"/>
    <mergeCell ref="C180:D180"/>
    <mergeCell ref="C181:D181"/>
    <mergeCell ref="A172:D172"/>
    <mergeCell ref="A173:D173"/>
    <mergeCell ref="A174:D174"/>
    <mergeCell ref="C175:D175"/>
    <mergeCell ref="C176:D176"/>
    <mergeCell ref="A166:D166"/>
    <mergeCell ref="C167:D167"/>
    <mergeCell ref="C168:D168"/>
    <mergeCell ref="C169:D169"/>
    <mergeCell ref="A170:D170"/>
    <mergeCell ref="C161:D161"/>
    <mergeCell ref="C162:D162"/>
    <mergeCell ref="C163:D163"/>
    <mergeCell ref="C164:D164"/>
    <mergeCell ref="C165:D165"/>
    <mergeCell ref="A156:D156"/>
    <mergeCell ref="C157:D157"/>
    <mergeCell ref="C158:D158"/>
    <mergeCell ref="C159:D159"/>
    <mergeCell ref="C160:D160"/>
    <mergeCell ref="C150:D150"/>
    <mergeCell ref="C151:D151"/>
    <mergeCell ref="C152:D152"/>
    <mergeCell ref="C153:D153"/>
    <mergeCell ref="A155:D155"/>
    <mergeCell ref="C145:D145"/>
    <mergeCell ref="C146:D146"/>
    <mergeCell ref="A147:D147"/>
    <mergeCell ref="C148:D148"/>
    <mergeCell ref="C149:D149"/>
    <mergeCell ref="C140:D140"/>
    <mergeCell ref="C141:D141"/>
    <mergeCell ref="C142:D142"/>
    <mergeCell ref="A143:D143"/>
    <mergeCell ref="C144:D144"/>
    <mergeCell ref="C135:D135"/>
    <mergeCell ref="C136:D136"/>
    <mergeCell ref="C137:D137"/>
    <mergeCell ref="C138:D138"/>
    <mergeCell ref="A139:D139"/>
    <mergeCell ref="A123:D123"/>
    <mergeCell ref="C124:D124"/>
    <mergeCell ref="C125:D125"/>
    <mergeCell ref="C133:D133"/>
    <mergeCell ref="C134:D134"/>
    <mergeCell ref="A116:D116"/>
    <mergeCell ref="A117:D117"/>
    <mergeCell ref="A119:D119"/>
    <mergeCell ref="A120:D120"/>
    <mergeCell ref="A122:D122"/>
    <mergeCell ref="C111:D111"/>
    <mergeCell ref="C112:D112"/>
    <mergeCell ref="A113:D113"/>
    <mergeCell ref="C114:D114"/>
    <mergeCell ref="C115:D115"/>
    <mergeCell ref="A105:D105"/>
    <mergeCell ref="A106:D106"/>
    <mergeCell ref="A108:D108"/>
    <mergeCell ref="A109:D109"/>
    <mergeCell ref="C110:D110"/>
    <mergeCell ref="E93:E104"/>
    <mergeCell ref="A93:D93"/>
    <mergeCell ref="A94:D94"/>
    <mergeCell ref="A95:D95"/>
    <mergeCell ref="A96:D96"/>
    <mergeCell ref="A97:D97"/>
    <mergeCell ref="A98:D98"/>
    <mergeCell ref="A99:D99"/>
    <mergeCell ref="A100:D100"/>
    <mergeCell ref="A101:D101"/>
    <mergeCell ref="A102:D102"/>
    <mergeCell ref="A103:D103"/>
    <mergeCell ref="A104:D104"/>
    <mergeCell ref="A23:D23"/>
    <mergeCell ref="C36:D36"/>
    <mergeCell ref="A52:D52"/>
    <mergeCell ref="A33:D33"/>
    <mergeCell ref="C78:D78"/>
    <mergeCell ref="C79:D79"/>
    <mergeCell ref="A80:D80"/>
    <mergeCell ref="A66:D66"/>
    <mergeCell ref="A81:D81"/>
    <mergeCell ref="A73:D73"/>
    <mergeCell ref="A74:D74"/>
    <mergeCell ref="C75:D75"/>
    <mergeCell ref="C76:D76"/>
    <mergeCell ref="C77:D77"/>
    <mergeCell ref="C68:D68"/>
    <mergeCell ref="C69:D69"/>
    <mergeCell ref="C70:D70"/>
    <mergeCell ref="C71:D71"/>
    <mergeCell ref="E24:E31"/>
    <mergeCell ref="A665:D665"/>
    <mergeCell ref="C666:D666"/>
    <mergeCell ref="C667:D667"/>
    <mergeCell ref="C670:D670"/>
    <mergeCell ref="C671:D671"/>
    <mergeCell ref="C677:D677"/>
    <mergeCell ref="C678:D678"/>
    <mergeCell ref="A679:D679"/>
    <mergeCell ref="A55:D55"/>
    <mergeCell ref="A59:D59"/>
    <mergeCell ref="C62:D62"/>
    <mergeCell ref="C63:D63"/>
    <mergeCell ref="A64:D64"/>
    <mergeCell ref="C87:D87"/>
    <mergeCell ref="C88:D88"/>
    <mergeCell ref="A89:D89"/>
    <mergeCell ref="A90:D90"/>
    <mergeCell ref="A92:D92"/>
    <mergeCell ref="A82:D82"/>
    <mergeCell ref="C83:D83"/>
    <mergeCell ref="C84:D84"/>
    <mergeCell ref="C85:D85"/>
    <mergeCell ref="C86:D86"/>
    <mergeCell ref="C680:D680"/>
    <mergeCell ref="C681:D681"/>
    <mergeCell ref="C682:D682"/>
    <mergeCell ref="C683:D683"/>
    <mergeCell ref="C684:D684"/>
    <mergeCell ref="C685:D685"/>
    <mergeCell ref="A686:D686"/>
    <mergeCell ref="C687:D687"/>
    <mergeCell ref="C688:D688"/>
    <mergeCell ref="A689:D689"/>
    <mergeCell ref="C690:D690"/>
    <mergeCell ref="C691:D691"/>
    <mergeCell ref="C692:D692"/>
    <mergeCell ref="A693:D693"/>
    <mergeCell ref="C694:D694"/>
    <mergeCell ref="C695:D695"/>
    <mergeCell ref="C696:D696"/>
    <mergeCell ref="A697:D697"/>
    <mergeCell ref="A698:D698"/>
    <mergeCell ref="C699:D699"/>
    <mergeCell ref="C700:D700"/>
    <mergeCell ref="A702:D702"/>
    <mergeCell ref="C703:D703"/>
    <mergeCell ref="C704:D704"/>
    <mergeCell ref="C705:D705"/>
    <mergeCell ref="C706:D706"/>
    <mergeCell ref="C707:D707"/>
    <mergeCell ref="C708:D708"/>
    <mergeCell ref="A710:D710"/>
    <mergeCell ref="A711:D711"/>
    <mergeCell ref="C712:D712"/>
    <mergeCell ref="C713:D713"/>
    <mergeCell ref="C714:D714"/>
    <mergeCell ref="C715:D715"/>
    <mergeCell ref="A716:D716"/>
    <mergeCell ref="C717:D717"/>
    <mergeCell ref="C718:D718"/>
    <mergeCell ref="C719:D719"/>
    <mergeCell ref="A720:D720"/>
    <mergeCell ref="C721:D721"/>
    <mergeCell ref="C722:D722"/>
    <mergeCell ref="A723:D723"/>
    <mergeCell ref="C724:D724"/>
    <mergeCell ref="C725:D725"/>
    <mergeCell ref="C726:D726"/>
    <mergeCell ref="C727:D727"/>
    <mergeCell ref="C728:D728"/>
    <mergeCell ref="C729:D729"/>
    <mergeCell ref="C730:D730"/>
    <mergeCell ref="C731:D731"/>
    <mergeCell ref="A733:D733"/>
    <mergeCell ref="A734:D734"/>
    <mergeCell ref="C735:D735"/>
    <mergeCell ref="C739:D739"/>
    <mergeCell ref="C743:D743"/>
    <mergeCell ref="C744:D744"/>
    <mergeCell ref="A747:D747"/>
    <mergeCell ref="A748:D748"/>
    <mergeCell ref="C749:D749"/>
    <mergeCell ref="C750:D750"/>
    <mergeCell ref="C751:D751"/>
    <mergeCell ref="C752:D752"/>
    <mergeCell ref="A746:D746"/>
    <mergeCell ref="A773:D773"/>
    <mergeCell ref="A772:D772"/>
    <mergeCell ref="A11:D11"/>
    <mergeCell ref="A13:D13"/>
    <mergeCell ref="H10:I18"/>
    <mergeCell ref="A775:D775"/>
    <mergeCell ref="A764:D764"/>
    <mergeCell ref="A765:D765"/>
    <mergeCell ref="A766:D766"/>
    <mergeCell ref="A767:D767"/>
    <mergeCell ref="A768:D768"/>
    <mergeCell ref="A769:D769"/>
    <mergeCell ref="A770:D770"/>
    <mergeCell ref="A34:D34"/>
    <mergeCell ref="A753:D753"/>
    <mergeCell ref="C754:D754"/>
    <mergeCell ref="C755:D755"/>
    <mergeCell ref="C756:D756"/>
    <mergeCell ref="C757:D757"/>
    <mergeCell ref="C758:D758"/>
    <mergeCell ref="A759:D759"/>
    <mergeCell ref="A760:D760"/>
    <mergeCell ref="A761:D761"/>
    <mergeCell ref="A742:D742"/>
  </mergeCells>
  <phoneticPr fontId="10" type="noConversion"/>
  <dataValidations disablePrompts="1" count="1">
    <dataValidation type="list" allowBlank="1" showInputMessage="1" showErrorMessage="1" sqref="G71 JC71 SY71 ACU71 AMQ71 AWM71 BGI71 BQE71 CAA71 CJW71 CTS71 DDO71 DNK71 DXG71 EHC71 EQY71 FAU71 FKQ71 FUM71 GEI71 GOE71 GYA71 HHW71 HRS71 IBO71 ILK71 IVG71 JFC71 JOY71 JYU71 KIQ71 KSM71 LCI71 LME71 LWA71 MFW71 MPS71 MZO71 NJK71 NTG71 ODC71 OMY71 OWU71 PGQ71 PQM71 QAI71 QKE71 QUA71 RDW71 RNS71 RXO71 SHK71 SRG71 TBC71 TKY71 TUU71 UEQ71 UOM71 UYI71 VIE71 VSA71 WBW71 WLS71 WVO71" xr:uid="{592AB2CD-7BD3-46D4-AE87-B9BF4D5DC26D}">
      <formula1>"Y,NA"</formula1>
    </dataValidation>
  </dataValidations>
  <printOptions horizontalCentered="1"/>
  <pageMargins left="0.70866141732283472" right="0.70866141732283472" top="0.74803149606299213" bottom="0.74803149606299213" header="0.31496062992125984" footer="0.31496062992125984"/>
  <pageSetup paperSize="9" scale="80" fitToHeight="0" orientation="portrait" r:id="rId1"/>
  <headerFooter>
    <oddFooter>&amp;R&amp;"-,굵게"&amp;12조서번호:&amp;A&amp; -&amp;P</oddFooter>
  </headerFooter>
  <rowBreaks count="12" manualBreakCount="12">
    <brk id="44" max="16383" man="1"/>
    <brk id="72" max="9" man="1"/>
    <brk id="98" max="9" man="1"/>
    <brk id="121" max="9" man="1"/>
    <brk id="161" max="9" man="1"/>
    <brk id="196" max="9" man="1"/>
    <brk id="226" max="9" man="1"/>
    <brk id="250" max="9" man="1"/>
    <brk id="282" max="9" man="1"/>
    <brk id="642" max="16383" man="1"/>
    <brk id="744" max="16383" man="1"/>
    <brk id="762"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73"/>
  <sheetViews>
    <sheetView showGridLines="0" view="pageBreakPreview" topLeftCell="A55" zoomScaleNormal="100" zoomScaleSheetLayoutView="100" workbookViewId="0">
      <selection activeCell="F66" sqref="F66"/>
    </sheetView>
  </sheetViews>
  <sheetFormatPr defaultColWidth="9" defaultRowHeight="13.5"/>
  <cols>
    <col min="1" max="1" width="7.5" style="12" customWidth="1"/>
    <col min="2" max="2" width="5.625" style="12" customWidth="1"/>
    <col min="3" max="3" width="7.375" style="12" customWidth="1"/>
    <col min="4" max="4" width="9" style="12"/>
    <col min="5" max="5" width="11" style="12" customWidth="1"/>
    <col min="6" max="6" width="32" style="12" customWidth="1"/>
    <col min="7" max="7" width="9.125" style="12" customWidth="1"/>
    <col min="8" max="8" width="8.375" style="12" customWidth="1"/>
    <col min="9" max="9" width="7.875" style="12" customWidth="1"/>
    <col min="10" max="10" width="12.75" style="12" hidden="1" customWidth="1"/>
    <col min="11" max="12" width="9" style="12" hidden="1" customWidth="1"/>
    <col min="13" max="256" width="9" style="12"/>
    <col min="257" max="257" width="7.5" style="12" customWidth="1"/>
    <col min="258" max="258" width="5.625" style="12" customWidth="1"/>
    <col min="259" max="259" width="7.375" style="12" customWidth="1"/>
    <col min="260" max="260" width="9" style="12"/>
    <col min="261" max="261" width="11" style="12" customWidth="1"/>
    <col min="262" max="262" width="32" style="12" customWidth="1"/>
    <col min="263" max="263" width="9.125" style="12" customWidth="1"/>
    <col min="264" max="264" width="8.375" style="12" customWidth="1"/>
    <col min="265" max="265" width="7.875" style="12" customWidth="1"/>
    <col min="266" max="268" width="0" style="12" hidden="1" customWidth="1"/>
    <col min="269" max="512" width="9" style="12"/>
    <col min="513" max="513" width="7.5" style="12" customWidth="1"/>
    <col min="514" max="514" width="5.625" style="12" customWidth="1"/>
    <col min="515" max="515" width="7.375" style="12" customWidth="1"/>
    <col min="516" max="516" width="9" style="12"/>
    <col min="517" max="517" width="11" style="12" customWidth="1"/>
    <col min="518" max="518" width="32" style="12" customWidth="1"/>
    <col min="519" max="519" width="9.125" style="12" customWidth="1"/>
    <col min="520" max="520" width="8.375" style="12" customWidth="1"/>
    <col min="521" max="521" width="7.875" style="12" customWidth="1"/>
    <col min="522" max="524" width="0" style="12" hidden="1" customWidth="1"/>
    <col min="525" max="768" width="9" style="12"/>
    <col min="769" max="769" width="7.5" style="12" customWidth="1"/>
    <col min="770" max="770" width="5.625" style="12" customWidth="1"/>
    <col min="771" max="771" width="7.375" style="12" customWidth="1"/>
    <col min="772" max="772" width="9" style="12"/>
    <col min="773" max="773" width="11" style="12" customWidth="1"/>
    <col min="774" max="774" width="32" style="12" customWidth="1"/>
    <col min="775" max="775" width="9.125" style="12" customWidth="1"/>
    <col min="776" max="776" width="8.375" style="12" customWidth="1"/>
    <col min="777" max="777" width="7.875" style="12" customWidth="1"/>
    <col min="778" max="780" width="0" style="12" hidden="1" customWidth="1"/>
    <col min="781" max="1024" width="9" style="12"/>
    <col min="1025" max="1025" width="7.5" style="12" customWidth="1"/>
    <col min="1026" max="1026" width="5.625" style="12" customWidth="1"/>
    <col min="1027" max="1027" width="7.375" style="12" customWidth="1"/>
    <col min="1028" max="1028" width="9" style="12"/>
    <col min="1029" max="1029" width="11" style="12" customWidth="1"/>
    <col min="1030" max="1030" width="32" style="12" customWidth="1"/>
    <col min="1031" max="1031" width="9.125" style="12" customWidth="1"/>
    <col min="1032" max="1032" width="8.375" style="12" customWidth="1"/>
    <col min="1033" max="1033" width="7.875" style="12" customWidth="1"/>
    <col min="1034" max="1036" width="0" style="12" hidden="1" customWidth="1"/>
    <col min="1037" max="1280" width="9" style="12"/>
    <col min="1281" max="1281" width="7.5" style="12" customWidth="1"/>
    <col min="1282" max="1282" width="5.625" style="12" customWidth="1"/>
    <col min="1283" max="1283" width="7.375" style="12" customWidth="1"/>
    <col min="1284" max="1284" width="9" style="12"/>
    <col min="1285" max="1285" width="11" style="12" customWidth="1"/>
    <col min="1286" max="1286" width="32" style="12" customWidth="1"/>
    <col min="1287" max="1287" width="9.125" style="12" customWidth="1"/>
    <col min="1288" max="1288" width="8.375" style="12" customWidth="1"/>
    <col min="1289" max="1289" width="7.875" style="12" customWidth="1"/>
    <col min="1290" max="1292" width="0" style="12" hidden="1" customWidth="1"/>
    <col min="1293" max="1536" width="9" style="12"/>
    <col min="1537" max="1537" width="7.5" style="12" customWidth="1"/>
    <col min="1538" max="1538" width="5.625" style="12" customWidth="1"/>
    <col min="1539" max="1539" width="7.375" style="12" customWidth="1"/>
    <col min="1540" max="1540" width="9" style="12"/>
    <col min="1541" max="1541" width="11" style="12" customWidth="1"/>
    <col min="1542" max="1542" width="32" style="12" customWidth="1"/>
    <col min="1543" max="1543" width="9.125" style="12" customWidth="1"/>
    <col min="1544" max="1544" width="8.375" style="12" customWidth="1"/>
    <col min="1545" max="1545" width="7.875" style="12" customWidth="1"/>
    <col min="1546" max="1548" width="0" style="12" hidden="1" customWidth="1"/>
    <col min="1549" max="1792" width="9" style="12"/>
    <col min="1793" max="1793" width="7.5" style="12" customWidth="1"/>
    <col min="1794" max="1794" width="5.625" style="12" customWidth="1"/>
    <col min="1795" max="1795" width="7.375" style="12" customWidth="1"/>
    <col min="1796" max="1796" width="9" style="12"/>
    <col min="1797" max="1797" width="11" style="12" customWidth="1"/>
    <col min="1798" max="1798" width="32" style="12" customWidth="1"/>
    <col min="1799" max="1799" width="9.125" style="12" customWidth="1"/>
    <col min="1800" max="1800" width="8.375" style="12" customWidth="1"/>
    <col min="1801" max="1801" width="7.875" style="12" customWidth="1"/>
    <col min="1802" max="1804" width="0" style="12" hidden="1" customWidth="1"/>
    <col min="1805" max="2048" width="9" style="12"/>
    <col min="2049" max="2049" width="7.5" style="12" customWidth="1"/>
    <col min="2050" max="2050" width="5.625" style="12" customWidth="1"/>
    <col min="2051" max="2051" width="7.375" style="12" customWidth="1"/>
    <col min="2052" max="2052" width="9" style="12"/>
    <col min="2053" max="2053" width="11" style="12" customWidth="1"/>
    <col min="2054" max="2054" width="32" style="12" customWidth="1"/>
    <col min="2055" max="2055" width="9.125" style="12" customWidth="1"/>
    <col min="2056" max="2056" width="8.375" style="12" customWidth="1"/>
    <col min="2057" max="2057" width="7.875" style="12" customWidth="1"/>
    <col min="2058" max="2060" width="0" style="12" hidden="1" customWidth="1"/>
    <col min="2061" max="2304" width="9" style="12"/>
    <col min="2305" max="2305" width="7.5" style="12" customWidth="1"/>
    <col min="2306" max="2306" width="5.625" style="12" customWidth="1"/>
    <col min="2307" max="2307" width="7.375" style="12" customWidth="1"/>
    <col min="2308" max="2308" width="9" style="12"/>
    <col min="2309" max="2309" width="11" style="12" customWidth="1"/>
    <col min="2310" max="2310" width="32" style="12" customWidth="1"/>
    <col min="2311" max="2311" width="9.125" style="12" customWidth="1"/>
    <col min="2312" max="2312" width="8.375" style="12" customWidth="1"/>
    <col min="2313" max="2313" width="7.875" style="12" customWidth="1"/>
    <col min="2314" max="2316" width="0" style="12" hidden="1" customWidth="1"/>
    <col min="2317" max="2560" width="9" style="12"/>
    <col min="2561" max="2561" width="7.5" style="12" customWidth="1"/>
    <col min="2562" max="2562" width="5.625" style="12" customWidth="1"/>
    <col min="2563" max="2563" width="7.375" style="12" customWidth="1"/>
    <col min="2564" max="2564" width="9" style="12"/>
    <col min="2565" max="2565" width="11" style="12" customWidth="1"/>
    <col min="2566" max="2566" width="32" style="12" customWidth="1"/>
    <col min="2567" max="2567" width="9.125" style="12" customWidth="1"/>
    <col min="2568" max="2568" width="8.375" style="12" customWidth="1"/>
    <col min="2569" max="2569" width="7.875" style="12" customWidth="1"/>
    <col min="2570" max="2572" width="0" style="12" hidden="1" customWidth="1"/>
    <col min="2573" max="2816" width="9" style="12"/>
    <col min="2817" max="2817" width="7.5" style="12" customWidth="1"/>
    <col min="2818" max="2818" width="5.625" style="12" customWidth="1"/>
    <col min="2819" max="2819" width="7.375" style="12" customWidth="1"/>
    <col min="2820" max="2820" width="9" style="12"/>
    <col min="2821" max="2821" width="11" style="12" customWidth="1"/>
    <col min="2822" max="2822" width="32" style="12" customWidth="1"/>
    <col min="2823" max="2823" width="9.125" style="12" customWidth="1"/>
    <col min="2824" max="2824" width="8.375" style="12" customWidth="1"/>
    <col min="2825" max="2825" width="7.875" style="12" customWidth="1"/>
    <col min="2826" max="2828" width="0" style="12" hidden="1" customWidth="1"/>
    <col min="2829" max="3072" width="9" style="12"/>
    <col min="3073" max="3073" width="7.5" style="12" customWidth="1"/>
    <col min="3074" max="3074" width="5.625" style="12" customWidth="1"/>
    <col min="3075" max="3075" width="7.375" style="12" customWidth="1"/>
    <col min="3076" max="3076" width="9" style="12"/>
    <col min="3077" max="3077" width="11" style="12" customWidth="1"/>
    <col min="3078" max="3078" width="32" style="12" customWidth="1"/>
    <col min="3079" max="3079" width="9.125" style="12" customWidth="1"/>
    <col min="3080" max="3080" width="8.375" style="12" customWidth="1"/>
    <col min="3081" max="3081" width="7.875" style="12" customWidth="1"/>
    <col min="3082" max="3084" width="0" style="12" hidden="1" customWidth="1"/>
    <col min="3085" max="3328" width="9" style="12"/>
    <col min="3329" max="3329" width="7.5" style="12" customWidth="1"/>
    <col min="3330" max="3330" width="5.625" style="12" customWidth="1"/>
    <col min="3331" max="3331" width="7.375" style="12" customWidth="1"/>
    <col min="3332" max="3332" width="9" style="12"/>
    <col min="3333" max="3333" width="11" style="12" customWidth="1"/>
    <col min="3334" max="3334" width="32" style="12" customWidth="1"/>
    <col min="3335" max="3335" width="9.125" style="12" customWidth="1"/>
    <col min="3336" max="3336" width="8.375" style="12" customWidth="1"/>
    <col min="3337" max="3337" width="7.875" style="12" customWidth="1"/>
    <col min="3338" max="3340" width="0" style="12" hidden="1" customWidth="1"/>
    <col min="3341" max="3584" width="9" style="12"/>
    <col min="3585" max="3585" width="7.5" style="12" customWidth="1"/>
    <col min="3586" max="3586" width="5.625" style="12" customWidth="1"/>
    <col min="3587" max="3587" width="7.375" style="12" customWidth="1"/>
    <col min="3588" max="3588" width="9" style="12"/>
    <col min="3589" max="3589" width="11" style="12" customWidth="1"/>
    <col min="3590" max="3590" width="32" style="12" customWidth="1"/>
    <col min="3591" max="3591" width="9.125" style="12" customWidth="1"/>
    <col min="3592" max="3592" width="8.375" style="12" customWidth="1"/>
    <col min="3593" max="3593" width="7.875" style="12" customWidth="1"/>
    <col min="3594" max="3596" width="0" style="12" hidden="1" customWidth="1"/>
    <col min="3597" max="3840" width="9" style="12"/>
    <col min="3841" max="3841" width="7.5" style="12" customWidth="1"/>
    <col min="3842" max="3842" width="5.625" style="12" customWidth="1"/>
    <col min="3843" max="3843" width="7.375" style="12" customWidth="1"/>
    <col min="3844" max="3844" width="9" style="12"/>
    <col min="3845" max="3845" width="11" style="12" customWidth="1"/>
    <col min="3846" max="3846" width="32" style="12" customWidth="1"/>
    <col min="3847" max="3847" width="9.125" style="12" customWidth="1"/>
    <col min="3848" max="3848" width="8.375" style="12" customWidth="1"/>
    <col min="3849" max="3849" width="7.875" style="12" customWidth="1"/>
    <col min="3850" max="3852" width="0" style="12" hidden="1" customWidth="1"/>
    <col min="3853" max="4096" width="9" style="12"/>
    <col min="4097" max="4097" width="7.5" style="12" customWidth="1"/>
    <col min="4098" max="4098" width="5.625" style="12" customWidth="1"/>
    <col min="4099" max="4099" width="7.375" style="12" customWidth="1"/>
    <col min="4100" max="4100" width="9" style="12"/>
    <col min="4101" max="4101" width="11" style="12" customWidth="1"/>
    <col min="4102" max="4102" width="32" style="12" customWidth="1"/>
    <col min="4103" max="4103" width="9.125" style="12" customWidth="1"/>
    <col min="4104" max="4104" width="8.375" style="12" customWidth="1"/>
    <col min="4105" max="4105" width="7.875" style="12" customWidth="1"/>
    <col min="4106" max="4108" width="0" style="12" hidden="1" customWidth="1"/>
    <col min="4109" max="4352" width="9" style="12"/>
    <col min="4353" max="4353" width="7.5" style="12" customWidth="1"/>
    <col min="4354" max="4354" width="5.625" style="12" customWidth="1"/>
    <col min="4355" max="4355" width="7.375" style="12" customWidth="1"/>
    <col min="4356" max="4356" width="9" style="12"/>
    <col min="4357" max="4357" width="11" style="12" customWidth="1"/>
    <col min="4358" max="4358" width="32" style="12" customWidth="1"/>
    <col min="4359" max="4359" width="9.125" style="12" customWidth="1"/>
    <col min="4360" max="4360" width="8.375" style="12" customWidth="1"/>
    <col min="4361" max="4361" width="7.875" style="12" customWidth="1"/>
    <col min="4362" max="4364" width="0" style="12" hidden="1" customWidth="1"/>
    <col min="4365" max="4608" width="9" style="12"/>
    <col min="4609" max="4609" width="7.5" style="12" customWidth="1"/>
    <col min="4610" max="4610" width="5.625" style="12" customWidth="1"/>
    <col min="4611" max="4611" width="7.375" style="12" customWidth="1"/>
    <col min="4612" max="4612" width="9" style="12"/>
    <col min="4613" max="4613" width="11" style="12" customWidth="1"/>
    <col min="4614" max="4614" width="32" style="12" customWidth="1"/>
    <col min="4615" max="4615" width="9.125" style="12" customWidth="1"/>
    <col min="4616" max="4616" width="8.375" style="12" customWidth="1"/>
    <col min="4617" max="4617" width="7.875" style="12" customWidth="1"/>
    <col min="4618" max="4620" width="0" style="12" hidden="1" customWidth="1"/>
    <col min="4621" max="4864" width="9" style="12"/>
    <col min="4865" max="4865" width="7.5" style="12" customWidth="1"/>
    <col min="4866" max="4866" width="5.625" style="12" customWidth="1"/>
    <col min="4867" max="4867" width="7.375" style="12" customWidth="1"/>
    <col min="4868" max="4868" width="9" style="12"/>
    <col min="4869" max="4869" width="11" style="12" customWidth="1"/>
    <col min="4870" max="4870" width="32" style="12" customWidth="1"/>
    <col min="4871" max="4871" width="9.125" style="12" customWidth="1"/>
    <col min="4872" max="4872" width="8.375" style="12" customWidth="1"/>
    <col min="4873" max="4873" width="7.875" style="12" customWidth="1"/>
    <col min="4874" max="4876" width="0" style="12" hidden="1" customWidth="1"/>
    <col min="4877" max="5120" width="9" style="12"/>
    <col min="5121" max="5121" width="7.5" style="12" customWidth="1"/>
    <col min="5122" max="5122" width="5.625" style="12" customWidth="1"/>
    <col min="5123" max="5123" width="7.375" style="12" customWidth="1"/>
    <col min="5124" max="5124" width="9" style="12"/>
    <col min="5125" max="5125" width="11" style="12" customWidth="1"/>
    <col min="5126" max="5126" width="32" style="12" customWidth="1"/>
    <col min="5127" max="5127" width="9.125" style="12" customWidth="1"/>
    <col min="5128" max="5128" width="8.375" style="12" customWidth="1"/>
    <col min="5129" max="5129" width="7.875" style="12" customWidth="1"/>
    <col min="5130" max="5132" width="0" style="12" hidden="1" customWidth="1"/>
    <col min="5133" max="5376" width="9" style="12"/>
    <col min="5377" max="5377" width="7.5" style="12" customWidth="1"/>
    <col min="5378" max="5378" width="5.625" style="12" customWidth="1"/>
    <col min="5379" max="5379" width="7.375" style="12" customWidth="1"/>
    <col min="5380" max="5380" width="9" style="12"/>
    <col min="5381" max="5381" width="11" style="12" customWidth="1"/>
    <col min="5382" max="5382" width="32" style="12" customWidth="1"/>
    <col min="5383" max="5383" width="9.125" style="12" customWidth="1"/>
    <col min="5384" max="5384" width="8.375" style="12" customWidth="1"/>
    <col min="5385" max="5385" width="7.875" style="12" customWidth="1"/>
    <col min="5386" max="5388" width="0" style="12" hidden="1" customWidth="1"/>
    <col min="5389" max="5632" width="9" style="12"/>
    <col min="5633" max="5633" width="7.5" style="12" customWidth="1"/>
    <col min="5634" max="5634" width="5.625" style="12" customWidth="1"/>
    <col min="5635" max="5635" width="7.375" style="12" customWidth="1"/>
    <col min="5636" max="5636" width="9" style="12"/>
    <col min="5637" max="5637" width="11" style="12" customWidth="1"/>
    <col min="5638" max="5638" width="32" style="12" customWidth="1"/>
    <col min="5639" max="5639" width="9.125" style="12" customWidth="1"/>
    <col min="5640" max="5640" width="8.375" style="12" customWidth="1"/>
    <col min="5641" max="5641" width="7.875" style="12" customWidth="1"/>
    <col min="5642" max="5644" width="0" style="12" hidden="1" customWidth="1"/>
    <col min="5645" max="5888" width="9" style="12"/>
    <col min="5889" max="5889" width="7.5" style="12" customWidth="1"/>
    <col min="5890" max="5890" width="5.625" style="12" customWidth="1"/>
    <col min="5891" max="5891" width="7.375" style="12" customWidth="1"/>
    <col min="5892" max="5892" width="9" style="12"/>
    <col min="5893" max="5893" width="11" style="12" customWidth="1"/>
    <col min="5894" max="5894" width="32" style="12" customWidth="1"/>
    <col min="5895" max="5895" width="9.125" style="12" customWidth="1"/>
    <col min="5896" max="5896" width="8.375" style="12" customWidth="1"/>
    <col min="5897" max="5897" width="7.875" style="12" customWidth="1"/>
    <col min="5898" max="5900" width="0" style="12" hidden="1" customWidth="1"/>
    <col min="5901" max="6144" width="9" style="12"/>
    <col min="6145" max="6145" width="7.5" style="12" customWidth="1"/>
    <col min="6146" max="6146" width="5.625" style="12" customWidth="1"/>
    <col min="6147" max="6147" width="7.375" style="12" customWidth="1"/>
    <col min="6148" max="6148" width="9" style="12"/>
    <col min="6149" max="6149" width="11" style="12" customWidth="1"/>
    <col min="6150" max="6150" width="32" style="12" customWidth="1"/>
    <col min="6151" max="6151" width="9.125" style="12" customWidth="1"/>
    <col min="6152" max="6152" width="8.375" style="12" customWidth="1"/>
    <col min="6153" max="6153" width="7.875" style="12" customWidth="1"/>
    <col min="6154" max="6156" width="0" style="12" hidden="1" customWidth="1"/>
    <col min="6157" max="6400" width="9" style="12"/>
    <col min="6401" max="6401" width="7.5" style="12" customWidth="1"/>
    <col min="6402" max="6402" width="5.625" style="12" customWidth="1"/>
    <col min="6403" max="6403" width="7.375" style="12" customWidth="1"/>
    <col min="6404" max="6404" width="9" style="12"/>
    <col min="6405" max="6405" width="11" style="12" customWidth="1"/>
    <col min="6406" max="6406" width="32" style="12" customWidth="1"/>
    <col min="6407" max="6407" width="9.125" style="12" customWidth="1"/>
    <col min="6408" max="6408" width="8.375" style="12" customWidth="1"/>
    <col min="6409" max="6409" width="7.875" style="12" customWidth="1"/>
    <col min="6410" max="6412" width="0" style="12" hidden="1" customWidth="1"/>
    <col min="6413" max="6656" width="9" style="12"/>
    <col min="6657" max="6657" width="7.5" style="12" customWidth="1"/>
    <col min="6658" max="6658" width="5.625" style="12" customWidth="1"/>
    <col min="6659" max="6659" width="7.375" style="12" customWidth="1"/>
    <col min="6660" max="6660" width="9" style="12"/>
    <col min="6661" max="6661" width="11" style="12" customWidth="1"/>
    <col min="6662" max="6662" width="32" style="12" customWidth="1"/>
    <col min="6663" max="6663" width="9.125" style="12" customWidth="1"/>
    <col min="6664" max="6664" width="8.375" style="12" customWidth="1"/>
    <col min="6665" max="6665" width="7.875" style="12" customWidth="1"/>
    <col min="6666" max="6668" width="0" style="12" hidden="1" customWidth="1"/>
    <col min="6669" max="6912" width="9" style="12"/>
    <col min="6913" max="6913" width="7.5" style="12" customWidth="1"/>
    <col min="6914" max="6914" width="5.625" style="12" customWidth="1"/>
    <col min="6915" max="6915" width="7.375" style="12" customWidth="1"/>
    <col min="6916" max="6916" width="9" style="12"/>
    <col min="6917" max="6917" width="11" style="12" customWidth="1"/>
    <col min="6918" max="6918" width="32" style="12" customWidth="1"/>
    <col min="6919" max="6919" width="9.125" style="12" customWidth="1"/>
    <col min="6920" max="6920" width="8.375" style="12" customWidth="1"/>
    <col min="6921" max="6921" width="7.875" style="12" customWidth="1"/>
    <col min="6922" max="6924" width="0" style="12" hidden="1" customWidth="1"/>
    <col min="6925" max="7168" width="9" style="12"/>
    <col min="7169" max="7169" width="7.5" style="12" customWidth="1"/>
    <col min="7170" max="7170" width="5.625" style="12" customWidth="1"/>
    <col min="7171" max="7171" width="7.375" style="12" customWidth="1"/>
    <col min="7172" max="7172" width="9" style="12"/>
    <col min="7173" max="7173" width="11" style="12" customWidth="1"/>
    <col min="7174" max="7174" width="32" style="12" customWidth="1"/>
    <col min="7175" max="7175" width="9.125" style="12" customWidth="1"/>
    <col min="7176" max="7176" width="8.375" style="12" customWidth="1"/>
    <col min="7177" max="7177" width="7.875" style="12" customWidth="1"/>
    <col min="7178" max="7180" width="0" style="12" hidden="1" customWidth="1"/>
    <col min="7181" max="7424" width="9" style="12"/>
    <col min="7425" max="7425" width="7.5" style="12" customWidth="1"/>
    <col min="7426" max="7426" width="5.625" style="12" customWidth="1"/>
    <col min="7427" max="7427" width="7.375" style="12" customWidth="1"/>
    <col min="7428" max="7428" width="9" style="12"/>
    <col min="7429" max="7429" width="11" style="12" customWidth="1"/>
    <col min="7430" max="7430" width="32" style="12" customWidth="1"/>
    <col min="7431" max="7431" width="9.125" style="12" customWidth="1"/>
    <col min="7432" max="7432" width="8.375" style="12" customWidth="1"/>
    <col min="7433" max="7433" width="7.875" style="12" customWidth="1"/>
    <col min="7434" max="7436" width="0" style="12" hidden="1" customWidth="1"/>
    <col min="7437" max="7680" width="9" style="12"/>
    <col min="7681" max="7681" width="7.5" style="12" customWidth="1"/>
    <col min="7682" max="7682" width="5.625" style="12" customWidth="1"/>
    <col min="7683" max="7683" width="7.375" style="12" customWidth="1"/>
    <col min="7684" max="7684" width="9" style="12"/>
    <col min="7685" max="7685" width="11" style="12" customWidth="1"/>
    <col min="7686" max="7686" width="32" style="12" customWidth="1"/>
    <col min="7687" max="7687" width="9.125" style="12" customWidth="1"/>
    <col min="7688" max="7688" width="8.375" style="12" customWidth="1"/>
    <col min="7689" max="7689" width="7.875" style="12" customWidth="1"/>
    <col min="7690" max="7692" width="0" style="12" hidden="1" customWidth="1"/>
    <col min="7693" max="7936" width="9" style="12"/>
    <col min="7937" max="7937" width="7.5" style="12" customWidth="1"/>
    <col min="7938" max="7938" width="5.625" style="12" customWidth="1"/>
    <col min="7939" max="7939" width="7.375" style="12" customWidth="1"/>
    <col min="7940" max="7940" width="9" style="12"/>
    <col min="7941" max="7941" width="11" style="12" customWidth="1"/>
    <col min="7942" max="7942" width="32" style="12" customWidth="1"/>
    <col min="7943" max="7943" width="9.125" style="12" customWidth="1"/>
    <col min="7944" max="7944" width="8.375" style="12" customWidth="1"/>
    <col min="7945" max="7945" width="7.875" style="12" customWidth="1"/>
    <col min="7946" max="7948" width="0" style="12" hidden="1" customWidth="1"/>
    <col min="7949" max="8192" width="9" style="12"/>
    <col min="8193" max="8193" width="7.5" style="12" customWidth="1"/>
    <col min="8194" max="8194" width="5.625" style="12" customWidth="1"/>
    <col min="8195" max="8195" width="7.375" style="12" customWidth="1"/>
    <col min="8196" max="8196" width="9" style="12"/>
    <col min="8197" max="8197" width="11" style="12" customWidth="1"/>
    <col min="8198" max="8198" width="32" style="12" customWidth="1"/>
    <col min="8199" max="8199" width="9.125" style="12" customWidth="1"/>
    <col min="8200" max="8200" width="8.375" style="12" customWidth="1"/>
    <col min="8201" max="8201" width="7.875" style="12" customWidth="1"/>
    <col min="8202" max="8204" width="0" style="12" hidden="1" customWidth="1"/>
    <col min="8205" max="8448" width="9" style="12"/>
    <col min="8449" max="8449" width="7.5" style="12" customWidth="1"/>
    <col min="8450" max="8450" width="5.625" style="12" customWidth="1"/>
    <col min="8451" max="8451" width="7.375" style="12" customWidth="1"/>
    <col min="8452" max="8452" width="9" style="12"/>
    <col min="8453" max="8453" width="11" style="12" customWidth="1"/>
    <col min="8454" max="8454" width="32" style="12" customWidth="1"/>
    <col min="8455" max="8455" width="9.125" style="12" customWidth="1"/>
    <col min="8456" max="8456" width="8.375" style="12" customWidth="1"/>
    <col min="8457" max="8457" width="7.875" style="12" customWidth="1"/>
    <col min="8458" max="8460" width="0" style="12" hidden="1" customWidth="1"/>
    <col min="8461" max="8704" width="9" style="12"/>
    <col min="8705" max="8705" width="7.5" style="12" customWidth="1"/>
    <col min="8706" max="8706" width="5.625" style="12" customWidth="1"/>
    <col min="8707" max="8707" width="7.375" style="12" customWidth="1"/>
    <col min="8708" max="8708" width="9" style="12"/>
    <col min="8709" max="8709" width="11" style="12" customWidth="1"/>
    <col min="8710" max="8710" width="32" style="12" customWidth="1"/>
    <col min="8711" max="8711" width="9.125" style="12" customWidth="1"/>
    <col min="8712" max="8712" width="8.375" style="12" customWidth="1"/>
    <col min="8713" max="8713" width="7.875" style="12" customWidth="1"/>
    <col min="8714" max="8716" width="0" style="12" hidden="1" customWidth="1"/>
    <col min="8717" max="8960" width="9" style="12"/>
    <col min="8961" max="8961" width="7.5" style="12" customWidth="1"/>
    <col min="8962" max="8962" width="5.625" style="12" customWidth="1"/>
    <col min="8963" max="8963" width="7.375" style="12" customWidth="1"/>
    <col min="8964" max="8964" width="9" style="12"/>
    <col min="8965" max="8965" width="11" style="12" customWidth="1"/>
    <col min="8966" max="8966" width="32" style="12" customWidth="1"/>
    <col min="8967" max="8967" width="9.125" style="12" customWidth="1"/>
    <col min="8968" max="8968" width="8.375" style="12" customWidth="1"/>
    <col min="8969" max="8969" width="7.875" style="12" customWidth="1"/>
    <col min="8970" max="8972" width="0" style="12" hidden="1" customWidth="1"/>
    <col min="8973" max="9216" width="9" style="12"/>
    <col min="9217" max="9217" width="7.5" style="12" customWidth="1"/>
    <col min="9218" max="9218" width="5.625" style="12" customWidth="1"/>
    <col min="9219" max="9219" width="7.375" style="12" customWidth="1"/>
    <col min="9220" max="9220" width="9" style="12"/>
    <col min="9221" max="9221" width="11" style="12" customWidth="1"/>
    <col min="9222" max="9222" width="32" style="12" customWidth="1"/>
    <col min="9223" max="9223" width="9.125" style="12" customWidth="1"/>
    <col min="9224" max="9224" width="8.375" style="12" customWidth="1"/>
    <col min="9225" max="9225" width="7.875" style="12" customWidth="1"/>
    <col min="9226" max="9228" width="0" style="12" hidden="1" customWidth="1"/>
    <col min="9229" max="9472" width="9" style="12"/>
    <col min="9473" max="9473" width="7.5" style="12" customWidth="1"/>
    <col min="9474" max="9474" width="5.625" style="12" customWidth="1"/>
    <col min="9475" max="9475" width="7.375" style="12" customWidth="1"/>
    <col min="9476" max="9476" width="9" style="12"/>
    <col min="9477" max="9477" width="11" style="12" customWidth="1"/>
    <col min="9478" max="9478" width="32" style="12" customWidth="1"/>
    <col min="9479" max="9479" width="9.125" style="12" customWidth="1"/>
    <col min="9480" max="9480" width="8.375" style="12" customWidth="1"/>
    <col min="9481" max="9481" width="7.875" style="12" customWidth="1"/>
    <col min="9482" max="9484" width="0" style="12" hidden="1" customWidth="1"/>
    <col min="9485" max="9728" width="9" style="12"/>
    <col min="9729" max="9729" width="7.5" style="12" customWidth="1"/>
    <col min="9730" max="9730" width="5.625" style="12" customWidth="1"/>
    <col min="9731" max="9731" width="7.375" style="12" customWidth="1"/>
    <col min="9732" max="9732" width="9" style="12"/>
    <col min="9733" max="9733" width="11" style="12" customWidth="1"/>
    <col min="9734" max="9734" width="32" style="12" customWidth="1"/>
    <col min="9735" max="9735" width="9.125" style="12" customWidth="1"/>
    <col min="9736" max="9736" width="8.375" style="12" customWidth="1"/>
    <col min="9737" max="9737" width="7.875" style="12" customWidth="1"/>
    <col min="9738" max="9740" width="0" style="12" hidden="1" customWidth="1"/>
    <col min="9741" max="9984" width="9" style="12"/>
    <col min="9985" max="9985" width="7.5" style="12" customWidth="1"/>
    <col min="9986" max="9986" width="5.625" style="12" customWidth="1"/>
    <col min="9987" max="9987" width="7.375" style="12" customWidth="1"/>
    <col min="9988" max="9988" width="9" style="12"/>
    <col min="9989" max="9989" width="11" style="12" customWidth="1"/>
    <col min="9990" max="9990" width="32" style="12" customWidth="1"/>
    <col min="9991" max="9991" width="9.125" style="12" customWidth="1"/>
    <col min="9992" max="9992" width="8.375" style="12" customWidth="1"/>
    <col min="9993" max="9993" width="7.875" style="12" customWidth="1"/>
    <col min="9994" max="9996" width="0" style="12" hidden="1" customWidth="1"/>
    <col min="9997" max="10240" width="9" style="12"/>
    <col min="10241" max="10241" width="7.5" style="12" customWidth="1"/>
    <col min="10242" max="10242" width="5.625" style="12" customWidth="1"/>
    <col min="10243" max="10243" width="7.375" style="12" customWidth="1"/>
    <col min="10244" max="10244" width="9" style="12"/>
    <col min="10245" max="10245" width="11" style="12" customWidth="1"/>
    <col min="10246" max="10246" width="32" style="12" customWidth="1"/>
    <col min="10247" max="10247" width="9.125" style="12" customWidth="1"/>
    <col min="10248" max="10248" width="8.375" style="12" customWidth="1"/>
    <col min="10249" max="10249" width="7.875" style="12" customWidth="1"/>
    <col min="10250" max="10252" width="0" style="12" hidden="1" customWidth="1"/>
    <col min="10253" max="10496" width="9" style="12"/>
    <col min="10497" max="10497" width="7.5" style="12" customWidth="1"/>
    <col min="10498" max="10498" width="5.625" style="12" customWidth="1"/>
    <col min="10499" max="10499" width="7.375" style="12" customWidth="1"/>
    <col min="10500" max="10500" width="9" style="12"/>
    <col min="10501" max="10501" width="11" style="12" customWidth="1"/>
    <col min="10502" max="10502" width="32" style="12" customWidth="1"/>
    <col min="10503" max="10503" width="9.125" style="12" customWidth="1"/>
    <col min="10504" max="10504" width="8.375" style="12" customWidth="1"/>
    <col min="10505" max="10505" width="7.875" style="12" customWidth="1"/>
    <col min="10506" max="10508" width="0" style="12" hidden="1" customWidth="1"/>
    <col min="10509" max="10752" width="9" style="12"/>
    <col min="10753" max="10753" width="7.5" style="12" customWidth="1"/>
    <col min="10754" max="10754" width="5.625" style="12" customWidth="1"/>
    <col min="10755" max="10755" width="7.375" style="12" customWidth="1"/>
    <col min="10756" max="10756" width="9" style="12"/>
    <col min="10757" max="10757" width="11" style="12" customWidth="1"/>
    <col min="10758" max="10758" width="32" style="12" customWidth="1"/>
    <col min="10759" max="10759" width="9.125" style="12" customWidth="1"/>
    <col min="10760" max="10760" width="8.375" style="12" customWidth="1"/>
    <col min="10761" max="10761" width="7.875" style="12" customWidth="1"/>
    <col min="10762" max="10764" width="0" style="12" hidden="1" customWidth="1"/>
    <col min="10765" max="11008" width="9" style="12"/>
    <col min="11009" max="11009" width="7.5" style="12" customWidth="1"/>
    <col min="11010" max="11010" width="5.625" style="12" customWidth="1"/>
    <col min="11011" max="11011" width="7.375" style="12" customWidth="1"/>
    <col min="11012" max="11012" width="9" style="12"/>
    <col min="11013" max="11013" width="11" style="12" customWidth="1"/>
    <col min="11014" max="11014" width="32" style="12" customWidth="1"/>
    <col min="11015" max="11015" width="9.125" style="12" customWidth="1"/>
    <col min="11016" max="11016" width="8.375" style="12" customWidth="1"/>
    <col min="11017" max="11017" width="7.875" style="12" customWidth="1"/>
    <col min="11018" max="11020" width="0" style="12" hidden="1" customWidth="1"/>
    <col min="11021" max="11264" width="9" style="12"/>
    <col min="11265" max="11265" width="7.5" style="12" customWidth="1"/>
    <col min="11266" max="11266" width="5.625" style="12" customWidth="1"/>
    <col min="11267" max="11267" width="7.375" style="12" customWidth="1"/>
    <col min="11268" max="11268" width="9" style="12"/>
    <col min="11269" max="11269" width="11" style="12" customWidth="1"/>
    <col min="11270" max="11270" width="32" style="12" customWidth="1"/>
    <col min="11271" max="11271" width="9.125" style="12" customWidth="1"/>
    <col min="11272" max="11272" width="8.375" style="12" customWidth="1"/>
    <col min="11273" max="11273" width="7.875" style="12" customWidth="1"/>
    <col min="11274" max="11276" width="0" style="12" hidden="1" customWidth="1"/>
    <col min="11277" max="11520" width="9" style="12"/>
    <col min="11521" max="11521" width="7.5" style="12" customWidth="1"/>
    <col min="11522" max="11522" width="5.625" style="12" customWidth="1"/>
    <col min="11523" max="11523" width="7.375" style="12" customWidth="1"/>
    <col min="11524" max="11524" width="9" style="12"/>
    <col min="11525" max="11525" width="11" style="12" customWidth="1"/>
    <col min="11526" max="11526" width="32" style="12" customWidth="1"/>
    <col min="11527" max="11527" width="9.125" style="12" customWidth="1"/>
    <col min="11528" max="11528" width="8.375" style="12" customWidth="1"/>
    <col min="11529" max="11529" width="7.875" style="12" customWidth="1"/>
    <col min="11530" max="11532" width="0" style="12" hidden="1" customWidth="1"/>
    <col min="11533" max="11776" width="9" style="12"/>
    <col min="11777" max="11777" width="7.5" style="12" customWidth="1"/>
    <col min="11778" max="11778" width="5.625" style="12" customWidth="1"/>
    <col min="11779" max="11779" width="7.375" style="12" customWidth="1"/>
    <col min="11780" max="11780" width="9" style="12"/>
    <col min="11781" max="11781" width="11" style="12" customWidth="1"/>
    <col min="11782" max="11782" width="32" style="12" customWidth="1"/>
    <col min="11783" max="11783" width="9.125" style="12" customWidth="1"/>
    <col min="11784" max="11784" width="8.375" style="12" customWidth="1"/>
    <col min="11785" max="11785" width="7.875" style="12" customWidth="1"/>
    <col min="11786" max="11788" width="0" style="12" hidden="1" customWidth="1"/>
    <col min="11789" max="12032" width="9" style="12"/>
    <col min="12033" max="12033" width="7.5" style="12" customWidth="1"/>
    <col min="12034" max="12034" width="5.625" style="12" customWidth="1"/>
    <col min="12035" max="12035" width="7.375" style="12" customWidth="1"/>
    <col min="12036" max="12036" width="9" style="12"/>
    <col min="12037" max="12037" width="11" style="12" customWidth="1"/>
    <col min="12038" max="12038" width="32" style="12" customWidth="1"/>
    <col min="12039" max="12039" width="9.125" style="12" customWidth="1"/>
    <col min="12040" max="12040" width="8.375" style="12" customWidth="1"/>
    <col min="12041" max="12041" width="7.875" style="12" customWidth="1"/>
    <col min="12042" max="12044" width="0" style="12" hidden="1" customWidth="1"/>
    <col min="12045" max="12288" width="9" style="12"/>
    <col min="12289" max="12289" width="7.5" style="12" customWidth="1"/>
    <col min="12290" max="12290" width="5.625" style="12" customWidth="1"/>
    <col min="12291" max="12291" width="7.375" style="12" customWidth="1"/>
    <col min="12292" max="12292" width="9" style="12"/>
    <col min="12293" max="12293" width="11" style="12" customWidth="1"/>
    <col min="12294" max="12294" width="32" style="12" customWidth="1"/>
    <col min="12295" max="12295" width="9.125" style="12" customWidth="1"/>
    <col min="12296" max="12296" width="8.375" style="12" customWidth="1"/>
    <col min="12297" max="12297" width="7.875" style="12" customWidth="1"/>
    <col min="12298" max="12300" width="0" style="12" hidden="1" customWidth="1"/>
    <col min="12301" max="12544" width="9" style="12"/>
    <col min="12545" max="12545" width="7.5" style="12" customWidth="1"/>
    <col min="12546" max="12546" width="5.625" style="12" customWidth="1"/>
    <col min="12547" max="12547" width="7.375" style="12" customWidth="1"/>
    <col min="12548" max="12548" width="9" style="12"/>
    <col min="12549" max="12549" width="11" style="12" customWidth="1"/>
    <col min="12550" max="12550" width="32" style="12" customWidth="1"/>
    <col min="12551" max="12551" width="9.125" style="12" customWidth="1"/>
    <col min="12552" max="12552" width="8.375" style="12" customWidth="1"/>
    <col min="12553" max="12553" width="7.875" style="12" customWidth="1"/>
    <col min="12554" max="12556" width="0" style="12" hidden="1" customWidth="1"/>
    <col min="12557" max="12800" width="9" style="12"/>
    <col min="12801" max="12801" width="7.5" style="12" customWidth="1"/>
    <col min="12802" max="12802" width="5.625" style="12" customWidth="1"/>
    <col min="12803" max="12803" width="7.375" style="12" customWidth="1"/>
    <col min="12804" max="12804" width="9" style="12"/>
    <col min="12805" max="12805" width="11" style="12" customWidth="1"/>
    <col min="12806" max="12806" width="32" style="12" customWidth="1"/>
    <col min="12807" max="12807" width="9.125" style="12" customWidth="1"/>
    <col min="12808" max="12808" width="8.375" style="12" customWidth="1"/>
    <col min="12809" max="12809" width="7.875" style="12" customWidth="1"/>
    <col min="12810" max="12812" width="0" style="12" hidden="1" customWidth="1"/>
    <col min="12813" max="13056" width="9" style="12"/>
    <col min="13057" max="13057" width="7.5" style="12" customWidth="1"/>
    <col min="13058" max="13058" width="5.625" style="12" customWidth="1"/>
    <col min="13059" max="13059" width="7.375" style="12" customWidth="1"/>
    <col min="13060" max="13060" width="9" style="12"/>
    <col min="13061" max="13061" width="11" style="12" customWidth="1"/>
    <col min="13062" max="13062" width="32" style="12" customWidth="1"/>
    <col min="13063" max="13063" width="9.125" style="12" customWidth="1"/>
    <col min="13064" max="13064" width="8.375" style="12" customWidth="1"/>
    <col min="13065" max="13065" width="7.875" style="12" customWidth="1"/>
    <col min="13066" max="13068" width="0" style="12" hidden="1" customWidth="1"/>
    <col min="13069" max="13312" width="9" style="12"/>
    <col min="13313" max="13313" width="7.5" style="12" customWidth="1"/>
    <col min="13314" max="13314" width="5.625" style="12" customWidth="1"/>
    <col min="13315" max="13315" width="7.375" style="12" customWidth="1"/>
    <col min="13316" max="13316" width="9" style="12"/>
    <col min="13317" max="13317" width="11" style="12" customWidth="1"/>
    <col min="13318" max="13318" width="32" style="12" customWidth="1"/>
    <col min="13319" max="13319" width="9.125" style="12" customWidth="1"/>
    <col min="13320" max="13320" width="8.375" style="12" customWidth="1"/>
    <col min="13321" max="13321" width="7.875" style="12" customWidth="1"/>
    <col min="13322" max="13324" width="0" style="12" hidden="1" customWidth="1"/>
    <col min="13325" max="13568" width="9" style="12"/>
    <col min="13569" max="13569" width="7.5" style="12" customWidth="1"/>
    <col min="13570" max="13570" width="5.625" style="12" customWidth="1"/>
    <col min="13571" max="13571" width="7.375" style="12" customWidth="1"/>
    <col min="13572" max="13572" width="9" style="12"/>
    <col min="13573" max="13573" width="11" style="12" customWidth="1"/>
    <col min="13574" max="13574" width="32" style="12" customWidth="1"/>
    <col min="13575" max="13575" width="9.125" style="12" customWidth="1"/>
    <col min="13576" max="13576" width="8.375" style="12" customWidth="1"/>
    <col min="13577" max="13577" width="7.875" style="12" customWidth="1"/>
    <col min="13578" max="13580" width="0" style="12" hidden="1" customWidth="1"/>
    <col min="13581" max="13824" width="9" style="12"/>
    <col min="13825" max="13825" width="7.5" style="12" customWidth="1"/>
    <col min="13826" max="13826" width="5.625" style="12" customWidth="1"/>
    <col min="13827" max="13827" width="7.375" style="12" customWidth="1"/>
    <col min="13828" max="13828" width="9" style="12"/>
    <col min="13829" max="13829" width="11" style="12" customWidth="1"/>
    <col min="13830" max="13830" width="32" style="12" customWidth="1"/>
    <col min="13831" max="13831" width="9.125" style="12" customWidth="1"/>
    <col min="13832" max="13832" width="8.375" style="12" customWidth="1"/>
    <col min="13833" max="13833" width="7.875" style="12" customWidth="1"/>
    <col min="13834" max="13836" width="0" style="12" hidden="1" customWidth="1"/>
    <col min="13837" max="14080" width="9" style="12"/>
    <col min="14081" max="14081" width="7.5" style="12" customWidth="1"/>
    <col min="14082" max="14082" width="5.625" style="12" customWidth="1"/>
    <col min="14083" max="14083" width="7.375" style="12" customWidth="1"/>
    <col min="14084" max="14084" width="9" style="12"/>
    <col min="14085" max="14085" width="11" style="12" customWidth="1"/>
    <col min="14086" max="14086" width="32" style="12" customWidth="1"/>
    <col min="14087" max="14087" width="9.125" style="12" customWidth="1"/>
    <col min="14088" max="14088" width="8.375" style="12" customWidth="1"/>
    <col min="14089" max="14089" width="7.875" style="12" customWidth="1"/>
    <col min="14090" max="14092" width="0" style="12" hidden="1" customWidth="1"/>
    <col min="14093" max="14336" width="9" style="12"/>
    <col min="14337" max="14337" width="7.5" style="12" customWidth="1"/>
    <col min="14338" max="14338" width="5.625" style="12" customWidth="1"/>
    <col min="14339" max="14339" width="7.375" style="12" customWidth="1"/>
    <col min="14340" max="14340" width="9" style="12"/>
    <col min="14341" max="14341" width="11" style="12" customWidth="1"/>
    <col min="14342" max="14342" width="32" style="12" customWidth="1"/>
    <col min="14343" max="14343" width="9.125" style="12" customWidth="1"/>
    <col min="14344" max="14344" width="8.375" style="12" customWidth="1"/>
    <col min="14345" max="14345" width="7.875" style="12" customWidth="1"/>
    <col min="14346" max="14348" width="0" style="12" hidden="1" customWidth="1"/>
    <col min="14349" max="14592" width="9" style="12"/>
    <col min="14593" max="14593" width="7.5" style="12" customWidth="1"/>
    <col min="14594" max="14594" width="5.625" style="12" customWidth="1"/>
    <col min="14595" max="14595" width="7.375" style="12" customWidth="1"/>
    <col min="14596" max="14596" width="9" style="12"/>
    <col min="14597" max="14597" width="11" style="12" customWidth="1"/>
    <col min="14598" max="14598" width="32" style="12" customWidth="1"/>
    <col min="14599" max="14599" width="9.125" style="12" customWidth="1"/>
    <col min="14600" max="14600" width="8.375" style="12" customWidth="1"/>
    <col min="14601" max="14601" width="7.875" style="12" customWidth="1"/>
    <col min="14602" max="14604" width="0" style="12" hidden="1" customWidth="1"/>
    <col min="14605" max="14848" width="9" style="12"/>
    <col min="14849" max="14849" width="7.5" style="12" customWidth="1"/>
    <col min="14850" max="14850" width="5.625" style="12" customWidth="1"/>
    <col min="14851" max="14851" width="7.375" style="12" customWidth="1"/>
    <col min="14852" max="14852" width="9" style="12"/>
    <col min="14853" max="14853" width="11" style="12" customWidth="1"/>
    <col min="14854" max="14854" width="32" style="12" customWidth="1"/>
    <col min="14855" max="14855" width="9.125" style="12" customWidth="1"/>
    <col min="14856" max="14856" width="8.375" style="12" customWidth="1"/>
    <col min="14857" max="14857" width="7.875" style="12" customWidth="1"/>
    <col min="14858" max="14860" width="0" style="12" hidden="1" customWidth="1"/>
    <col min="14861" max="15104" width="9" style="12"/>
    <col min="15105" max="15105" width="7.5" style="12" customWidth="1"/>
    <col min="15106" max="15106" width="5.625" style="12" customWidth="1"/>
    <col min="15107" max="15107" width="7.375" style="12" customWidth="1"/>
    <col min="15108" max="15108" width="9" style="12"/>
    <col min="15109" max="15109" width="11" style="12" customWidth="1"/>
    <col min="15110" max="15110" width="32" style="12" customWidth="1"/>
    <col min="15111" max="15111" width="9.125" style="12" customWidth="1"/>
    <col min="15112" max="15112" width="8.375" style="12" customWidth="1"/>
    <col min="15113" max="15113" width="7.875" style="12" customWidth="1"/>
    <col min="15114" max="15116" width="0" style="12" hidden="1" customWidth="1"/>
    <col min="15117" max="15360" width="9" style="12"/>
    <col min="15361" max="15361" width="7.5" style="12" customWidth="1"/>
    <col min="15362" max="15362" width="5.625" style="12" customWidth="1"/>
    <col min="15363" max="15363" width="7.375" style="12" customWidth="1"/>
    <col min="15364" max="15364" width="9" style="12"/>
    <col min="15365" max="15365" width="11" style="12" customWidth="1"/>
    <col min="15366" max="15366" width="32" style="12" customWidth="1"/>
    <col min="15367" max="15367" width="9.125" style="12" customWidth="1"/>
    <col min="15368" max="15368" width="8.375" style="12" customWidth="1"/>
    <col min="15369" max="15369" width="7.875" style="12" customWidth="1"/>
    <col min="15370" max="15372" width="0" style="12" hidden="1" customWidth="1"/>
    <col min="15373" max="15616" width="9" style="12"/>
    <col min="15617" max="15617" width="7.5" style="12" customWidth="1"/>
    <col min="15618" max="15618" width="5.625" style="12" customWidth="1"/>
    <col min="15619" max="15619" width="7.375" style="12" customWidth="1"/>
    <col min="15620" max="15620" width="9" style="12"/>
    <col min="15621" max="15621" width="11" style="12" customWidth="1"/>
    <col min="15622" max="15622" width="32" style="12" customWidth="1"/>
    <col min="15623" max="15623" width="9.125" style="12" customWidth="1"/>
    <col min="15624" max="15624" width="8.375" style="12" customWidth="1"/>
    <col min="15625" max="15625" width="7.875" style="12" customWidth="1"/>
    <col min="15626" max="15628" width="0" style="12" hidden="1" customWidth="1"/>
    <col min="15629" max="15872" width="9" style="12"/>
    <col min="15873" max="15873" width="7.5" style="12" customWidth="1"/>
    <col min="15874" max="15874" width="5.625" style="12" customWidth="1"/>
    <col min="15875" max="15875" width="7.375" style="12" customWidth="1"/>
    <col min="15876" max="15876" width="9" style="12"/>
    <col min="15877" max="15877" width="11" style="12" customWidth="1"/>
    <col min="15878" max="15878" width="32" style="12" customWidth="1"/>
    <col min="15879" max="15879" width="9.125" style="12" customWidth="1"/>
    <col min="15880" max="15880" width="8.375" style="12" customWidth="1"/>
    <col min="15881" max="15881" width="7.875" style="12" customWidth="1"/>
    <col min="15882" max="15884" width="0" style="12" hidden="1" customWidth="1"/>
    <col min="15885" max="16128" width="9" style="12"/>
    <col min="16129" max="16129" width="7.5" style="12" customWidth="1"/>
    <col min="16130" max="16130" width="5.625" style="12" customWidth="1"/>
    <col min="16131" max="16131" width="7.375" style="12" customWidth="1"/>
    <col min="16132" max="16132" width="9" style="12"/>
    <col min="16133" max="16133" width="11" style="12" customWidth="1"/>
    <col min="16134" max="16134" width="32" style="12" customWidth="1"/>
    <col min="16135" max="16135" width="9.125" style="12" customWidth="1"/>
    <col min="16136" max="16136" width="8.375" style="12" customWidth="1"/>
    <col min="16137" max="16137" width="7.875" style="12" customWidth="1"/>
    <col min="16138" max="16140" width="0" style="12" hidden="1" customWidth="1"/>
    <col min="16141" max="16384" width="9" style="12"/>
  </cols>
  <sheetData>
    <row r="1" spans="1:12" s="2" customFormat="1" ht="14.25">
      <c r="A1" s="1"/>
      <c r="I1" s="3"/>
    </row>
    <row r="2" spans="1:12" s="2" customFormat="1" ht="24" customHeight="1">
      <c r="A2" s="303" t="s">
        <v>359</v>
      </c>
      <c r="B2" s="303"/>
      <c r="C2" s="303"/>
      <c r="D2" s="303"/>
      <c r="E2" s="303"/>
      <c r="F2" s="303"/>
      <c r="G2" s="303"/>
      <c r="H2" s="303"/>
      <c r="I2" s="303"/>
    </row>
    <row r="3" spans="1:12" s="2" customFormat="1" ht="27.75" customHeight="1">
      <c r="A3" s="303" t="s">
        <v>327</v>
      </c>
      <c r="B3" s="303"/>
      <c r="C3" s="303"/>
      <c r="D3" s="303"/>
      <c r="E3" s="303"/>
      <c r="F3" s="303"/>
      <c r="G3" s="303"/>
      <c r="H3" s="303"/>
      <c r="I3" s="303"/>
    </row>
    <row r="4" spans="1:12" s="2" customFormat="1" ht="20.100000000000001" customHeight="1">
      <c r="A4" s="304"/>
      <c r="B4" s="304"/>
      <c r="C4" s="304"/>
      <c r="D4" s="304"/>
      <c r="E4" s="304"/>
      <c r="F4" s="304"/>
      <c r="G4" s="4"/>
      <c r="H4" s="4"/>
      <c r="I4" s="3"/>
    </row>
    <row r="5" spans="1:12" s="1" customFormat="1" ht="14.25">
      <c r="A5" s="305" t="s">
        <v>328</v>
      </c>
      <c r="B5" s="306"/>
      <c r="C5" s="306"/>
      <c r="D5" s="306"/>
      <c r="E5" s="306"/>
      <c r="F5" s="306"/>
      <c r="G5" s="5"/>
      <c r="H5" s="6" t="s">
        <v>329</v>
      </c>
      <c r="I5" s="7" t="s">
        <v>330</v>
      </c>
    </row>
    <row r="6" spans="1:12" s="1" customFormat="1" ht="14.25">
      <c r="A6" s="305"/>
      <c r="B6" s="307"/>
      <c r="C6" s="307"/>
      <c r="D6" s="307"/>
      <c r="E6" s="307"/>
      <c r="F6" s="307"/>
      <c r="G6" s="8"/>
      <c r="H6" s="9"/>
      <c r="I6" s="7"/>
    </row>
    <row r="7" spans="1:12" s="1" customFormat="1" ht="14.25">
      <c r="A7" s="305" t="s">
        <v>331</v>
      </c>
      <c r="B7" s="308"/>
      <c r="C7" s="308"/>
      <c r="D7" s="308"/>
      <c r="E7" s="308"/>
      <c r="F7" s="308"/>
      <c r="G7" s="5"/>
      <c r="H7" s="6" t="s">
        <v>332</v>
      </c>
      <c r="I7" s="7" t="s">
        <v>330</v>
      </c>
    </row>
    <row r="8" spans="1:12" s="1" customFormat="1" ht="14.25">
      <c r="A8" s="305"/>
      <c r="B8" s="307"/>
      <c r="C8" s="307"/>
      <c r="D8" s="307"/>
      <c r="E8" s="307"/>
      <c r="F8" s="307"/>
      <c r="G8" s="8"/>
      <c r="H8" s="10"/>
      <c r="I8" s="10"/>
    </row>
    <row r="9" spans="1:12" ht="49.5" customHeight="1">
      <c r="A9" s="300" t="s">
        <v>1209</v>
      </c>
      <c r="B9" s="301"/>
      <c r="C9" s="301"/>
      <c r="D9" s="301"/>
      <c r="E9" s="301"/>
      <c r="F9" s="301"/>
      <c r="G9" s="11"/>
      <c r="H9" s="11"/>
    </row>
    <row r="10" spans="1:12" ht="33.6" customHeight="1">
      <c r="A10" s="302" t="s">
        <v>333</v>
      </c>
      <c r="B10" s="302"/>
      <c r="C10" s="302"/>
      <c r="D10" s="302"/>
      <c r="E10" s="302"/>
      <c r="F10" s="302"/>
      <c r="G10" s="13" t="s">
        <v>334</v>
      </c>
      <c r="H10" s="14" t="s">
        <v>335</v>
      </c>
      <c r="I10" s="15" t="s">
        <v>336</v>
      </c>
      <c r="J10" s="16" t="s">
        <v>337</v>
      </c>
      <c r="K10" s="17" t="s">
        <v>338</v>
      </c>
      <c r="L10" s="18" t="s">
        <v>339</v>
      </c>
    </row>
    <row r="11" spans="1:12" ht="16.5" customHeight="1">
      <c r="A11" s="19">
        <v>1</v>
      </c>
      <c r="B11" s="20" t="s">
        <v>361</v>
      </c>
      <c r="C11" s="21"/>
      <c r="D11" s="21"/>
      <c r="E11" s="21"/>
      <c r="F11" s="22"/>
      <c r="G11" s="23"/>
      <c r="H11" s="24"/>
      <c r="I11" s="25"/>
      <c r="J11" s="81" t="s">
        <v>340</v>
      </c>
      <c r="K11" s="16">
        <f>IF(G11="Y",J11,0)</f>
        <v>0</v>
      </c>
      <c r="L11" s="18" t="str">
        <f>IF(K11=0,"해당없음","Y")</f>
        <v>해당없음</v>
      </c>
    </row>
    <row r="12" spans="1:12" ht="16.5" customHeight="1">
      <c r="A12" s="19"/>
      <c r="B12" s="35">
        <v>1.1000000000000001</v>
      </c>
      <c r="C12" s="27" t="s">
        <v>362</v>
      </c>
      <c r="D12" s="27"/>
      <c r="E12" s="27"/>
      <c r="F12" s="28"/>
      <c r="G12" s="29"/>
      <c r="H12" s="30"/>
      <c r="I12" s="31"/>
      <c r="J12" s="81" t="s">
        <v>341</v>
      </c>
      <c r="K12" s="16">
        <f t="shared" ref="K12:K31" si="0">IF(G12="Y",J12,0)</f>
        <v>0</v>
      </c>
      <c r="L12" s="18" t="str">
        <f t="shared" ref="L12:L31" si="1">IF(K12=0,"해당없음","Y")</f>
        <v>해당없음</v>
      </c>
    </row>
    <row r="13" spans="1:12" ht="16.5" customHeight="1">
      <c r="A13" s="36"/>
      <c r="B13" s="36">
        <v>1.2</v>
      </c>
      <c r="C13" s="37" t="s">
        <v>363</v>
      </c>
      <c r="D13" s="37"/>
      <c r="E13" s="37"/>
      <c r="F13" s="38"/>
      <c r="G13" s="39"/>
      <c r="H13" s="40"/>
      <c r="I13" s="41"/>
      <c r="J13" s="81">
        <v>1.2</v>
      </c>
      <c r="K13" s="16">
        <f t="shared" si="0"/>
        <v>0</v>
      </c>
      <c r="L13" s="18" t="str">
        <f t="shared" si="1"/>
        <v>해당없음</v>
      </c>
    </row>
    <row r="14" spans="1:12" ht="16.5" customHeight="1">
      <c r="A14" s="19">
        <v>2</v>
      </c>
      <c r="B14" s="42" t="s">
        <v>364</v>
      </c>
      <c r="C14" s="43"/>
      <c r="D14" s="43"/>
      <c r="E14" s="43"/>
      <c r="F14" s="44"/>
      <c r="G14" s="45"/>
      <c r="H14" s="24"/>
      <c r="I14" s="25"/>
      <c r="J14" s="81" t="s">
        <v>342</v>
      </c>
      <c r="K14" s="16">
        <f t="shared" si="0"/>
        <v>0</v>
      </c>
      <c r="L14" s="18" t="str">
        <f t="shared" si="1"/>
        <v>해당없음</v>
      </c>
    </row>
    <row r="15" spans="1:12" ht="16.5" customHeight="1">
      <c r="A15" s="19"/>
      <c r="B15" s="26">
        <v>2.1</v>
      </c>
      <c r="C15" s="21" t="s">
        <v>365</v>
      </c>
      <c r="D15" s="21"/>
      <c r="E15" s="21"/>
      <c r="F15" s="22"/>
      <c r="G15" s="23"/>
      <c r="H15" s="30"/>
      <c r="I15" s="31"/>
      <c r="J15" s="81">
        <v>2.1</v>
      </c>
      <c r="K15" s="16">
        <f t="shared" si="0"/>
        <v>0</v>
      </c>
      <c r="L15" s="18" t="str">
        <f t="shared" si="1"/>
        <v>해당없음</v>
      </c>
    </row>
    <row r="16" spans="1:12" ht="16.5" customHeight="1">
      <c r="A16" s="19"/>
      <c r="B16" s="19"/>
      <c r="C16" s="35" t="s">
        <v>366</v>
      </c>
      <c r="D16" s="21" t="s">
        <v>367</v>
      </c>
      <c r="E16" s="21"/>
      <c r="F16" s="22"/>
      <c r="G16" s="23"/>
      <c r="H16" s="30"/>
      <c r="I16" s="31"/>
      <c r="J16" s="81" t="s">
        <v>1088</v>
      </c>
      <c r="K16" s="16">
        <f t="shared" si="0"/>
        <v>0</v>
      </c>
      <c r="L16" s="18" t="str">
        <f t="shared" si="1"/>
        <v>해당없음</v>
      </c>
    </row>
    <row r="17" spans="1:12" ht="16.5" customHeight="1">
      <c r="A17" s="19"/>
      <c r="B17" s="19"/>
      <c r="C17" s="34" t="s">
        <v>368</v>
      </c>
      <c r="D17" s="21" t="s">
        <v>377</v>
      </c>
      <c r="E17" s="21"/>
      <c r="F17" s="22"/>
      <c r="G17" s="23"/>
      <c r="H17" s="30"/>
      <c r="I17" s="31"/>
      <c r="J17" s="81" t="s">
        <v>1089</v>
      </c>
      <c r="K17" s="16">
        <f t="shared" si="0"/>
        <v>0</v>
      </c>
      <c r="L17" s="18" t="str">
        <f t="shared" si="1"/>
        <v>해당없음</v>
      </c>
    </row>
    <row r="18" spans="1:12" ht="16.5" customHeight="1">
      <c r="A18" s="19"/>
      <c r="B18" s="19"/>
      <c r="C18" s="34" t="s">
        <v>369</v>
      </c>
      <c r="D18" s="21" t="s">
        <v>378</v>
      </c>
      <c r="E18" s="21"/>
      <c r="F18" s="22"/>
      <c r="G18" s="23"/>
      <c r="H18" s="30"/>
      <c r="I18" s="31"/>
      <c r="J18" s="81" t="s">
        <v>1090</v>
      </c>
      <c r="K18" s="16">
        <f t="shared" si="0"/>
        <v>0</v>
      </c>
      <c r="L18" s="18" t="str">
        <f t="shared" si="1"/>
        <v>해당없음</v>
      </c>
    </row>
    <row r="19" spans="1:12" ht="16.5" customHeight="1">
      <c r="A19" s="19"/>
      <c r="B19" s="19"/>
      <c r="C19" s="34" t="s">
        <v>370</v>
      </c>
      <c r="D19" s="21" t="s">
        <v>379</v>
      </c>
      <c r="E19" s="21"/>
      <c r="F19" s="22"/>
      <c r="G19" s="23"/>
      <c r="H19" s="30"/>
      <c r="I19" s="31"/>
      <c r="J19" s="81" t="s">
        <v>1091</v>
      </c>
      <c r="K19" s="16">
        <f t="shared" si="0"/>
        <v>0</v>
      </c>
      <c r="L19" s="18" t="str">
        <f t="shared" si="1"/>
        <v>해당없음</v>
      </c>
    </row>
    <row r="20" spans="1:12" ht="16.5" customHeight="1">
      <c r="A20" s="19"/>
      <c r="B20" s="19"/>
      <c r="C20" s="34" t="s">
        <v>371</v>
      </c>
      <c r="D20" s="21" t="s">
        <v>380</v>
      </c>
      <c r="E20" s="21"/>
      <c r="F20" s="22"/>
      <c r="G20" s="23"/>
      <c r="H20" s="30"/>
      <c r="I20" s="31"/>
      <c r="J20" s="81" t="s">
        <v>1092</v>
      </c>
      <c r="K20" s="16">
        <f t="shared" si="0"/>
        <v>0</v>
      </c>
      <c r="L20" s="18" t="str">
        <f t="shared" si="1"/>
        <v>해당없음</v>
      </c>
    </row>
    <row r="21" spans="1:12" ht="16.5" customHeight="1">
      <c r="A21" s="19"/>
      <c r="B21" s="19"/>
      <c r="C21" s="34" t="s">
        <v>372</v>
      </c>
      <c r="D21" s="21" t="s">
        <v>381</v>
      </c>
      <c r="E21" s="21"/>
      <c r="F21" s="22"/>
      <c r="G21" s="23"/>
      <c r="H21" s="30"/>
      <c r="I21" s="31"/>
      <c r="J21" s="81" t="s">
        <v>1093</v>
      </c>
      <c r="K21" s="16">
        <f t="shared" si="0"/>
        <v>0</v>
      </c>
      <c r="L21" s="18" t="str">
        <f t="shared" si="1"/>
        <v>해당없음</v>
      </c>
    </row>
    <row r="22" spans="1:12" ht="16.5" customHeight="1">
      <c r="A22" s="19"/>
      <c r="B22" s="19"/>
      <c r="C22" s="34" t="s">
        <v>373</v>
      </c>
      <c r="D22" s="21" t="s">
        <v>382</v>
      </c>
      <c r="E22" s="21"/>
      <c r="F22" s="22"/>
      <c r="G22" s="23"/>
      <c r="H22" s="30"/>
      <c r="I22" s="31"/>
      <c r="J22" s="81" t="s">
        <v>1094</v>
      </c>
      <c r="K22" s="16">
        <f t="shared" si="0"/>
        <v>0</v>
      </c>
      <c r="L22" s="18" t="str">
        <f t="shared" si="1"/>
        <v>해당없음</v>
      </c>
    </row>
    <row r="23" spans="1:12" ht="16.5" customHeight="1">
      <c r="A23" s="19"/>
      <c r="B23" s="19"/>
      <c r="C23" s="34" t="s">
        <v>374</v>
      </c>
      <c r="D23" s="21" t="s">
        <v>383</v>
      </c>
      <c r="E23" s="21"/>
      <c r="F23" s="22"/>
      <c r="G23" s="23"/>
      <c r="H23" s="30"/>
      <c r="I23" s="31"/>
      <c r="J23" s="81" t="s">
        <v>1095</v>
      </c>
      <c r="K23" s="16">
        <f t="shared" si="0"/>
        <v>0</v>
      </c>
      <c r="L23" s="18" t="str">
        <f t="shared" si="1"/>
        <v>해당없음</v>
      </c>
    </row>
    <row r="24" spans="1:12" ht="16.5" customHeight="1">
      <c r="A24" s="19"/>
      <c r="B24" s="19"/>
      <c r="C24" s="34" t="s">
        <v>375</v>
      </c>
      <c r="D24" s="21" t="s">
        <v>385</v>
      </c>
      <c r="E24" s="21"/>
      <c r="F24" s="22"/>
      <c r="G24" s="23"/>
      <c r="H24" s="30"/>
      <c r="I24" s="31"/>
      <c r="J24" s="81" t="s">
        <v>1096</v>
      </c>
      <c r="K24" s="16">
        <f t="shared" si="0"/>
        <v>0</v>
      </c>
      <c r="L24" s="18" t="str">
        <f t="shared" si="1"/>
        <v>해당없음</v>
      </c>
    </row>
    <row r="25" spans="1:12" ht="16.5" customHeight="1">
      <c r="A25" s="19"/>
      <c r="B25" s="34"/>
      <c r="C25" s="35" t="s">
        <v>376</v>
      </c>
      <c r="D25" s="21" t="s">
        <v>384</v>
      </c>
      <c r="E25" s="21"/>
      <c r="F25" s="22"/>
      <c r="G25" s="23"/>
      <c r="H25" s="30"/>
      <c r="I25" s="31"/>
      <c r="J25" s="81" t="s">
        <v>1097</v>
      </c>
      <c r="K25" s="16">
        <f t="shared" si="0"/>
        <v>0</v>
      </c>
      <c r="L25" s="18" t="str">
        <f t="shared" si="1"/>
        <v>해당없음</v>
      </c>
    </row>
    <row r="26" spans="1:12">
      <c r="A26" s="19"/>
      <c r="B26" s="19">
        <v>2.2000000000000002</v>
      </c>
      <c r="C26" s="46" t="s">
        <v>386</v>
      </c>
      <c r="D26" s="27"/>
      <c r="E26" s="27"/>
      <c r="F26" s="28"/>
      <c r="G26" s="29"/>
      <c r="H26" s="30"/>
      <c r="I26" s="31"/>
      <c r="J26" s="81">
        <v>2.2000000000000002</v>
      </c>
      <c r="K26" s="16">
        <f t="shared" si="0"/>
        <v>0</v>
      </c>
      <c r="L26" s="18" t="str">
        <f t="shared" si="1"/>
        <v>해당없음</v>
      </c>
    </row>
    <row r="27" spans="1:12" ht="16.5" customHeight="1">
      <c r="A27" s="19"/>
      <c r="B27" s="19"/>
      <c r="C27" s="35" t="s">
        <v>387</v>
      </c>
      <c r="D27" s="46" t="s">
        <v>389</v>
      </c>
      <c r="E27" s="27"/>
      <c r="F27" s="28"/>
      <c r="G27" s="29"/>
      <c r="H27" s="30"/>
      <c r="I27" s="31"/>
      <c r="J27" s="81" t="s">
        <v>1098</v>
      </c>
      <c r="K27" s="16">
        <f t="shared" si="0"/>
        <v>0</v>
      </c>
      <c r="L27" s="18" t="str">
        <f t="shared" si="1"/>
        <v>해당없음</v>
      </c>
    </row>
    <row r="28" spans="1:12" ht="16.5" customHeight="1">
      <c r="A28" s="19"/>
      <c r="B28" s="19"/>
      <c r="C28" s="19" t="s">
        <v>343</v>
      </c>
      <c r="D28" s="46" t="s">
        <v>390</v>
      </c>
      <c r="E28" s="27"/>
      <c r="F28" s="28"/>
      <c r="G28" s="29"/>
      <c r="H28" s="30"/>
      <c r="I28" s="31"/>
      <c r="J28" s="81" t="s">
        <v>1099</v>
      </c>
      <c r="K28" s="16">
        <f t="shared" si="0"/>
        <v>0</v>
      </c>
      <c r="L28" s="18" t="str">
        <f t="shared" si="1"/>
        <v>해당없음</v>
      </c>
    </row>
    <row r="29" spans="1:12" ht="16.5" customHeight="1">
      <c r="A29" s="19"/>
      <c r="B29" s="19"/>
      <c r="C29" s="35" t="s">
        <v>344</v>
      </c>
      <c r="D29" s="46" t="s">
        <v>391</v>
      </c>
      <c r="E29" s="27"/>
      <c r="F29" s="28"/>
      <c r="G29" s="29"/>
      <c r="H29" s="30"/>
      <c r="I29" s="31"/>
      <c r="J29" s="81" t="s">
        <v>1100</v>
      </c>
      <c r="K29" s="16">
        <f t="shared" si="0"/>
        <v>0</v>
      </c>
      <c r="L29" s="18" t="str">
        <f t="shared" si="1"/>
        <v>해당없음</v>
      </c>
    </row>
    <row r="30" spans="1:12" ht="16.5" customHeight="1">
      <c r="A30" s="19"/>
      <c r="B30" s="34"/>
      <c r="C30" s="35" t="s">
        <v>388</v>
      </c>
      <c r="D30" s="46" t="s">
        <v>392</v>
      </c>
      <c r="E30" s="27"/>
      <c r="F30" s="28"/>
      <c r="G30" s="29"/>
      <c r="H30" s="30"/>
      <c r="I30" s="31"/>
      <c r="J30" s="81" t="s">
        <v>1101</v>
      </c>
      <c r="K30" s="16">
        <f t="shared" si="0"/>
        <v>0</v>
      </c>
      <c r="L30" s="18" t="str">
        <f t="shared" si="1"/>
        <v>해당없음</v>
      </c>
    </row>
    <row r="31" spans="1:12" ht="16.5" customHeight="1">
      <c r="A31" s="19"/>
      <c r="B31" s="35">
        <v>2.2999999999999998</v>
      </c>
      <c r="C31" s="46" t="s">
        <v>393</v>
      </c>
      <c r="D31" s="27"/>
      <c r="E31" s="27"/>
      <c r="F31" s="28"/>
      <c r="G31" s="53"/>
      <c r="H31" s="30"/>
      <c r="I31" s="31"/>
      <c r="J31" s="81">
        <v>2.2999999999999998</v>
      </c>
      <c r="K31" s="16">
        <f t="shared" si="0"/>
        <v>0</v>
      </c>
      <c r="L31" s="18" t="str">
        <f t="shared" si="1"/>
        <v>해당없음</v>
      </c>
    </row>
    <row r="32" spans="1:12" ht="16.5" customHeight="1">
      <c r="A32" s="19"/>
      <c r="B32" s="34">
        <v>2.4</v>
      </c>
      <c r="C32" s="21" t="s">
        <v>394</v>
      </c>
      <c r="D32" s="21"/>
      <c r="E32" s="21"/>
      <c r="F32" s="22"/>
      <c r="G32" s="29"/>
      <c r="H32" s="30"/>
      <c r="I32" s="31"/>
      <c r="J32" s="81">
        <v>2.4</v>
      </c>
      <c r="K32" s="16">
        <f t="shared" ref="K32:K73" si="2">IF(G32="Y",J32,0)</f>
        <v>0</v>
      </c>
      <c r="L32" s="18" t="str">
        <f t="shared" ref="L32:L73" si="3">IF(K32=0,"해당없음","Y")</f>
        <v>해당없음</v>
      </c>
    </row>
    <row r="33" spans="1:12" ht="16.5" customHeight="1">
      <c r="A33" s="19"/>
      <c r="B33" s="54">
        <v>2.5</v>
      </c>
      <c r="C33" s="46" t="s">
        <v>395</v>
      </c>
      <c r="D33" s="27"/>
      <c r="E33" s="27"/>
      <c r="F33" s="28"/>
      <c r="G33" s="29"/>
      <c r="H33" s="30"/>
      <c r="I33" s="31"/>
      <c r="J33" s="81">
        <v>2.5</v>
      </c>
      <c r="K33" s="16">
        <f t="shared" si="2"/>
        <v>0</v>
      </c>
      <c r="L33" s="18" t="str">
        <f t="shared" si="3"/>
        <v>해당없음</v>
      </c>
    </row>
    <row r="34" spans="1:12" ht="16.5" customHeight="1">
      <c r="A34" s="19"/>
      <c r="B34" s="19"/>
      <c r="C34" s="35" t="s">
        <v>396</v>
      </c>
      <c r="D34" s="27" t="s">
        <v>397</v>
      </c>
      <c r="E34" s="27"/>
      <c r="F34" s="28"/>
      <c r="G34" s="29"/>
      <c r="H34" s="30"/>
      <c r="I34" s="31"/>
      <c r="J34" s="81" t="s">
        <v>1102</v>
      </c>
      <c r="K34" s="16">
        <f t="shared" si="2"/>
        <v>0</v>
      </c>
      <c r="L34" s="18" t="str">
        <f t="shared" si="3"/>
        <v>해당없음</v>
      </c>
    </row>
    <row r="35" spans="1:12" ht="16.5" customHeight="1">
      <c r="A35" s="36"/>
      <c r="B35" s="19"/>
      <c r="C35" s="35" t="s">
        <v>345</v>
      </c>
      <c r="D35" s="27" t="s">
        <v>398</v>
      </c>
      <c r="E35" s="27"/>
      <c r="F35" s="28"/>
      <c r="G35" s="57"/>
      <c r="H35" s="40"/>
      <c r="I35" s="41"/>
      <c r="J35" s="81" t="s">
        <v>1103</v>
      </c>
      <c r="K35" s="16">
        <f t="shared" si="2"/>
        <v>0</v>
      </c>
      <c r="L35" s="18" t="str">
        <f t="shared" si="3"/>
        <v>해당없음</v>
      </c>
    </row>
    <row r="36" spans="1:12" ht="16.5" customHeight="1">
      <c r="A36" s="19">
        <v>3</v>
      </c>
      <c r="B36" s="42" t="s">
        <v>399</v>
      </c>
      <c r="C36" s="43"/>
      <c r="D36" s="43"/>
      <c r="E36" s="43"/>
      <c r="F36" s="44"/>
      <c r="G36" s="23"/>
      <c r="H36" s="50"/>
      <c r="I36" s="51"/>
      <c r="J36" s="81" t="s">
        <v>346</v>
      </c>
      <c r="K36" s="16">
        <f t="shared" si="2"/>
        <v>0</v>
      </c>
      <c r="L36" s="18" t="str">
        <f t="shared" si="3"/>
        <v>해당없음</v>
      </c>
    </row>
    <row r="37" spans="1:12" ht="16.5" customHeight="1">
      <c r="A37" s="19"/>
      <c r="B37" s="35">
        <v>3.1</v>
      </c>
      <c r="C37" s="27" t="s">
        <v>400</v>
      </c>
      <c r="D37" s="27"/>
      <c r="E37" s="27"/>
      <c r="F37" s="28"/>
      <c r="G37" s="29"/>
      <c r="H37" s="30"/>
      <c r="I37" s="31"/>
      <c r="J37" s="81" t="s">
        <v>347</v>
      </c>
      <c r="K37" s="16">
        <f t="shared" si="2"/>
        <v>0</v>
      </c>
      <c r="L37" s="18" t="str">
        <f t="shared" si="3"/>
        <v>해당없음</v>
      </c>
    </row>
    <row r="38" spans="1:12" ht="16.5" customHeight="1">
      <c r="A38" s="19"/>
      <c r="B38" s="35">
        <v>3.2</v>
      </c>
      <c r="C38" s="27" t="s">
        <v>401</v>
      </c>
      <c r="D38" s="27"/>
      <c r="E38" s="27"/>
      <c r="F38" s="28"/>
      <c r="G38" s="29"/>
      <c r="H38" s="30"/>
      <c r="I38" s="31"/>
      <c r="J38" s="81" t="s">
        <v>348</v>
      </c>
      <c r="K38" s="16">
        <f t="shared" si="2"/>
        <v>0</v>
      </c>
      <c r="L38" s="18" t="str">
        <f t="shared" si="3"/>
        <v>해당없음</v>
      </c>
    </row>
    <row r="39" spans="1:12" ht="16.5" customHeight="1">
      <c r="A39" s="19"/>
      <c r="B39" s="35">
        <v>3.3</v>
      </c>
      <c r="C39" s="27" t="s">
        <v>402</v>
      </c>
      <c r="D39" s="27"/>
      <c r="E39" s="27"/>
      <c r="F39" s="28"/>
      <c r="G39" s="29"/>
      <c r="H39" s="30"/>
      <c r="I39" s="31"/>
      <c r="J39" s="81" t="s">
        <v>349</v>
      </c>
      <c r="K39" s="16">
        <f t="shared" si="2"/>
        <v>0</v>
      </c>
      <c r="L39" s="18" t="str">
        <f t="shared" si="3"/>
        <v>해당없음</v>
      </c>
    </row>
    <row r="40" spans="1:12" ht="16.5" customHeight="1">
      <c r="A40" s="19"/>
      <c r="B40" s="246">
        <v>3.4</v>
      </c>
      <c r="C40" s="247" t="s">
        <v>403</v>
      </c>
      <c r="D40" s="27"/>
      <c r="E40" s="27"/>
      <c r="F40" s="28"/>
      <c r="G40" s="29"/>
      <c r="H40" s="30"/>
      <c r="I40" s="31"/>
      <c r="J40" s="81" t="s">
        <v>350</v>
      </c>
      <c r="K40" s="16">
        <f t="shared" si="2"/>
        <v>0</v>
      </c>
      <c r="L40" s="18" t="str">
        <f t="shared" si="3"/>
        <v>해당없음</v>
      </c>
    </row>
    <row r="41" spans="1:12" ht="16.5" customHeight="1">
      <c r="A41" s="19"/>
      <c r="B41" s="35">
        <v>3.5</v>
      </c>
      <c r="C41" s="27" t="s">
        <v>404</v>
      </c>
      <c r="D41" s="27"/>
      <c r="E41" s="27"/>
      <c r="F41" s="28"/>
      <c r="G41" s="29"/>
      <c r="H41" s="30"/>
      <c r="I41" s="31"/>
      <c r="J41" s="81" t="s">
        <v>351</v>
      </c>
      <c r="K41" s="16">
        <f t="shared" si="2"/>
        <v>0</v>
      </c>
      <c r="L41" s="18" t="str">
        <f t="shared" si="3"/>
        <v>해당없음</v>
      </c>
    </row>
    <row r="42" spans="1:12" ht="16.5" customHeight="1">
      <c r="A42" s="19"/>
      <c r="B42" s="35">
        <v>3.6</v>
      </c>
      <c r="C42" s="27" t="s">
        <v>405</v>
      </c>
      <c r="D42" s="27"/>
      <c r="E42" s="27"/>
      <c r="F42" s="28"/>
      <c r="G42" s="29"/>
      <c r="H42" s="30"/>
      <c r="I42" s="31"/>
      <c r="J42" s="81" t="s">
        <v>352</v>
      </c>
      <c r="K42" s="16">
        <f t="shared" si="2"/>
        <v>0</v>
      </c>
      <c r="L42" s="18" t="str">
        <f t="shared" si="3"/>
        <v>해당없음</v>
      </c>
    </row>
    <row r="43" spans="1:12" ht="16.5" customHeight="1">
      <c r="A43" s="19"/>
      <c r="B43" s="26">
        <v>3.7</v>
      </c>
      <c r="C43" s="32" t="s">
        <v>406</v>
      </c>
      <c r="D43" s="32"/>
      <c r="E43" s="32"/>
      <c r="F43" s="33"/>
      <c r="G43" s="69"/>
      <c r="H43" s="55"/>
      <c r="I43" s="56"/>
      <c r="J43" s="81" t="s">
        <v>353</v>
      </c>
      <c r="K43" s="16">
        <f t="shared" si="2"/>
        <v>0</v>
      </c>
      <c r="L43" s="18" t="str">
        <f t="shared" si="3"/>
        <v>해당없음</v>
      </c>
    </row>
    <row r="44" spans="1:12" ht="16.5" customHeight="1">
      <c r="A44" s="61">
        <v>4</v>
      </c>
      <c r="B44" s="71" t="s">
        <v>407</v>
      </c>
      <c r="C44" s="62"/>
      <c r="D44" s="62"/>
      <c r="E44" s="62"/>
      <c r="F44" s="63"/>
      <c r="G44" s="70"/>
      <c r="H44" s="18"/>
      <c r="I44" s="64"/>
      <c r="J44" s="81">
        <v>4</v>
      </c>
      <c r="K44" s="16">
        <f t="shared" ref="K44" si="4">IF(G44="Y",J44,0)</f>
        <v>0</v>
      </c>
      <c r="L44" s="18" t="str">
        <f t="shared" ref="L44" si="5">IF(K44=0,"해당없음","Y")</f>
        <v>해당없음</v>
      </c>
    </row>
    <row r="45" spans="1:12">
      <c r="A45" s="19">
        <v>5</v>
      </c>
      <c r="B45" s="34" t="s">
        <v>408</v>
      </c>
      <c r="C45" s="21"/>
      <c r="D45" s="21"/>
      <c r="E45" s="21"/>
      <c r="F45" s="22"/>
      <c r="G45" s="23"/>
      <c r="H45" s="50"/>
      <c r="I45" s="51"/>
      <c r="J45" s="81">
        <v>5</v>
      </c>
      <c r="K45" s="16">
        <f t="shared" si="2"/>
        <v>0</v>
      </c>
      <c r="L45" s="18" t="str">
        <f t="shared" si="3"/>
        <v>해당없음</v>
      </c>
    </row>
    <row r="46" spans="1:12" ht="16.5" customHeight="1">
      <c r="A46" s="19"/>
      <c r="B46" s="35">
        <v>5.0999999999999996</v>
      </c>
      <c r="C46" s="20" t="s">
        <v>409</v>
      </c>
      <c r="D46" s="58"/>
      <c r="E46" s="21"/>
      <c r="F46" s="22"/>
      <c r="G46" s="23"/>
      <c r="H46" s="30"/>
      <c r="I46" s="31"/>
      <c r="J46" s="81">
        <v>5.0999999999999996</v>
      </c>
      <c r="K46" s="16">
        <f t="shared" si="2"/>
        <v>0</v>
      </c>
      <c r="L46" s="18" t="str">
        <f t="shared" si="3"/>
        <v>해당없음</v>
      </c>
    </row>
    <row r="47" spans="1:12" ht="16.5" customHeight="1">
      <c r="A47" s="19"/>
      <c r="B47" s="34">
        <v>5.2</v>
      </c>
      <c r="C47" s="46" t="s">
        <v>410</v>
      </c>
      <c r="D47" s="59"/>
      <c r="E47" s="27"/>
      <c r="F47" s="22"/>
      <c r="G47" s="52"/>
      <c r="H47" s="55"/>
      <c r="I47" s="56"/>
      <c r="J47" s="81">
        <v>5.2</v>
      </c>
      <c r="K47" s="16">
        <f t="shared" si="2"/>
        <v>0</v>
      </c>
      <c r="L47" s="18" t="str">
        <f t="shared" si="3"/>
        <v>해당없음</v>
      </c>
    </row>
    <row r="48" spans="1:12" ht="16.5" customHeight="1">
      <c r="A48" s="19"/>
      <c r="B48" s="34">
        <v>5.3</v>
      </c>
      <c r="C48" s="46" t="s">
        <v>411</v>
      </c>
      <c r="D48" s="59"/>
      <c r="E48" s="27"/>
      <c r="F48" s="22"/>
      <c r="G48" s="53"/>
      <c r="H48" s="55"/>
      <c r="I48" s="56"/>
      <c r="J48" s="81">
        <v>5.3</v>
      </c>
      <c r="K48" s="16">
        <f t="shared" si="2"/>
        <v>0</v>
      </c>
      <c r="L48" s="18" t="str">
        <f t="shared" si="3"/>
        <v>해당없음</v>
      </c>
    </row>
    <row r="49" spans="1:12" ht="16.5" customHeight="1">
      <c r="A49" s="36"/>
      <c r="B49" s="34">
        <v>5.4</v>
      </c>
      <c r="C49" s="21" t="s">
        <v>412</v>
      </c>
      <c r="E49" s="21"/>
      <c r="F49" s="22"/>
      <c r="G49" s="60"/>
      <c r="H49" s="40"/>
      <c r="I49" s="41"/>
      <c r="J49" s="81">
        <v>5.4</v>
      </c>
      <c r="K49" s="16">
        <f t="shared" si="2"/>
        <v>0</v>
      </c>
      <c r="L49" s="18" t="str">
        <f t="shared" si="3"/>
        <v>해당없음</v>
      </c>
    </row>
    <row r="50" spans="1:12" ht="16.5" customHeight="1">
      <c r="A50" s="19">
        <v>6</v>
      </c>
      <c r="B50" s="42" t="s">
        <v>413</v>
      </c>
      <c r="C50" s="43"/>
      <c r="D50" s="43"/>
      <c r="E50" s="43"/>
      <c r="F50" s="44"/>
      <c r="G50" s="23"/>
      <c r="H50" s="24"/>
      <c r="I50" s="25"/>
      <c r="J50" s="81">
        <v>6</v>
      </c>
      <c r="K50" s="16">
        <f t="shared" si="2"/>
        <v>0</v>
      </c>
      <c r="L50" s="18" t="str">
        <f t="shared" si="3"/>
        <v>해당없음</v>
      </c>
    </row>
    <row r="51" spans="1:12" ht="16.5" customHeight="1">
      <c r="A51" s="19"/>
      <c r="B51" s="35">
        <v>6.1</v>
      </c>
      <c r="C51" s="27" t="s">
        <v>415</v>
      </c>
      <c r="D51" s="27"/>
      <c r="E51" s="27"/>
      <c r="F51" s="28"/>
      <c r="G51" s="29"/>
      <c r="H51" s="30"/>
      <c r="I51" s="31"/>
      <c r="J51" s="81">
        <v>6.1</v>
      </c>
      <c r="K51" s="16">
        <f t="shared" si="2"/>
        <v>0</v>
      </c>
      <c r="L51" s="18" t="str">
        <f t="shared" si="3"/>
        <v>해당없음</v>
      </c>
    </row>
    <row r="52" spans="1:12" ht="16.5" customHeight="1">
      <c r="A52" s="19"/>
      <c r="B52" s="35">
        <v>6.2</v>
      </c>
      <c r="C52" s="27" t="s">
        <v>416</v>
      </c>
      <c r="D52" s="27"/>
      <c r="E52" s="27"/>
      <c r="F52" s="28"/>
      <c r="G52" s="29"/>
      <c r="H52" s="30"/>
      <c r="I52" s="31"/>
      <c r="J52" s="81">
        <v>6.2</v>
      </c>
      <c r="K52" s="16">
        <f t="shared" si="2"/>
        <v>0</v>
      </c>
      <c r="L52" s="18" t="str">
        <f t="shared" si="3"/>
        <v>해당없음</v>
      </c>
    </row>
    <row r="53" spans="1:12" ht="16.5" customHeight="1">
      <c r="A53" s="19"/>
      <c r="B53" s="35">
        <v>6.3</v>
      </c>
      <c r="C53" s="27" t="s">
        <v>417</v>
      </c>
      <c r="D53" s="27"/>
      <c r="E53" s="27"/>
      <c r="F53" s="28"/>
      <c r="G53" s="29"/>
      <c r="H53" s="30"/>
      <c r="I53" s="31"/>
      <c r="J53" s="81">
        <v>6.3</v>
      </c>
      <c r="K53" s="16">
        <f t="shared" si="2"/>
        <v>0</v>
      </c>
      <c r="L53" s="18" t="str">
        <f t="shared" si="3"/>
        <v>해당없음</v>
      </c>
    </row>
    <row r="54" spans="1:12" ht="16.5" customHeight="1">
      <c r="A54" s="19"/>
      <c r="B54" s="34">
        <v>6.4</v>
      </c>
      <c r="C54" s="21" t="s">
        <v>418</v>
      </c>
      <c r="D54" s="21"/>
      <c r="E54" s="21"/>
      <c r="F54" s="22"/>
      <c r="G54" s="23"/>
      <c r="H54" s="50"/>
      <c r="I54" s="51"/>
      <c r="J54" s="81">
        <v>6.4</v>
      </c>
      <c r="K54" s="16">
        <f t="shared" si="2"/>
        <v>0</v>
      </c>
      <c r="L54" s="18" t="str">
        <f t="shared" si="3"/>
        <v>해당없음</v>
      </c>
    </row>
    <row r="55" spans="1:12" ht="16.5" customHeight="1">
      <c r="A55" s="19"/>
      <c r="B55" s="35">
        <v>6.5</v>
      </c>
      <c r="C55" s="27" t="s">
        <v>419</v>
      </c>
      <c r="D55" s="27"/>
      <c r="E55" s="27"/>
      <c r="F55" s="28"/>
      <c r="G55" s="29"/>
      <c r="H55" s="30"/>
      <c r="I55" s="31"/>
      <c r="J55" s="81">
        <v>6.5</v>
      </c>
      <c r="K55" s="16">
        <f t="shared" si="2"/>
        <v>0</v>
      </c>
      <c r="L55" s="18" t="str">
        <f t="shared" si="3"/>
        <v>해당없음</v>
      </c>
    </row>
    <row r="56" spans="1:12" ht="16.5" customHeight="1">
      <c r="A56" s="19"/>
      <c r="B56" s="26">
        <v>6.6</v>
      </c>
      <c r="C56" s="27" t="s">
        <v>420</v>
      </c>
      <c r="D56" s="27"/>
      <c r="E56" s="27"/>
      <c r="F56" s="28"/>
      <c r="G56" s="29"/>
      <c r="H56" s="30"/>
      <c r="I56" s="31"/>
      <c r="J56" s="81">
        <v>6.6</v>
      </c>
      <c r="K56" s="16">
        <f t="shared" si="2"/>
        <v>0</v>
      </c>
      <c r="L56" s="18" t="str">
        <f t="shared" si="3"/>
        <v>해당없음</v>
      </c>
    </row>
    <row r="57" spans="1:12" ht="16.5" customHeight="1">
      <c r="A57" s="19"/>
      <c r="B57" s="34"/>
      <c r="C57" s="35" t="s">
        <v>421</v>
      </c>
      <c r="D57" s="27" t="s">
        <v>422</v>
      </c>
      <c r="E57" s="27"/>
      <c r="F57" s="28"/>
      <c r="G57" s="29"/>
      <c r="H57" s="30"/>
      <c r="I57" s="31"/>
      <c r="J57" s="81" t="s">
        <v>1104</v>
      </c>
      <c r="K57" s="16">
        <f t="shared" ref="K57:K60" si="6">IF(G57="Y",J57,0)</f>
        <v>0</v>
      </c>
      <c r="L57" s="18" t="str">
        <f t="shared" ref="L57:L60" si="7">IF(K57=0,"해당없음","Y")</f>
        <v>해당없음</v>
      </c>
    </row>
    <row r="58" spans="1:12" ht="16.5" customHeight="1">
      <c r="A58" s="19"/>
      <c r="B58" s="35">
        <v>6.7</v>
      </c>
      <c r="C58" s="27" t="s">
        <v>423</v>
      </c>
      <c r="D58" s="27"/>
      <c r="E58" s="27"/>
      <c r="F58" s="28"/>
      <c r="G58" s="29"/>
      <c r="H58" s="30"/>
      <c r="I58" s="31"/>
      <c r="J58" s="81">
        <v>6.7</v>
      </c>
      <c r="K58" s="16">
        <f t="shared" si="6"/>
        <v>0</v>
      </c>
      <c r="L58" s="18" t="str">
        <f t="shared" si="7"/>
        <v>해당없음</v>
      </c>
    </row>
    <row r="59" spans="1:12" ht="16.5" customHeight="1">
      <c r="A59" s="19"/>
      <c r="B59" s="35">
        <v>6.8</v>
      </c>
      <c r="C59" s="27" t="s">
        <v>424</v>
      </c>
      <c r="D59" s="27"/>
      <c r="E59" s="27"/>
      <c r="F59" s="28"/>
      <c r="G59" s="29"/>
      <c r="H59" s="30"/>
      <c r="I59" s="31"/>
      <c r="J59" s="81">
        <v>6.8</v>
      </c>
      <c r="K59" s="16">
        <f t="shared" si="6"/>
        <v>0</v>
      </c>
      <c r="L59" s="18" t="str">
        <f t="shared" si="7"/>
        <v>해당없음</v>
      </c>
    </row>
    <row r="60" spans="1:12" ht="16.5" customHeight="1">
      <c r="A60" s="19"/>
      <c r="B60" s="35">
        <v>6.9</v>
      </c>
      <c r="C60" s="27" t="s">
        <v>425</v>
      </c>
      <c r="D60" s="27"/>
      <c r="E60" s="27"/>
      <c r="F60" s="28"/>
      <c r="G60" s="29"/>
      <c r="H60" s="30"/>
      <c r="I60" s="31"/>
      <c r="J60" s="81">
        <v>6.9</v>
      </c>
      <c r="K60" s="16">
        <f t="shared" si="6"/>
        <v>0</v>
      </c>
      <c r="L60" s="18" t="str">
        <f t="shared" si="7"/>
        <v>해당없음</v>
      </c>
    </row>
    <row r="61" spans="1:12" ht="16.5" customHeight="1">
      <c r="A61" s="19"/>
      <c r="B61" s="72" t="s">
        <v>414</v>
      </c>
      <c r="C61" s="47" t="s">
        <v>426</v>
      </c>
      <c r="D61" s="47"/>
      <c r="E61" s="47"/>
      <c r="F61" s="48"/>
      <c r="G61" s="49"/>
      <c r="H61" s="40"/>
      <c r="I61" s="41"/>
      <c r="J61" s="82" t="s">
        <v>1105</v>
      </c>
      <c r="K61" s="16">
        <f t="shared" si="2"/>
        <v>0</v>
      </c>
      <c r="L61" s="18" t="str">
        <f t="shared" si="3"/>
        <v>해당없음</v>
      </c>
    </row>
    <row r="62" spans="1:12" ht="16.5" customHeight="1">
      <c r="A62" s="75">
        <v>7</v>
      </c>
      <c r="B62" s="42" t="s">
        <v>427</v>
      </c>
      <c r="C62" s="43"/>
      <c r="D62" s="43"/>
      <c r="E62" s="43"/>
      <c r="F62" s="44"/>
      <c r="G62" s="76"/>
      <c r="H62" s="24"/>
      <c r="I62" s="25"/>
      <c r="J62" s="81">
        <v>7</v>
      </c>
      <c r="K62" s="16">
        <f t="shared" ref="K62:K68" si="8">IF(G62="Y",J62,0)</f>
        <v>0</v>
      </c>
      <c r="L62" s="18" t="str">
        <f t="shared" ref="L62:L68" si="9">IF(K62=0,"해당없음","Y")</f>
        <v>해당없음</v>
      </c>
    </row>
    <row r="63" spans="1:12" ht="16.5" customHeight="1">
      <c r="A63" s="19"/>
      <c r="B63" s="35">
        <v>7.1</v>
      </c>
      <c r="C63" s="27" t="s">
        <v>428</v>
      </c>
      <c r="D63" s="27"/>
      <c r="E63" s="27"/>
      <c r="F63" s="28"/>
      <c r="G63" s="52"/>
      <c r="H63" s="30"/>
      <c r="I63" s="31"/>
      <c r="J63" s="81">
        <v>7.1</v>
      </c>
      <c r="K63" s="16">
        <f t="shared" si="8"/>
        <v>0</v>
      </c>
      <c r="L63" s="18" t="str">
        <f t="shared" si="9"/>
        <v>해당없음</v>
      </c>
    </row>
    <row r="64" spans="1:12" ht="16.5" customHeight="1">
      <c r="A64" s="19"/>
      <c r="B64" s="35">
        <v>7.2</v>
      </c>
      <c r="C64" s="27" t="s">
        <v>429</v>
      </c>
      <c r="D64" s="27"/>
      <c r="E64" s="27"/>
      <c r="F64" s="28"/>
      <c r="G64" s="52"/>
      <c r="H64" s="30"/>
      <c r="I64" s="31"/>
      <c r="J64" s="81">
        <v>7.2</v>
      </c>
      <c r="K64" s="16">
        <f t="shared" si="8"/>
        <v>0</v>
      </c>
      <c r="L64" s="18" t="str">
        <f t="shared" si="9"/>
        <v>해당없음</v>
      </c>
    </row>
    <row r="65" spans="1:12" ht="16.5" customHeight="1">
      <c r="A65" s="19"/>
      <c r="B65" s="35">
        <v>7.3</v>
      </c>
      <c r="C65" s="27" t="s">
        <v>430</v>
      </c>
      <c r="D65" s="27"/>
      <c r="E65" s="27"/>
      <c r="F65" s="28"/>
      <c r="G65" s="52"/>
      <c r="H65" s="30"/>
      <c r="I65" s="31"/>
      <c r="J65" s="81">
        <v>7.3</v>
      </c>
      <c r="K65" s="16">
        <f t="shared" si="8"/>
        <v>0</v>
      </c>
      <c r="L65" s="18" t="str">
        <f t="shared" si="9"/>
        <v>해당없음</v>
      </c>
    </row>
    <row r="66" spans="1:12" ht="16.5" customHeight="1">
      <c r="A66" s="19"/>
      <c r="B66" s="19">
        <v>7.4</v>
      </c>
      <c r="C66" s="77" t="s">
        <v>431</v>
      </c>
      <c r="D66" s="77"/>
      <c r="E66" s="77"/>
      <c r="F66" s="78"/>
      <c r="G66" s="79"/>
      <c r="H66" s="73"/>
      <c r="I66" s="74"/>
      <c r="J66" s="81">
        <v>7.4</v>
      </c>
      <c r="K66" s="16">
        <f t="shared" si="8"/>
        <v>0</v>
      </c>
      <c r="L66" s="18" t="str">
        <f t="shared" si="9"/>
        <v>해당없음</v>
      </c>
    </row>
    <row r="67" spans="1:12" ht="16.5" customHeight="1">
      <c r="A67" s="61">
        <v>8</v>
      </c>
      <c r="B67" s="71" t="s">
        <v>432</v>
      </c>
      <c r="C67" s="62"/>
      <c r="D67" s="62"/>
      <c r="E67" s="62"/>
      <c r="F67" s="63"/>
      <c r="G67" s="80"/>
      <c r="H67" s="18"/>
      <c r="I67" s="64"/>
      <c r="J67" s="81">
        <v>8</v>
      </c>
      <c r="K67" s="16">
        <f t="shared" si="8"/>
        <v>0</v>
      </c>
      <c r="L67" s="18" t="str">
        <f t="shared" si="9"/>
        <v>해당없음</v>
      </c>
    </row>
    <row r="68" spans="1:12" ht="16.5" customHeight="1">
      <c r="A68" s="61">
        <v>9</v>
      </c>
      <c r="B68" s="71" t="s">
        <v>433</v>
      </c>
      <c r="C68" s="62"/>
      <c r="D68" s="62"/>
      <c r="E68" s="62"/>
      <c r="F68" s="63"/>
      <c r="G68" s="80"/>
      <c r="H68" s="18"/>
      <c r="I68" s="64"/>
      <c r="J68" s="81">
        <v>9</v>
      </c>
      <c r="K68" s="16">
        <f t="shared" si="8"/>
        <v>0</v>
      </c>
      <c r="L68" s="18" t="str">
        <f t="shared" si="9"/>
        <v>해당없음</v>
      </c>
    </row>
    <row r="69" spans="1:12" ht="16.5" customHeight="1">
      <c r="A69" s="248">
        <v>10</v>
      </c>
      <c r="B69" s="248" t="s">
        <v>1208</v>
      </c>
      <c r="C69" s="253"/>
      <c r="D69" s="249"/>
      <c r="E69" s="249"/>
      <c r="F69" s="250"/>
      <c r="G69" s="231"/>
      <c r="H69" s="232"/>
      <c r="I69" s="233"/>
      <c r="J69" s="81"/>
      <c r="K69" s="16"/>
      <c r="L69" s="18"/>
    </row>
    <row r="70" spans="1:12" ht="16.5" customHeight="1">
      <c r="A70" s="254"/>
      <c r="B70" s="255"/>
      <c r="C70" s="255" t="s">
        <v>1215</v>
      </c>
      <c r="D70" s="257" t="s">
        <v>1216</v>
      </c>
      <c r="E70" s="257"/>
      <c r="F70" s="258"/>
      <c r="G70" s="256"/>
      <c r="H70" s="259"/>
      <c r="I70" s="260"/>
      <c r="J70" s="81"/>
      <c r="K70" s="16"/>
      <c r="L70" s="18"/>
    </row>
    <row r="71" spans="1:12">
      <c r="A71" s="65" t="s">
        <v>354</v>
      </c>
      <c r="B71" s="251" t="s">
        <v>355</v>
      </c>
      <c r="D71" s="58"/>
      <c r="E71" s="58"/>
      <c r="F71" s="252"/>
      <c r="G71" s="50"/>
      <c r="H71" s="50"/>
      <c r="I71" s="51"/>
      <c r="J71" s="81" t="s">
        <v>356</v>
      </c>
      <c r="K71" s="16">
        <f t="shared" si="2"/>
        <v>0</v>
      </c>
      <c r="L71" s="18" t="str">
        <f t="shared" si="3"/>
        <v>해당없음</v>
      </c>
    </row>
    <row r="72" spans="1:12">
      <c r="A72" s="66"/>
      <c r="B72" s="67" t="s">
        <v>357</v>
      </c>
      <c r="C72" s="59"/>
      <c r="D72" s="59"/>
      <c r="E72" s="59"/>
      <c r="F72" s="68"/>
      <c r="G72" s="30"/>
      <c r="H72" s="30"/>
      <c r="I72" s="31"/>
      <c r="J72" s="81" t="s">
        <v>358</v>
      </c>
      <c r="K72" s="16">
        <f t="shared" si="2"/>
        <v>0</v>
      </c>
      <c r="L72" s="18" t="str">
        <f t="shared" si="3"/>
        <v>해당없음</v>
      </c>
    </row>
    <row r="73" spans="1:12" s="209" customFormat="1">
      <c r="A73" s="202"/>
      <c r="B73" s="234" t="s">
        <v>1171</v>
      </c>
      <c r="C73" s="203"/>
      <c r="D73" s="203"/>
      <c r="E73" s="203"/>
      <c r="F73" s="204"/>
      <c r="G73" s="205"/>
      <c r="H73" s="205"/>
      <c r="I73" s="206"/>
      <c r="J73" s="207" t="s">
        <v>1172</v>
      </c>
      <c r="K73" s="207">
        <f t="shared" si="2"/>
        <v>0</v>
      </c>
      <c r="L73" s="208" t="str">
        <f t="shared" si="3"/>
        <v>해당없음</v>
      </c>
    </row>
  </sheetData>
  <mergeCells count="9">
    <mergeCell ref="A9:F9"/>
    <mergeCell ref="A10:F10"/>
    <mergeCell ref="A2:I2"/>
    <mergeCell ref="A3:I3"/>
    <mergeCell ref="A4:F4"/>
    <mergeCell ref="A5:A6"/>
    <mergeCell ref="B5:F6"/>
    <mergeCell ref="A7:A8"/>
    <mergeCell ref="B7:F8"/>
  </mergeCells>
  <phoneticPr fontId="1" type="noConversion"/>
  <dataValidations disablePrompts="1" count="1">
    <dataValidation type="list" allowBlank="1" showInputMessage="1" showErrorMessage="1" sqref="G65498:G65608 JC65498:JC65608 SY65498:SY65608 ACU65498:ACU65608 AMQ65498:AMQ65608 AWM65498:AWM65608 BGI65498:BGI65608 BQE65498:BQE65608 CAA65498:CAA65608 CJW65498:CJW65608 CTS65498:CTS65608 DDO65498:DDO65608 DNK65498:DNK65608 DXG65498:DXG65608 EHC65498:EHC65608 EQY65498:EQY65608 FAU65498:FAU65608 FKQ65498:FKQ65608 FUM65498:FUM65608 GEI65498:GEI65608 GOE65498:GOE65608 GYA65498:GYA65608 HHW65498:HHW65608 HRS65498:HRS65608 IBO65498:IBO65608 ILK65498:ILK65608 IVG65498:IVG65608 JFC65498:JFC65608 JOY65498:JOY65608 JYU65498:JYU65608 KIQ65498:KIQ65608 KSM65498:KSM65608 LCI65498:LCI65608 LME65498:LME65608 LWA65498:LWA65608 MFW65498:MFW65608 MPS65498:MPS65608 MZO65498:MZO65608 NJK65498:NJK65608 NTG65498:NTG65608 ODC65498:ODC65608 OMY65498:OMY65608 OWU65498:OWU65608 PGQ65498:PGQ65608 PQM65498:PQM65608 QAI65498:QAI65608 QKE65498:QKE65608 QUA65498:QUA65608 RDW65498:RDW65608 RNS65498:RNS65608 RXO65498:RXO65608 SHK65498:SHK65608 SRG65498:SRG65608 TBC65498:TBC65608 TKY65498:TKY65608 TUU65498:TUU65608 UEQ65498:UEQ65608 UOM65498:UOM65608 UYI65498:UYI65608 VIE65498:VIE65608 VSA65498:VSA65608 WBW65498:WBW65608 WLS65498:WLS65608 WVO65498:WVO65608 G131034:G131144 JC131034:JC131144 SY131034:SY131144 ACU131034:ACU131144 AMQ131034:AMQ131144 AWM131034:AWM131144 BGI131034:BGI131144 BQE131034:BQE131144 CAA131034:CAA131144 CJW131034:CJW131144 CTS131034:CTS131144 DDO131034:DDO131144 DNK131034:DNK131144 DXG131034:DXG131144 EHC131034:EHC131144 EQY131034:EQY131144 FAU131034:FAU131144 FKQ131034:FKQ131144 FUM131034:FUM131144 GEI131034:GEI131144 GOE131034:GOE131144 GYA131034:GYA131144 HHW131034:HHW131144 HRS131034:HRS131144 IBO131034:IBO131144 ILK131034:ILK131144 IVG131034:IVG131144 JFC131034:JFC131144 JOY131034:JOY131144 JYU131034:JYU131144 KIQ131034:KIQ131144 KSM131034:KSM131144 LCI131034:LCI131144 LME131034:LME131144 LWA131034:LWA131144 MFW131034:MFW131144 MPS131034:MPS131144 MZO131034:MZO131144 NJK131034:NJK131144 NTG131034:NTG131144 ODC131034:ODC131144 OMY131034:OMY131144 OWU131034:OWU131144 PGQ131034:PGQ131144 PQM131034:PQM131144 QAI131034:QAI131144 QKE131034:QKE131144 QUA131034:QUA131144 RDW131034:RDW131144 RNS131034:RNS131144 RXO131034:RXO131144 SHK131034:SHK131144 SRG131034:SRG131144 TBC131034:TBC131144 TKY131034:TKY131144 TUU131034:TUU131144 UEQ131034:UEQ131144 UOM131034:UOM131144 UYI131034:UYI131144 VIE131034:VIE131144 VSA131034:VSA131144 WBW131034:WBW131144 WLS131034:WLS131144 WVO131034:WVO131144 G196570:G196680 JC196570:JC196680 SY196570:SY196680 ACU196570:ACU196680 AMQ196570:AMQ196680 AWM196570:AWM196680 BGI196570:BGI196680 BQE196570:BQE196680 CAA196570:CAA196680 CJW196570:CJW196680 CTS196570:CTS196680 DDO196570:DDO196680 DNK196570:DNK196680 DXG196570:DXG196680 EHC196570:EHC196680 EQY196570:EQY196680 FAU196570:FAU196680 FKQ196570:FKQ196680 FUM196570:FUM196680 GEI196570:GEI196680 GOE196570:GOE196680 GYA196570:GYA196680 HHW196570:HHW196680 HRS196570:HRS196680 IBO196570:IBO196680 ILK196570:ILK196680 IVG196570:IVG196680 JFC196570:JFC196680 JOY196570:JOY196680 JYU196570:JYU196680 KIQ196570:KIQ196680 KSM196570:KSM196680 LCI196570:LCI196680 LME196570:LME196680 LWA196570:LWA196680 MFW196570:MFW196680 MPS196570:MPS196680 MZO196570:MZO196680 NJK196570:NJK196680 NTG196570:NTG196680 ODC196570:ODC196680 OMY196570:OMY196680 OWU196570:OWU196680 PGQ196570:PGQ196680 PQM196570:PQM196680 QAI196570:QAI196680 QKE196570:QKE196680 QUA196570:QUA196680 RDW196570:RDW196680 RNS196570:RNS196680 RXO196570:RXO196680 SHK196570:SHK196680 SRG196570:SRG196680 TBC196570:TBC196680 TKY196570:TKY196680 TUU196570:TUU196680 UEQ196570:UEQ196680 UOM196570:UOM196680 UYI196570:UYI196680 VIE196570:VIE196680 VSA196570:VSA196680 WBW196570:WBW196680 WLS196570:WLS196680 WVO196570:WVO196680 G262106:G262216 JC262106:JC262216 SY262106:SY262216 ACU262106:ACU262216 AMQ262106:AMQ262216 AWM262106:AWM262216 BGI262106:BGI262216 BQE262106:BQE262216 CAA262106:CAA262216 CJW262106:CJW262216 CTS262106:CTS262216 DDO262106:DDO262216 DNK262106:DNK262216 DXG262106:DXG262216 EHC262106:EHC262216 EQY262106:EQY262216 FAU262106:FAU262216 FKQ262106:FKQ262216 FUM262106:FUM262216 GEI262106:GEI262216 GOE262106:GOE262216 GYA262106:GYA262216 HHW262106:HHW262216 HRS262106:HRS262216 IBO262106:IBO262216 ILK262106:ILK262216 IVG262106:IVG262216 JFC262106:JFC262216 JOY262106:JOY262216 JYU262106:JYU262216 KIQ262106:KIQ262216 KSM262106:KSM262216 LCI262106:LCI262216 LME262106:LME262216 LWA262106:LWA262216 MFW262106:MFW262216 MPS262106:MPS262216 MZO262106:MZO262216 NJK262106:NJK262216 NTG262106:NTG262216 ODC262106:ODC262216 OMY262106:OMY262216 OWU262106:OWU262216 PGQ262106:PGQ262216 PQM262106:PQM262216 QAI262106:QAI262216 QKE262106:QKE262216 QUA262106:QUA262216 RDW262106:RDW262216 RNS262106:RNS262216 RXO262106:RXO262216 SHK262106:SHK262216 SRG262106:SRG262216 TBC262106:TBC262216 TKY262106:TKY262216 TUU262106:TUU262216 UEQ262106:UEQ262216 UOM262106:UOM262216 UYI262106:UYI262216 VIE262106:VIE262216 VSA262106:VSA262216 WBW262106:WBW262216 WLS262106:WLS262216 WVO262106:WVO262216 G327642:G327752 JC327642:JC327752 SY327642:SY327752 ACU327642:ACU327752 AMQ327642:AMQ327752 AWM327642:AWM327752 BGI327642:BGI327752 BQE327642:BQE327752 CAA327642:CAA327752 CJW327642:CJW327752 CTS327642:CTS327752 DDO327642:DDO327752 DNK327642:DNK327752 DXG327642:DXG327752 EHC327642:EHC327752 EQY327642:EQY327752 FAU327642:FAU327752 FKQ327642:FKQ327752 FUM327642:FUM327752 GEI327642:GEI327752 GOE327642:GOE327752 GYA327642:GYA327752 HHW327642:HHW327752 HRS327642:HRS327752 IBO327642:IBO327752 ILK327642:ILK327752 IVG327642:IVG327752 JFC327642:JFC327752 JOY327642:JOY327752 JYU327642:JYU327752 KIQ327642:KIQ327752 KSM327642:KSM327752 LCI327642:LCI327752 LME327642:LME327752 LWA327642:LWA327752 MFW327642:MFW327752 MPS327642:MPS327752 MZO327642:MZO327752 NJK327642:NJK327752 NTG327642:NTG327752 ODC327642:ODC327752 OMY327642:OMY327752 OWU327642:OWU327752 PGQ327642:PGQ327752 PQM327642:PQM327752 QAI327642:QAI327752 QKE327642:QKE327752 QUA327642:QUA327752 RDW327642:RDW327752 RNS327642:RNS327752 RXO327642:RXO327752 SHK327642:SHK327752 SRG327642:SRG327752 TBC327642:TBC327752 TKY327642:TKY327752 TUU327642:TUU327752 UEQ327642:UEQ327752 UOM327642:UOM327752 UYI327642:UYI327752 VIE327642:VIE327752 VSA327642:VSA327752 WBW327642:WBW327752 WLS327642:WLS327752 WVO327642:WVO327752 G393178:G393288 JC393178:JC393288 SY393178:SY393288 ACU393178:ACU393288 AMQ393178:AMQ393288 AWM393178:AWM393288 BGI393178:BGI393288 BQE393178:BQE393288 CAA393178:CAA393288 CJW393178:CJW393288 CTS393178:CTS393288 DDO393178:DDO393288 DNK393178:DNK393288 DXG393178:DXG393288 EHC393178:EHC393288 EQY393178:EQY393288 FAU393178:FAU393288 FKQ393178:FKQ393288 FUM393178:FUM393288 GEI393178:GEI393288 GOE393178:GOE393288 GYA393178:GYA393288 HHW393178:HHW393288 HRS393178:HRS393288 IBO393178:IBO393288 ILK393178:ILK393288 IVG393178:IVG393288 JFC393178:JFC393288 JOY393178:JOY393288 JYU393178:JYU393288 KIQ393178:KIQ393288 KSM393178:KSM393288 LCI393178:LCI393288 LME393178:LME393288 LWA393178:LWA393288 MFW393178:MFW393288 MPS393178:MPS393288 MZO393178:MZO393288 NJK393178:NJK393288 NTG393178:NTG393288 ODC393178:ODC393288 OMY393178:OMY393288 OWU393178:OWU393288 PGQ393178:PGQ393288 PQM393178:PQM393288 QAI393178:QAI393288 QKE393178:QKE393288 QUA393178:QUA393288 RDW393178:RDW393288 RNS393178:RNS393288 RXO393178:RXO393288 SHK393178:SHK393288 SRG393178:SRG393288 TBC393178:TBC393288 TKY393178:TKY393288 TUU393178:TUU393288 UEQ393178:UEQ393288 UOM393178:UOM393288 UYI393178:UYI393288 VIE393178:VIE393288 VSA393178:VSA393288 WBW393178:WBW393288 WLS393178:WLS393288 WVO393178:WVO393288 G458714:G458824 JC458714:JC458824 SY458714:SY458824 ACU458714:ACU458824 AMQ458714:AMQ458824 AWM458714:AWM458824 BGI458714:BGI458824 BQE458714:BQE458824 CAA458714:CAA458824 CJW458714:CJW458824 CTS458714:CTS458824 DDO458714:DDO458824 DNK458714:DNK458824 DXG458714:DXG458824 EHC458714:EHC458824 EQY458714:EQY458824 FAU458714:FAU458824 FKQ458714:FKQ458824 FUM458714:FUM458824 GEI458714:GEI458824 GOE458714:GOE458824 GYA458714:GYA458824 HHW458714:HHW458824 HRS458714:HRS458824 IBO458714:IBO458824 ILK458714:ILK458824 IVG458714:IVG458824 JFC458714:JFC458824 JOY458714:JOY458824 JYU458714:JYU458824 KIQ458714:KIQ458824 KSM458714:KSM458824 LCI458714:LCI458824 LME458714:LME458824 LWA458714:LWA458824 MFW458714:MFW458824 MPS458714:MPS458824 MZO458714:MZO458824 NJK458714:NJK458824 NTG458714:NTG458824 ODC458714:ODC458824 OMY458714:OMY458824 OWU458714:OWU458824 PGQ458714:PGQ458824 PQM458714:PQM458824 QAI458714:QAI458824 QKE458714:QKE458824 QUA458714:QUA458824 RDW458714:RDW458824 RNS458714:RNS458824 RXO458714:RXO458824 SHK458714:SHK458824 SRG458714:SRG458824 TBC458714:TBC458824 TKY458714:TKY458824 TUU458714:TUU458824 UEQ458714:UEQ458824 UOM458714:UOM458824 UYI458714:UYI458824 VIE458714:VIE458824 VSA458714:VSA458824 WBW458714:WBW458824 WLS458714:WLS458824 WVO458714:WVO458824 G524250:G524360 JC524250:JC524360 SY524250:SY524360 ACU524250:ACU524360 AMQ524250:AMQ524360 AWM524250:AWM524360 BGI524250:BGI524360 BQE524250:BQE524360 CAA524250:CAA524360 CJW524250:CJW524360 CTS524250:CTS524360 DDO524250:DDO524360 DNK524250:DNK524360 DXG524250:DXG524360 EHC524250:EHC524360 EQY524250:EQY524360 FAU524250:FAU524360 FKQ524250:FKQ524360 FUM524250:FUM524360 GEI524250:GEI524360 GOE524250:GOE524360 GYA524250:GYA524360 HHW524250:HHW524360 HRS524250:HRS524360 IBO524250:IBO524360 ILK524250:ILK524360 IVG524250:IVG524360 JFC524250:JFC524360 JOY524250:JOY524360 JYU524250:JYU524360 KIQ524250:KIQ524360 KSM524250:KSM524360 LCI524250:LCI524360 LME524250:LME524360 LWA524250:LWA524360 MFW524250:MFW524360 MPS524250:MPS524360 MZO524250:MZO524360 NJK524250:NJK524360 NTG524250:NTG524360 ODC524250:ODC524360 OMY524250:OMY524360 OWU524250:OWU524360 PGQ524250:PGQ524360 PQM524250:PQM524360 QAI524250:QAI524360 QKE524250:QKE524360 QUA524250:QUA524360 RDW524250:RDW524360 RNS524250:RNS524360 RXO524250:RXO524360 SHK524250:SHK524360 SRG524250:SRG524360 TBC524250:TBC524360 TKY524250:TKY524360 TUU524250:TUU524360 UEQ524250:UEQ524360 UOM524250:UOM524360 UYI524250:UYI524360 VIE524250:VIE524360 VSA524250:VSA524360 WBW524250:WBW524360 WLS524250:WLS524360 WVO524250:WVO524360 G589786:G589896 JC589786:JC589896 SY589786:SY589896 ACU589786:ACU589896 AMQ589786:AMQ589896 AWM589786:AWM589896 BGI589786:BGI589896 BQE589786:BQE589896 CAA589786:CAA589896 CJW589786:CJW589896 CTS589786:CTS589896 DDO589786:DDO589896 DNK589786:DNK589896 DXG589786:DXG589896 EHC589786:EHC589896 EQY589786:EQY589896 FAU589786:FAU589896 FKQ589786:FKQ589896 FUM589786:FUM589896 GEI589786:GEI589896 GOE589786:GOE589896 GYA589786:GYA589896 HHW589786:HHW589896 HRS589786:HRS589896 IBO589786:IBO589896 ILK589786:ILK589896 IVG589786:IVG589896 JFC589786:JFC589896 JOY589786:JOY589896 JYU589786:JYU589896 KIQ589786:KIQ589896 KSM589786:KSM589896 LCI589786:LCI589896 LME589786:LME589896 LWA589786:LWA589896 MFW589786:MFW589896 MPS589786:MPS589896 MZO589786:MZO589896 NJK589786:NJK589896 NTG589786:NTG589896 ODC589786:ODC589896 OMY589786:OMY589896 OWU589786:OWU589896 PGQ589786:PGQ589896 PQM589786:PQM589896 QAI589786:QAI589896 QKE589786:QKE589896 QUA589786:QUA589896 RDW589786:RDW589896 RNS589786:RNS589896 RXO589786:RXO589896 SHK589786:SHK589896 SRG589786:SRG589896 TBC589786:TBC589896 TKY589786:TKY589896 TUU589786:TUU589896 UEQ589786:UEQ589896 UOM589786:UOM589896 UYI589786:UYI589896 VIE589786:VIE589896 VSA589786:VSA589896 WBW589786:WBW589896 WLS589786:WLS589896 WVO589786:WVO589896 G655322:G655432 JC655322:JC655432 SY655322:SY655432 ACU655322:ACU655432 AMQ655322:AMQ655432 AWM655322:AWM655432 BGI655322:BGI655432 BQE655322:BQE655432 CAA655322:CAA655432 CJW655322:CJW655432 CTS655322:CTS655432 DDO655322:DDO655432 DNK655322:DNK655432 DXG655322:DXG655432 EHC655322:EHC655432 EQY655322:EQY655432 FAU655322:FAU655432 FKQ655322:FKQ655432 FUM655322:FUM655432 GEI655322:GEI655432 GOE655322:GOE655432 GYA655322:GYA655432 HHW655322:HHW655432 HRS655322:HRS655432 IBO655322:IBO655432 ILK655322:ILK655432 IVG655322:IVG655432 JFC655322:JFC655432 JOY655322:JOY655432 JYU655322:JYU655432 KIQ655322:KIQ655432 KSM655322:KSM655432 LCI655322:LCI655432 LME655322:LME655432 LWA655322:LWA655432 MFW655322:MFW655432 MPS655322:MPS655432 MZO655322:MZO655432 NJK655322:NJK655432 NTG655322:NTG655432 ODC655322:ODC655432 OMY655322:OMY655432 OWU655322:OWU655432 PGQ655322:PGQ655432 PQM655322:PQM655432 QAI655322:QAI655432 QKE655322:QKE655432 QUA655322:QUA655432 RDW655322:RDW655432 RNS655322:RNS655432 RXO655322:RXO655432 SHK655322:SHK655432 SRG655322:SRG655432 TBC655322:TBC655432 TKY655322:TKY655432 TUU655322:TUU655432 UEQ655322:UEQ655432 UOM655322:UOM655432 UYI655322:UYI655432 VIE655322:VIE655432 VSA655322:VSA655432 WBW655322:WBW655432 WLS655322:WLS655432 WVO655322:WVO655432 G720858:G720968 JC720858:JC720968 SY720858:SY720968 ACU720858:ACU720968 AMQ720858:AMQ720968 AWM720858:AWM720968 BGI720858:BGI720968 BQE720858:BQE720968 CAA720858:CAA720968 CJW720858:CJW720968 CTS720858:CTS720968 DDO720858:DDO720968 DNK720858:DNK720968 DXG720858:DXG720968 EHC720858:EHC720968 EQY720858:EQY720968 FAU720858:FAU720968 FKQ720858:FKQ720968 FUM720858:FUM720968 GEI720858:GEI720968 GOE720858:GOE720968 GYA720858:GYA720968 HHW720858:HHW720968 HRS720858:HRS720968 IBO720858:IBO720968 ILK720858:ILK720968 IVG720858:IVG720968 JFC720858:JFC720968 JOY720858:JOY720968 JYU720858:JYU720968 KIQ720858:KIQ720968 KSM720858:KSM720968 LCI720858:LCI720968 LME720858:LME720968 LWA720858:LWA720968 MFW720858:MFW720968 MPS720858:MPS720968 MZO720858:MZO720968 NJK720858:NJK720968 NTG720858:NTG720968 ODC720858:ODC720968 OMY720858:OMY720968 OWU720858:OWU720968 PGQ720858:PGQ720968 PQM720858:PQM720968 QAI720858:QAI720968 QKE720858:QKE720968 QUA720858:QUA720968 RDW720858:RDW720968 RNS720858:RNS720968 RXO720858:RXO720968 SHK720858:SHK720968 SRG720858:SRG720968 TBC720858:TBC720968 TKY720858:TKY720968 TUU720858:TUU720968 UEQ720858:UEQ720968 UOM720858:UOM720968 UYI720858:UYI720968 VIE720858:VIE720968 VSA720858:VSA720968 WBW720858:WBW720968 WLS720858:WLS720968 WVO720858:WVO720968 G786394:G786504 JC786394:JC786504 SY786394:SY786504 ACU786394:ACU786504 AMQ786394:AMQ786504 AWM786394:AWM786504 BGI786394:BGI786504 BQE786394:BQE786504 CAA786394:CAA786504 CJW786394:CJW786504 CTS786394:CTS786504 DDO786394:DDO786504 DNK786394:DNK786504 DXG786394:DXG786504 EHC786394:EHC786504 EQY786394:EQY786504 FAU786394:FAU786504 FKQ786394:FKQ786504 FUM786394:FUM786504 GEI786394:GEI786504 GOE786394:GOE786504 GYA786394:GYA786504 HHW786394:HHW786504 HRS786394:HRS786504 IBO786394:IBO786504 ILK786394:ILK786504 IVG786394:IVG786504 JFC786394:JFC786504 JOY786394:JOY786504 JYU786394:JYU786504 KIQ786394:KIQ786504 KSM786394:KSM786504 LCI786394:LCI786504 LME786394:LME786504 LWA786394:LWA786504 MFW786394:MFW786504 MPS786394:MPS786504 MZO786394:MZO786504 NJK786394:NJK786504 NTG786394:NTG786504 ODC786394:ODC786504 OMY786394:OMY786504 OWU786394:OWU786504 PGQ786394:PGQ786504 PQM786394:PQM786504 QAI786394:QAI786504 QKE786394:QKE786504 QUA786394:QUA786504 RDW786394:RDW786504 RNS786394:RNS786504 RXO786394:RXO786504 SHK786394:SHK786504 SRG786394:SRG786504 TBC786394:TBC786504 TKY786394:TKY786504 TUU786394:TUU786504 UEQ786394:UEQ786504 UOM786394:UOM786504 UYI786394:UYI786504 VIE786394:VIE786504 VSA786394:VSA786504 WBW786394:WBW786504 WLS786394:WLS786504 WVO786394:WVO786504 G851930:G852040 JC851930:JC852040 SY851930:SY852040 ACU851930:ACU852040 AMQ851930:AMQ852040 AWM851930:AWM852040 BGI851930:BGI852040 BQE851930:BQE852040 CAA851930:CAA852040 CJW851930:CJW852040 CTS851930:CTS852040 DDO851930:DDO852040 DNK851930:DNK852040 DXG851930:DXG852040 EHC851930:EHC852040 EQY851930:EQY852040 FAU851930:FAU852040 FKQ851930:FKQ852040 FUM851930:FUM852040 GEI851930:GEI852040 GOE851930:GOE852040 GYA851930:GYA852040 HHW851930:HHW852040 HRS851930:HRS852040 IBO851930:IBO852040 ILK851930:ILK852040 IVG851930:IVG852040 JFC851930:JFC852040 JOY851930:JOY852040 JYU851930:JYU852040 KIQ851930:KIQ852040 KSM851930:KSM852040 LCI851930:LCI852040 LME851930:LME852040 LWA851930:LWA852040 MFW851930:MFW852040 MPS851930:MPS852040 MZO851930:MZO852040 NJK851930:NJK852040 NTG851930:NTG852040 ODC851930:ODC852040 OMY851930:OMY852040 OWU851930:OWU852040 PGQ851930:PGQ852040 PQM851930:PQM852040 QAI851930:QAI852040 QKE851930:QKE852040 QUA851930:QUA852040 RDW851930:RDW852040 RNS851930:RNS852040 RXO851930:RXO852040 SHK851930:SHK852040 SRG851930:SRG852040 TBC851930:TBC852040 TKY851930:TKY852040 TUU851930:TUU852040 UEQ851930:UEQ852040 UOM851930:UOM852040 UYI851930:UYI852040 VIE851930:VIE852040 VSA851930:VSA852040 WBW851930:WBW852040 WLS851930:WLS852040 WVO851930:WVO852040 G917466:G917576 JC917466:JC917576 SY917466:SY917576 ACU917466:ACU917576 AMQ917466:AMQ917576 AWM917466:AWM917576 BGI917466:BGI917576 BQE917466:BQE917576 CAA917466:CAA917576 CJW917466:CJW917576 CTS917466:CTS917576 DDO917466:DDO917576 DNK917466:DNK917576 DXG917466:DXG917576 EHC917466:EHC917576 EQY917466:EQY917576 FAU917466:FAU917576 FKQ917466:FKQ917576 FUM917466:FUM917576 GEI917466:GEI917576 GOE917466:GOE917576 GYA917466:GYA917576 HHW917466:HHW917576 HRS917466:HRS917576 IBO917466:IBO917576 ILK917466:ILK917576 IVG917466:IVG917576 JFC917466:JFC917576 JOY917466:JOY917576 JYU917466:JYU917576 KIQ917466:KIQ917576 KSM917466:KSM917576 LCI917466:LCI917576 LME917466:LME917576 LWA917466:LWA917576 MFW917466:MFW917576 MPS917466:MPS917576 MZO917466:MZO917576 NJK917466:NJK917576 NTG917466:NTG917576 ODC917466:ODC917576 OMY917466:OMY917576 OWU917466:OWU917576 PGQ917466:PGQ917576 PQM917466:PQM917576 QAI917466:QAI917576 QKE917466:QKE917576 QUA917466:QUA917576 RDW917466:RDW917576 RNS917466:RNS917576 RXO917466:RXO917576 SHK917466:SHK917576 SRG917466:SRG917576 TBC917466:TBC917576 TKY917466:TKY917576 TUU917466:TUU917576 UEQ917466:UEQ917576 UOM917466:UOM917576 UYI917466:UYI917576 VIE917466:VIE917576 VSA917466:VSA917576 WBW917466:WBW917576 WLS917466:WLS917576 WVO917466:WVO917576 G983002:G983112 JC983002:JC983112 SY983002:SY983112 ACU983002:ACU983112 AMQ983002:AMQ983112 AWM983002:AWM983112 BGI983002:BGI983112 BQE983002:BQE983112 CAA983002:CAA983112 CJW983002:CJW983112 CTS983002:CTS983112 DDO983002:DDO983112 DNK983002:DNK983112 DXG983002:DXG983112 EHC983002:EHC983112 EQY983002:EQY983112 FAU983002:FAU983112 FKQ983002:FKQ983112 FUM983002:FUM983112 GEI983002:GEI983112 GOE983002:GOE983112 GYA983002:GYA983112 HHW983002:HHW983112 HRS983002:HRS983112 IBO983002:IBO983112 ILK983002:ILK983112 IVG983002:IVG983112 JFC983002:JFC983112 JOY983002:JOY983112 JYU983002:JYU983112 KIQ983002:KIQ983112 KSM983002:KSM983112 LCI983002:LCI983112 LME983002:LME983112 LWA983002:LWA983112 MFW983002:MFW983112 MPS983002:MPS983112 MZO983002:MZO983112 NJK983002:NJK983112 NTG983002:NTG983112 ODC983002:ODC983112 OMY983002:OMY983112 OWU983002:OWU983112 PGQ983002:PGQ983112 PQM983002:PQM983112 QAI983002:QAI983112 QKE983002:QKE983112 QUA983002:QUA983112 RDW983002:RDW983112 RNS983002:RNS983112 RXO983002:RXO983112 SHK983002:SHK983112 SRG983002:SRG983112 TBC983002:TBC983112 TKY983002:TKY983112 TUU983002:TUU983112 UEQ983002:UEQ983112 UOM983002:UOM983112 UYI983002:UYI983112 VIE983002:VIE983112 VSA983002:VSA983112 WBW983002:WBW983112 WLS983002:WLS983112 WVO983002:WVO983112 WVO11:WVO73 JC11:JC73 SY11:SY73 ACU11:ACU73 AMQ11:AMQ73 AWM11:AWM73 BGI11:BGI73 BQE11:BQE73 CAA11:CAA73 CJW11:CJW73 CTS11:CTS73 DDO11:DDO73 DNK11:DNK73 DXG11:DXG73 EHC11:EHC73 EQY11:EQY73 FAU11:FAU73 FKQ11:FKQ73 FUM11:FUM73 GEI11:GEI73 GOE11:GOE73 GYA11:GYA73 HHW11:HHW73 HRS11:HRS73 IBO11:IBO73 ILK11:ILK73 IVG11:IVG73 JFC11:JFC73 JOY11:JOY73 JYU11:JYU73 KIQ11:KIQ73 KSM11:KSM73 LCI11:LCI73 LME11:LME73 LWA11:LWA73 MFW11:MFW73 MPS11:MPS73 MZO11:MZO73 NJK11:NJK73 NTG11:NTG73 ODC11:ODC73 OMY11:OMY73 OWU11:OWU73 PGQ11:PGQ73 PQM11:PQM73 QAI11:QAI73 QKE11:QKE73 QUA11:QUA73 RDW11:RDW73 RNS11:RNS73 RXO11:RXO73 SHK11:SHK73 SRG11:SRG73 TBC11:TBC73 TKY11:TKY73 TUU11:TUU73 UEQ11:UEQ73 UOM11:UOM73 UYI11:UYI73 VIE11:VIE73 VSA11:VSA73 WBW11:WBW73 WLS11:WLS73 G11:G73" xr:uid="{00000000-0002-0000-0000-000000000000}">
      <formula1>"Y,NA"</formula1>
    </dataValidation>
  </dataValidations>
  <pageMargins left="0.7" right="0.7" top="0.75" bottom="0.75" header="0.3" footer="0.3"/>
  <pageSetup paperSize="9" scale="82" fitToHeight="0" orientation="portrait" r:id="rId1"/>
  <rowBreaks count="1" manualBreakCount="1">
    <brk id="49"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1</vt:i4>
      </vt:variant>
    </vt:vector>
  </HeadingPairs>
  <TitlesOfParts>
    <vt:vector size="4" baseType="lpstr">
      <vt:lpstr>2023개정사항</vt:lpstr>
      <vt:lpstr>8400</vt:lpstr>
      <vt:lpstr>공시사항점검표 목차(2023)</vt:lpstr>
      <vt:lpstr>'8400'!Print_Area</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강기창1</dc:creator>
  <cp:lastModifiedBy>BO IN</cp:lastModifiedBy>
  <cp:lastPrinted>2020-11-03T04:28:47Z</cp:lastPrinted>
  <dcterms:created xsi:type="dcterms:W3CDTF">2014-10-13T05:14:30Z</dcterms:created>
  <dcterms:modified xsi:type="dcterms:W3CDTF">2023-08-30T08:37:35Z</dcterms:modified>
</cp:coreProperties>
</file>