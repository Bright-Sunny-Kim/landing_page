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내 드라이브\Template\2018.10.18 감사조서서식\2. 일반기업회계기준-split\Section 8000 - 감사완결_Completion with FS\8110 분석적절차종결단계  (기준서 520)\"/>
    </mc:Choice>
  </mc:AlternateContent>
  <xr:revisionPtr revIDLastSave="0" documentId="13_ncr:1_{39ED7E1E-E0F6-4D9B-88E5-99B7F45B8BBA}" xr6:coauthVersionLast="38" xr6:coauthVersionMax="38" xr10:uidLastSave="{00000000-0000-0000-0000-000000000000}"/>
  <bookViews>
    <workbookView xWindow="0" yWindow="0" windowWidth="28800" windowHeight="12330" xr2:uid="{00000000-000D-0000-FFFF-FFFF00000000}"/>
  </bookViews>
  <sheets>
    <sheet name="8110A" sheetId="7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</externalReferences>
  <definedNames>
    <definedName name="_">#N/A</definedName>
    <definedName name="___EPS2">#REF!</definedName>
    <definedName name="__123Graph_D" hidden="1">[1]IS!#REF!</definedName>
    <definedName name="__123Graph_F" hidden="1">'[2]2600'!#REF!</definedName>
    <definedName name="__DAT14">#REF!</definedName>
    <definedName name="__DemandLoad">TRUE</definedName>
    <definedName name="__EPS2">#REF!</definedName>
    <definedName name="__G79999">#REF!</definedName>
    <definedName name="__G99998">[3]임대!#REF!</definedName>
    <definedName name="__G99999">#REF!</definedName>
    <definedName name="__IntlFixup" hidden="1">TRUE</definedName>
    <definedName name="__KEY2" hidden="1">#REF!</definedName>
    <definedName name="__N84081">#REF!</definedName>
    <definedName name="__N94081">#REF!</definedName>
    <definedName name="_10">#N/A</definedName>
    <definedName name="_100P4_">#N/A</definedName>
    <definedName name="_101P5_">#N/A</definedName>
    <definedName name="_102P6_">#N/A</definedName>
    <definedName name="_10320">#N/A</definedName>
    <definedName name="_103P7_">#N/A</definedName>
    <definedName name="_104s1_" hidden="1">{#N/A,#N/A,FALSE,"UNIT";#N/A,#N/A,FALSE,"UNIT";#N/A,#N/A,FALSE,"계정"}</definedName>
    <definedName name="_105s10_" hidden="1">{#N/A,#N/A,FALSE,"UNIT";#N/A,#N/A,FALSE,"UNIT";#N/A,#N/A,FALSE,"계정"}</definedName>
    <definedName name="_106s11_" hidden="1">{#N/A,#N/A,FALSE,"UNIT";#N/A,#N/A,FALSE,"UNIT";#N/A,#N/A,FALSE,"계정"}</definedName>
    <definedName name="_107s12_" hidden="1">{#N/A,#N/A,FALSE,"UNIT";#N/A,#N/A,FALSE,"UNIT";#N/A,#N/A,FALSE,"계정"}</definedName>
    <definedName name="_108s13_" hidden="1">{#N/A,#N/A,FALSE,"UNIT";#N/A,#N/A,FALSE,"UNIT";#N/A,#N/A,FALSE,"계정"}</definedName>
    <definedName name="_109s14_" hidden="1">{#N/A,#N/A,FALSE,"UNIT";#N/A,#N/A,FALSE,"UNIT";#N/A,#N/A,FALSE,"계정"}</definedName>
    <definedName name="_10B00__27__.DATABASEUPLOAD">#N/A</definedName>
    <definedName name="_10T1">#N/A</definedName>
    <definedName name="_10T2">#N/A</definedName>
    <definedName name="_110s16_" hidden="1">{#N/A,#N/A,FALSE,"UNIT";#N/A,#N/A,FALSE,"UNIT";#N/A,#N/A,FALSE,"계정"}</definedName>
    <definedName name="_111s17_" hidden="1">{#N/A,#N/A,FALSE,"UNIT";#N/A,#N/A,FALSE,"UNIT";#N/A,#N/A,FALSE,"계정"}</definedName>
    <definedName name="_112s2_" hidden="1">{#N/A,#N/A,FALSE,"UNIT";#N/A,#N/A,FALSE,"UNIT";#N/A,#N/A,FALSE,"계정"}</definedName>
    <definedName name="_113s3_" hidden="1">{#N/A,#N/A,FALSE,"UNIT";#N/A,#N/A,FALSE,"UNIT";#N/A,#N/A,FALSE,"계정"}</definedName>
    <definedName name="_114s4_" hidden="1">{#N/A,#N/A,FALSE,"UNIT";#N/A,#N/A,FALSE,"UNIT";#N/A,#N/A,FALSE,"계정"}</definedName>
    <definedName name="_115s5_" hidden="1">{#N/A,#N/A,FALSE,"UNIT";#N/A,#N/A,FALSE,"UNIT";#N/A,#N/A,FALSE,"계정"}</definedName>
    <definedName name="_116s6_" hidden="1">{#N/A,#N/A,FALSE,"UNIT";#N/A,#N/A,FALSE,"UNIT";#N/A,#N/A,FALSE,"계정"}</definedName>
    <definedName name="_117s9_" hidden="1">{#N/A,#N/A,FALSE,"UNIT";#N/A,#N/A,FALSE,"UNIT";#N/A,#N/A,FALSE,"계정"}</definedName>
    <definedName name="_118y23_">'[2]2500'!#REF!</definedName>
    <definedName name="_11B00__3__.DATABASEUPLOAD">#N/A</definedName>
    <definedName name="_12_31_97">#N/A</definedName>
    <definedName name="_12_31_98">#N/A</definedName>
    <definedName name="_12_31_99">#N/A</definedName>
    <definedName name="_12B00__4__.DATABASEUPLOAD">#N/A</definedName>
    <definedName name="_13B00__40__.DATABASEUPLOAD">#N/A</definedName>
    <definedName name="_14B00__44__.DATABASEUPLOAD">#N/A</definedName>
    <definedName name="_15A">#N/A</definedName>
    <definedName name="_15B00__45__.DATABASEUPLOAD">#N/A</definedName>
    <definedName name="_16B00__46__.DATABASEUPLOAD">#N/A</definedName>
    <definedName name="_17B00__48__.DATABASEUPLOAD">#N/A</definedName>
    <definedName name="_18B00__5__.DATABASEUPLOAD">#N/A</definedName>
    <definedName name="_1999_01_29">#N/A</definedName>
    <definedName name="_19B00__50__.DATABASEUPLOAD">#N/A</definedName>
    <definedName name="_1B">#N/A</definedName>
    <definedName name="_1B00__10__.DATABASEUPLOAD">#N/A</definedName>
    <definedName name="_1C">#N/A</definedName>
    <definedName name="_1D">#N/A</definedName>
    <definedName name="_1E">#N/A</definedName>
    <definedName name="_1F">#N/A</definedName>
    <definedName name="_1G">#N/A</definedName>
    <definedName name="_1H">#N/A</definedName>
    <definedName name="_1I">#N/A</definedName>
    <definedName name="_1J">#N/A</definedName>
    <definedName name="_1K">#N/A</definedName>
    <definedName name="_1S">#N/A</definedName>
    <definedName name="_2">#N/A</definedName>
    <definedName name="_2000년_하반기_계획">[1]IS!$J$7:$J$35</definedName>
    <definedName name="_20B00__51__.DATABASEUPLOAD">#N/A</definedName>
    <definedName name="_20T1">#N/A</definedName>
    <definedName name="_20T2">#N/A</definedName>
    <definedName name="_20세기상사">[2]INDEX!#REF!</definedName>
    <definedName name="_21B00__57__.DATABASEUPLOAD">#N/A</definedName>
    <definedName name="_22B00__6__.DATABASEUPLOAD">#N/A</definedName>
    <definedName name="_23B00__60__.DATABASEUPLOAD">#N/A</definedName>
    <definedName name="_24B00__61__.DATABASEUPLOAD">#N/A</definedName>
    <definedName name="_25B00__62__.DATABASEUPLOAD">#N/A</definedName>
    <definedName name="_26B00__7__.DATABASEUPLOAD">#N/A</definedName>
    <definedName name="_27B00__8__.DATABASEUPLOAD">#N/A</definedName>
    <definedName name="_28B00__9__.DATABASEUPLOAD">#N/A</definedName>
    <definedName name="_29C00__1__.DATABASEUPLOAD">#N/A</definedName>
    <definedName name="_2B00__11__.DATABASEUPLOAD">#N/A</definedName>
    <definedName name="_2S">#N/A</definedName>
    <definedName name="_3">#N/A</definedName>
    <definedName name="_30C00__12__.DATABASEUPLOAD">#N/A</definedName>
    <definedName name="_31C00__13__.DATABASEUPLOAD">#N/A</definedName>
    <definedName name="_32C00__14__.DATABASEUPLOAD">#N/A</definedName>
    <definedName name="_33C00__2__.DATABASEUPLOAD">#N/A</definedName>
    <definedName name="_34C00__20__.DATABASEUPLOAD">#N/A</definedName>
    <definedName name="_35C00__22__.DATABASEUPLOAD">#N/A</definedName>
    <definedName name="_36C00__5__.DATABASEUPLOAD">#N/A</definedName>
    <definedName name="_37C00__7__.DATABASEUPLOAD">#N/A</definedName>
    <definedName name="_38D00__1__.DATABASEUPLOAD">#N/A</definedName>
    <definedName name="_39D00__10__.DATABASEUPLOAD">#N/A</definedName>
    <definedName name="_3B00__16__.DATABASEUPLOAD">#N/A</definedName>
    <definedName name="_4">#N/A</definedName>
    <definedName name="_40D00__2__.DATABASEUPLOAD">#N/A</definedName>
    <definedName name="_40T1">#N/A</definedName>
    <definedName name="_40T2">#N/A</definedName>
    <definedName name="_41D00__7__.DATABASEUPLOAD">#N/A</definedName>
    <definedName name="_42D00__9__.DATABASEUPLOAD">#N/A</definedName>
    <definedName name="_43Module4_B001__.LOGIN">#N/A</definedName>
    <definedName name="_44Module4_B0017__.LOGIN">#N/A</definedName>
    <definedName name="_45Module4_B002__.LOGIN">#N/A</definedName>
    <definedName name="_46Module4_B0025__.LOGIN">#N/A</definedName>
    <definedName name="_47Module4_B0026__.LOGIN">#N/A</definedName>
    <definedName name="_48Module4_B0027__.LOGIN">#N/A</definedName>
    <definedName name="_49Module4_B003__.LOGIN">#N/A</definedName>
    <definedName name="_4B00__17__.DATABASEUPLOAD">#N/A</definedName>
    <definedName name="_5">#N/A</definedName>
    <definedName name="_50Module4_B004__.LOGIN">#N/A</definedName>
    <definedName name="_50T1">#N/A</definedName>
    <definedName name="_50T2">#N/A</definedName>
    <definedName name="_51Module4_B005__.LOGIN">#N/A</definedName>
    <definedName name="_52Module4_B006__.LOGIN">#N/A</definedName>
    <definedName name="_53Module4_B007__.LOGIN">#N/A</definedName>
    <definedName name="_54Module4_B008__.LOGIN">#N/A</definedName>
    <definedName name="_55Module4_B009__.LOGIN">#N/A</definedName>
    <definedName name="_56Module4_B010__.LOGIN">#N/A</definedName>
    <definedName name="_57Module4_B011__.LOGIN">#N/A</definedName>
    <definedName name="_58Module4_B016__.LOGIN">#N/A</definedName>
    <definedName name="_59Module4_B021__.LOGIN">#N/A</definedName>
    <definedName name="_5B00__2__.DATABASEUPLOAD">#N/A</definedName>
    <definedName name="_6">#N/A</definedName>
    <definedName name="_60Module4_B022__.LOGIN">#N/A</definedName>
    <definedName name="_60T1">#N/A</definedName>
    <definedName name="_60T2">#N/A</definedName>
    <definedName name="_61Module4_B038__.LOGIN">#N/A</definedName>
    <definedName name="_62Module4_B040__.LOGIN">#N/A</definedName>
    <definedName name="_63Module4_B044__.LOGIN">#N/A</definedName>
    <definedName name="_64Module4_B045__.LOGIN">#N/A</definedName>
    <definedName name="_65Module4_B046__.LOGIN">#N/A</definedName>
    <definedName name="_66Module4_B048__.LOGIN">#N/A</definedName>
    <definedName name="_67Module4_B050__.LOGIN">#N/A</definedName>
    <definedName name="_68Module4_B051__.LOGIN">#N/A</definedName>
    <definedName name="_69Module4_B057__.LOGIN">#N/A</definedName>
    <definedName name="_6B00__21__.DATABASEUPLOAD">#N/A</definedName>
    <definedName name="_7">#N/A</definedName>
    <definedName name="_70Module4_B060__.LOGIN">#N/A</definedName>
    <definedName name="_70T1">#N/A</definedName>
    <definedName name="_70T2">#N/A</definedName>
    <definedName name="_71Module4_C001__.LOGIN">#N/A</definedName>
    <definedName name="_72Module4_C002__.LOGIN">#N/A</definedName>
    <definedName name="_73Module4_C005__.LOGIN">#N/A</definedName>
    <definedName name="_74Module4_C007__.LOGIN">#N/A</definedName>
    <definedName name="_75Module4_C012__.LOGIN">#N/A</definedName>
    <definedName name="_76Module4_C013__.LOGIN">#N/A</definedName>
    <definedName name="_77">'[2]3100'!#REF!</definedName>
    <definedName name="_77Module4_C014__.LOGIN">#N/A</definedName>
    <definedName name="_78Module4_C020__.LOGIN">#N/A</definedName>
    <definedName name="_79Module4_D001__.LOGIN">#N/A</definedName>
    <definedName name="_7B00__22__.DATABASEUPLOAD">#N/A</definedName>
    <definedName name="_8">#N/A</definedName>
    <definedName name="_80Module4_D002__.LOGIN">#N/A</definedName>
    <definedName name="_81Module4_D007__.LOGIN">#N/A</definedName>
    <definedName name="_82Module4_D009__.LOGIN">#N/A</definedName>
    <definedName name="_83Module4_D010__.LOGIN">#N/A</definedName>
    <definedName name="_87_3__Crite">[2]INDEX!#REF!</definedName>
    <definedName name="_88_3__Criteria">[2]INDEX!#REF!</definedName>
    <definedName name="_89a1_">#N/A</definedName>
    <definedName name="_8B00__25__.DATABASEUPLOAD">#N/A</definedName>
    <definedName name="_9">#N/A</definedName>
    <definedName name="_90">#N/A</definedName>
    <definedName name="_90T1">#N/A</definedName>
    <definedName name="_90T2">#N/A</definedName>
    <definedName name="_91Database">#N/A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5G__Extr">[2]INDEX!#REF!</definedName>
    <definedName name="_96G__Extract">[2]INDEX!#REF!</definedName>
    <definedName name="_97H31285_">'[2]2500'!#REF!</definedName>
    <definedName name="_98p11_">#N/A</definedName>
    <definedName name="_99P3_">#N/A</definedName>
    <definedName name="_9B00__26__.DATABASEUPLOAD">#N/A</definedName>
    <definedName name="_A">'[2]3100'!#REF!</definedName>
    <definedName name="_AMO1">#N/A</definedName>
    <definedName name="_AMO2">#N/A</definedName>
    <definedName name="_AMO3">#N/A</definedName>
    <definedName name="_AMO4">#N/A</definedName>
    <definedName name="_AMO5">#N/A</definedName>
    <definedName name="_AMO6">#N/A</definedName>
    <definedName name="_AUD1">#N/A</definedName>
    <definedName name="_AUD2">#N/A</definedName>
    <definedName name="_AUD3">#N/A</definedName>
    <definedName name="_AUD4">#N/A</definedName>
    <definedName name="_B70000">#N/A</definedName>
    <definedName name="_C">[1]IS!#REF!</definedName>
    <definedName name="_DAT1">#N/A</definedName>
    <definedName name="_DAT11">'[2]2500'!#REF!</definedName>
    <definedName name="_DAT12">'[2]2500'!#REF!</definedName>
    <definedName name="_DAT14">#REF!</definedName>
    <definedName name="_DAT15">'[2]2500'!#REF!</definedName>
    <definedName name="_DAT16">'[2]2500'!#REF!</definedName>
    <definedName name="_DAT18">'[2]2500'!#REF!</definedName>
    <definedName name="_DAT19">'[2]2500'!#REF!</definedName>
    <definedName name="_DAT2">#N/A</definedName>
    <definedName name="_DAT26">'[2]2500'!#REF!</definedName>
    <definedName name="_DAT27">'[2]2500'!#REF!</definedName>
    <definedName name="_DAT28">'[2]2500'!#REF!</definedName>
    <definedName name="_DAT29">'[2]2500'!#REF!</definedName>
    <definedName name="_DAT3">#N/A</definedName>
    <definedName name="_DAT30">'[2]2500'!#REF!</definedName>
    <definedName name="_DAT31">'[2]2500'!#REF!</definedName>
    <definedName name="_DAT4">#N/A</definedName>
    <definedName name="_DAT49">'[2]2500'!#REF!</definedName>
    <definedName name="_DAT5">#N/A</definedName>
    <definedName name="_DAT50">'[2]2500'!#REF!</definedName>
    <definedName name="_DAT51">[2]INDEX!#REF!</definedName>
    <definedName name="_DAT52">[2]INDEX!#REF!</definedName>
    <definedName name="_DAT53">[2]INDEX!#REF!</definedName>
    <definedName name="_DAT54">[1]IS!$R$2:$R$245</definedName>
    <definedName name="_DAT55">[2]INDEX!#REF!</definedName>
    <definedName name="_DAT56">[2]INDEX!#REF!</definedName>
    <definedName name="_DAT6">#N/A</definedName>
    <definedName name="_DAT7">#N/A</definedName>
    <definedName name="_DAT8">#N/A</definedName>
    <definedName name="_DAT9">#N/A</definedName>
    <definedName name="_DEM1">#N/A</definedName>
    <definedName name="_DEM2">#N/A</definedName>
    <definedName name="_DEM3">#N/A</definedName>
    <definedName name="_DEM4">#N/A</definedName>
    <definedName name="_Dist_Bin" hidden="1">#N/A</definedName>
    <definedName name="_Dist_Values" hidden="1">#N/A</definedName>
    <definedName name="_EPS2">#REF!</definedName>
    <definedName name="_EUR2">#N/A</definedName>
    <definedName name="_EUR3">#N/A</definedName>
    <definedName name="_EUR4">#N/A</definedName>
    <definedName name="_Fill" hidden="1">#N/A</definedName>
    <definedName name="_xlnm._FilterDatabase" hidden="1">#N/A</definedName>
    <definedName name="_FRF1">#N/A</definedName>
    <definedName name="_FRF2">#N/A</definedName>
    <definedName name="_FRF3">#N/A</definedName>
    <definedName name="_FRF4">#N/A</definedName>
    <definedName name="_G79999">#REF!</definedName>
    <definedName name="_G99998">[3]임대!#REF!</definedName>
    <definedName name="_G99999">#REF!</definedName>
    <definedName name="_GBP1">#N/A</definedName>
    <definedName name="_GBP2">#N/A</definedName>
    <definedName name="_GBP3">#N/A</definedName>
    <definedName name="_GBP4">#N/A</definedName>
    <definedName name="_ITL1">#N/A</definedName>
    <definedName name="_ITL2">#N/A</definedName>
    <definedName name="_ITL3">#N/A</definedName>
    <definedName name="_ITL4">#N/A</definedName>
    <definedName name="_KDX3">[4]!_KDX3</definedName>
    <definedName name="_Key1" hidden="1">#N/A</definedName>
    <definedName name="_Key2" hidden="1">#N/A</definedName>
    <definedName name="_Key3" hidden="1">#REF!</definedName>
    <definedName name="_MatInverse_In" hidden="1">[1]IS!#REF!</definedName>
    <definedName name="_MatInverse_Out" hidden="1">'[2]2600'!#REF!</definedName>
    <definedName name="_MatMult_A" hidden="1">#N/A</definedName>
    <definedName name="_MatMult_AxB" hidden="1">#N/A</definedName>
    <definedName name="_MatMult_B" hidden="1">'[2]2600'!#REF!</definedName>
    <definedName name="_N84081">#REF!</definedName>
    <definedName name="_N94081">#REF!</definedName>
    <definedName name="_NMB96">#REF!</definedName>
    <definedName name="_Order1" hidden="1">255</definedName>
    <definedName name="_Order2" hidden="1">255</definedName>
    <definedName name="_P">#N/A</definedName>
    <definedName name="_Parse_In" hidden="1">#N/A</definedName>
    <definedName name="_Parse_Out" hidden="1">#N/A</definedName>
    <definedName name="_PRI1">#N/A</definedName>
    <definedName name="_PRI2">#N/A</definedName>
    <definedName name="_PRI3">#N/A</definedName>
    <definedName name="_PRI4">#N/A</definedName>
    <definedName name="_PRI5">#N/A</definedName>
    <definedName name="_PRI6">#N/A</definedName>
    <definedName name="_qs2">#N/A</definedName>
    <definedName name="_QTY1">#N/A</definedName>
    <definedName name="_QTY2">#N/A</definedName>
    <definedName name="_QTY3">#N/A</definedName>
    <definedName name="_QTY4">#N/A</definedName>
    <definedName name="_QTY5">#N/A</definedName>
    <definedName name="_QTY6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_tot12">#N/A</definedName>
    <definedName name="_tot13">#N/A</definedName>
    <definedName name="_tot2">#N/A</definedName>
    <definedName name="_USD2">#N/A</definedName>
    <definedName name="_USD3">#N/A</definedName>
    <definedName name="_USD4">#N/A</definedName>
    <definedName name="_VAL1">#N/A</definedName>
    <definedName name="\0">#N/A</definedName>
    <definedName name="\a">#N/A</definedName>
    <definedName name="\B">#N/A</definedName>
    <definedName name="\c">#REF!</definedName>
    <definedName name="\d">#N/A</definedName>
    <definedName name="\e">#N/A</definedName>
    <definedName name="\f">#N/A</definedName>
    <definedName name="\g">#N/A</definedName>
    <definedName name="\h">#N/A</definedName>
    <definedName name="\i">#N/A</definedName>
    <definedName name="\j">'[2]2600'!#REF!</definedName>
    <definedName name="\k">'[2]2600'!#REF!</definedName>
    <definedName name="\l">'[2]2600'!#REF!</definedName>
    <definedName name="\n">[1]IS!#REF!</definedName>
    <definedName name="\p">#N/A</definedName>
    <definedName name="\q">[2]INDEX!#REF!</definedName>
    <definedName name="\r">#N/A</definedName>
    <definedName name="\t">'[2]2500'!#REF!</definedName>
    <definedName name="\w">'[2]2500'!#REF!</definedName>
    <definedName name="\x">[2]INDEX!#REF!</definedName>
    <definedName name="\z">#N/A</definedName>
    <definedName name="※">[5]회사정보!#REF!</definedName>
    <definedName name="A">#N/A</definedName>
    <definedName name="a_range">#N/A</definedName>
    <definedName name="A¶E¸AOE­¸e">#N/A</definedName>
    <definedName name="AA">[4]!prt6bn46bt82</definedName>
    <definedName name="AAA">#REF!</definedName>
    <definedName name="aaaa">[4]!aaaa</definedName>
    <definedName name="aaaaa">[4]!aaaaa</definedName>
    <definedName name="aaaaaa">[4]!aaaaaa</definedName>
    <definedName name="Aas" hidden="1">{#N/A,#N/A,FALSE,"을지 (4)";#N/A,#N/A,FALSE,"을지 (5)";#N/A,#N/A,FALSE,"을지 (6)"}</definedName>
    <definedName name="AB">[4]!PRT6BN5BT41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BS_원부_약정">#N/A</definedName>
    <definedName name="AC">[4]!prt6bv7cc30</definedName>
    <definedName name="acc">#N/A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ccount_Balance">#N/A</definedName>
    <definedName name="acete">[2]INDEX!#REF!</definedName>
    <definedName name="ACTUAL">#N/A</definedName>
    <definedName name="adff">'[2]3100'!#REF!</definedName>
    <definedName name="aewr">'[2]2500'!#REF!</definedName>
    <definedName name="Afalon_WP_200g">[2]INDEX!#REF!</definedName>
    <definedName name="Afugan_EC_500ml">[2]INDEX!#REF!</definedName>
    <definedName name="AICPA">[6]Scoping!$M$11</definedName>
    <definedName name="AJE_BS">#N/A</definedName>
    <definedName name="AJE_IS">#N/A</definedName>
    <definedName name="AJE_RE">#N/A</definedName>
    <definedName name="aje확정">#N/A</definedName>
    <definedName name="all">'[2]2500'!#REF!</definedName>
    <definedName name="ALㅓ머" hidden="1">{#N/A,#N/A,FALSE,"UNIT";#N/A,#N/A,FALSE,"UNIT";#N/A,#N/A,FALSE,"계정"}</definedName>
    <definedName name="AR">[2]INDEX!#REF!</definedName>
    <definedName name="AREW">'[2]2500'!#REF!</definedName>
    <definedName name="AS2DocOpenMode" hidden="1">"AS2DocumentEdit"</definedName>
    <definedName name="AS2ReportLS" hidden="1">1</definedName>
    <definedName name="AS2SyncStepLS" hidden="1">0</definedName>
    <definedName name="AS2TickmarkLS" hidden="1">[1]IS!A1</definedName>
    <definedName name="AS2VersionLS" hidden="1">300</definedName>
    <definedName name="ASAS">[4]!ASAS</definedName>
    <definedName name="asc">#N/A</definedName>
    <definedName name="asd">[4]!asd</definedName>
    <definedName name="asdf">[4]!asdf</definedName>
    <definedName name="asdfg">[4]!asdfg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g">#N/A</definedName>
    <definedName name="ASS" hidden="1">{#N/A,#N/A,FALSE,"을지 (4)";#N/A,#N/A,FALSE,"을지 (5)";#N/A,#N/A,FALSE,"을지 (6)"}</definedName>
    <definedName name="asxz">[4]!asxz</definedName>
    <definedName name="AS수수료">'[2]1300'!#REF!</definedName>
    <definedName name="atoSL">[2]INDEX!#REF!</definedName>
    <definedName name="audit_button2_click">[4]!audit_button2_click</definedName>
    <definedName name="aut">'[2]2500'!#REF!</definedName>
    <definedName name="avg">1290.79</definedName>
    <definedName name="avg_interest">[1]BS!#REF!</definedName>
    <definedName name="AWE">#N/A</definedName>
    <definedName name="ax">#N/A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az">#N/A</definedName>
    <definedName name="b">[2]INDEX!#REF!</definedName>
    <definedName name="B_10">#N/A</definedName>
    <definedName name="B_20">#N/A</definedName>
    <definedName name="B_40">#N/A</definedName>
    <definedName name="B_50">#N/A</definedName>
    <definedName name="B_60">#N/A</definedName>
    <definedName name="B_70">#N/A</definedName>
    <definedName name="B_9_WP_100g">[2]INDEX!#REF!</definedName>
    <definedName name="B_90">#N/A</definedName>
    <definedName name="B_JEMU">#N/A</definedName>
    <definedName name="b_range">#N/A</definedName>
    <definedName name="B_TOTAL">#N/A</definedName>
    <definedName name="B_TOTALT">#N/A</definedName>
    <definedName name="B00.DATABASEUPLOAD">#N/A</definedName>
    <definedName name="BackTo">[4]!BackTo</definedName>
    <definedName name="Basta_SL_300ml">[2]INDEX!#REF!</definedName>
    <definedName name="Basta_SL_500ml">[2]INDEX!#REF!</definedName>
    <definedName name="BB">[4]!BB</definedName>
    <definedName name="BBB">#N/A</definedName>
    <definedName name="bbbb">[4]!bbbb</definedName>
    <definedName name="bbbbb">[4]!bbbbb</definedName>
    <definedName name="bcrclcl100rt">'[2]2500'!#REF!</definedName>
    <definedName name="bcrclcl100rtrkrk">'[2]2500'!#REF!</definedName>
    <definedName name="Befran_P_800g">[2]INDEX!#REF!</definedName>
    <definedName name="Befran_SL_500ml">[2]INDEX!#REF!</definedName>
    <definedName name="Bellkute_WP_250g">[2]INDEX!#REF!</definedName>
    <definedName name="BG_Del" hidden="1">15</definedName>
    <definedName name="BG_Ins" hidden="1">4</definedName>
    <definedName name="BG_Mod" hidden="1">6</definedName>
    <definedName name="BO">#N/A</definedName>
    <definedName name="book">[4]!book</definedName>
    <definedName name="book1" hidden="1">{#N/A,#N/A,FALSE,"UNIT";#N/A,#N/A,FALSE,"UNIT";#N/A,#N/A,FALSE,"계정"}</definedName>
    <definedName name="book2">[4]!book2</definedName>
    <definedName name="book3">[4]!book3</definedName>
    <definedName name="BP_EC_500ml">[2]INDEX!#REF!</definedName>
    <definedName name="BP_EC_5L">[2]INDEX!#REF!</definedName>
    <definedName name="BS_T">#N/A</definedName>
    <definedName name="bsNote">[4]!bsNote</definedName>
    <definedName name="btn">[4]!btn</definedName>
    <definedName name="btnClose">[4]!btnClose</definedName>
    <definedName name="btnFootNoting">[4]!btnFootNoting</definedName>
    <definedName name="btnNext">[4]!btnNext</definedName>
    <definedName name="btnnnnn">[4]!btnnnnn</definedName>
    <definedName name="btnOK">[4]!btnOK</definedName>
    <definedName name="btnPrevious">[4]!btnPrevious</definedName>
    <definedName name="btnr">[4]!btnr</definedName>
    <definedName name="btnReturn">[4]!btnReturn</definedName>
    <definedName name="Bust">#N/A</definedName>
    <definedName name="buta">[2]INDEX!#REF!</definedName>
    <definedName name="Button2_누르기">#N/A</definedName>
    <definedName name="C_">'[2]2500'!#REF!</definedName>
    <definedName name="C_RANGE">#N/A</definedName>
    <definedName name="Carpinda_GR_2kg">[2]INDEX!#REF!</definedName>
    <definedName name="CASE">#N/A</definedName>
    <definedName name="cash">[4]!cash</definedName>
    <definedName name="cash1">[4]!cash1</definedName>
    <definedName name="CashFlow_Button1_Click">[4]!CashFlow_Button1_Click</definedName>
    <definedName name="cashIndex">[4]!cashIndex</definedName>
    <definedName name="CASHM">[4]!CASHM</definedName>
    <definedName name="cc">[4]!cc</definedName>
    <definedName name="cc0" hidden="1">{"'5국공정'!$A$1:$E$128"}</definedName>
    <definedName name="cccccccccccccccccccccc">[4]!cccccccccccccccccccccc</definedName>
    <definedName name="CDS">'[2]3100'!#REF!</definedName>
    <definedName name="CENTA">#N/A</definedName>
    <definedName name="CENTA1">#N/A</definedName>
    <definedName name="CF02기초" hidden="1">{#N/A,#N/A,TRUE,"Summary";#N/A,#N/A,TRUE,"IS";#N/A,#N/A,TRUE,"Adj";#N/A,#N/A,TRUE,"BS";#N/A,#N/A,TRUE,"CF";#N/A,#N/A,TRUE,"Debt";#N/A,#N/A,TRUE,"IRR"}</definedName>
    <definedName name="cfclear" hidden="1">{#N/A,#N/A,FALSE,"BS";#N/A,#N/A,FALSE,"PL";#N/A,#N/A,FALSE,"처분";#N/A,#N/A,FALSE,"현금";#N/A,#N/A,FALSE,"매출";#N/A,#N/A,FALSE,"원가";#N/A,#N/A,FALSE,"경영"}</definedName>
    <definedName name="chang" hidden="1">{#N/A,#N/A,FALSE,"을지 (4)";#N/A,#N/A,FALSE,"을지 (5)";#N/A,#N/A,FALSE,"을지 (6)"}</definedName>
    <definedName name="CHAREM">#N/A</definedName>
    <definedName name="Chart_Draw">[7]!Chart_Draw</definedName>
    <definedName name="CHASUM">#N/A</definedName>
    <definedName name="check">#N/A</definedName>
    <definedName name="CHECK1">#N/A</definedName>
    <definedName name="check2">#N/A</definedName>
    <definedName name="CHECK3">#N/A</definedName>
    <definedName name="check4">#N/A</definedName>
    <definedName name="check5">#N/A</definedName>
    <definedName name="Cidial_Dp_12kg">[2]INDEX!#REF!</definedName>
    <definedName name="Cidial_EC_500ml">[2]INDEX!#REF!</definedName>
    <definedName name="Cidial_EC_5L">[2]INDEX!#REF!</definedName>
    <definedName name="cnyRate">126.12</definedName>
    <definedName name="co">#N/A</definedName>
    <definedName name="con">'[2]2500'!#REF!</definedName>
    <definedName name="conb1">#N/A</definedName>
    <definedName name="conb10">#N/A</definedName>
    <definedName name="conb100">#N/A</definedName>
    <definedName name="conb101">#N/A</definedName>
    <definedName name="conb102">#N/A</definedName>
    <definedName name="conb103">#N/A</definedName>
    <definedName name="conb104">#N/A</definedName>
    <definedName name="conb105">#N/A</definedName>
    <definedName name="conb106">#N/A</definedName>
    <definedName name="conb107">#N/A</definedName>
    <definedName name="conb108">#N/A</definedName>
    <definedName name="conb109">#N/A</definedName>
    <definedName name="conb11">#N/A</definedName>
    <definedName name="conb110">#N/A</definedName>
    <definedName name="conb111">#N/A</definedName>
    <definedName name="conb112">#N/A</definedName>
    <definedName name="conb113">#N/A</definedName>
    <definedName name="conb114">#N/A</definedName>
    <definedName name="conb115">#N/A</definedName>
    <definedName name="conb116">#N/A</definedName>
    <definedName name="conb117">#N/A</definedName>
    <definedName name="conb118">#N/A</definedName>
    <definedName name="conb119">#N/A</definedName>
    <definedName name="conb12">#N/A</definedName>
    <definedName name="conb120">#N/A</definedName>
    <definedName name="conb121">#N/A</definedName>
    <definedName name="conb13">#N/A</definedName>
    <definedName name="conb14">#N/A</definedName>
    <definedName name="conb15">#N/A</definedName>
    <definedName name="conb16">#N/A</definedName>
    <definedName name="conb17">#N/A</definedName>
    <definedName name="conb18">#N/A</definedName>
    <definedName name="conb19">#N/A</definedName>
    <definedName name="conb2">#N/A</definedName>
    <definedName name="conb20">#N/A</definedName>
    <definedName name="conb21">#N/A</definedName>
    <definedName name="conb22">#N/A</definedName>
    <definedName name="conb23">#N/A</definedName>
    <definedName name="conb24">#N/A</definedName>
    <definedName name="conb25">#N/A</definedName>
    <definedName name="conb26">#N/A</definedName>
    <definedName name="conb27">#N/A</definedName>
    <definedName name="conb28">#N/A</definedName>
    <definedName name="conb29">#N/A</definedName>
    <definedName name="conb3">#N/A</definedName>
    <definedName name="conb30">#N/A</definedName>
    <definedName name="conb31">#N/A</definedName>
    <definedName name="conb33">#N/A</definedName>
    <definedName name="conb34">#N/A</definedName>
    <definedName name="conb36">#N/A</definedName>
    <definedName name="conb37">#N/A</definedName>
    <definedName name="conb38">#N/A</definedName>
    <definedName name="conb39">#N/A</definedName>
    <definedName name="conb4">#N/A</definedName>
    <definedName name="conb40">#N/A</definedName>
    <definedName name="conb41">#N/A</definedName>
    <definedName name="conb42">#N/A</definedName>
    <definedName name="conb43">#N/A</definedName>
    <definedName name="conb44">#N/A</definedName>
    <definedName name="conb45">#N/A</definedName>
    <definedName name="conb46">#N/A</definedName>
    <definedName name="conb47">#N/A</definedName>
    <definedName name="conb48">#N/A</definedName>
    <definedName name="conb49">#N/A</definedName>
    <definedName name="conb5">#N/A</definedName>
    <definedName name="conb50">#N/A</definedName>
    <definedName name="conb51">#N/A</definedName>
    <definedName name="conb52">#N/A</definedName>
    <definedName name="conb53">#N/A</definedName>
    <definedName name="conb54">#N/A</definedName>
    <definedName name="conb55">#N/A</definedName>
    <definedName name="conb58">#N/A</definedName>
    <definedName name="conb59">#N/A</definedName>
    <definedName name="conb6">#N/A</definedName>
    <definedName name="conb60">#N/A</definedName>
    <definedName name="conb61">#N/A</definedName>
    <definedName name="conb62">#N/A</definedName>
    <definedName name="conb63">#N/A</definedName>
    <definedName name="conb64">#N/A</definedName>
    <definedName name="conb65">#N/A</definedName>
    <definedName name="conb66">#N/A</definedName>
    <definedName name="conb67">#N/A</definedName>
    <definedName name="conb68">#N/A</definedName>
    <definedName name="conb69">#N/A</definedName>
    <definedName name="conb7">#N/A</definedName>
    <definedName name="conb70">#N/A</definedName>
    <definedName name="conb71">#N/A</definedName>
    <definedName name="conb72">#N/A</definedName>
    <definedName name="conb73">#N/A</definedName>
    <definedName name="conb74">#N/A</definedName>
    <definedName name="conb75">#N/A</definedName>
    <definedName name="conb76">#N/A</definedName>
    <definedName name="conb77">#N/A</definedName>
    <definedName name="conb78">#N/A</definedName>
    <definedName name="conb79">#N/A</definedName>
    <definedName name="conb8">#N/A</definedName>
    <definedName name="conb80">#N/A</definedName>
    <definedName name="conb81">#N/A</definedName>
    <definedName name="conb82">#N/A</definedName>
    <definedName name="conb83">#N/A</definedName>
    <definedName name="conb84">#N/A</definedName>
    <definedName name="conb85">#N/A</definedName>
    <definedName name="conb86">#N/A</definedName>
    <definedName name="conb87">#N/A</definedName>
    <definedName name="conb88">#N/A</definedName>
    <definedName name="conb89">#N/A</definedName>
    <definedName name="conb9">#N/A</definedName>
    <definedName name="conb90">#N/A</definedName>
    <definedName name="conb91">#N/A</definedName>
    <definedName name="conb92">#N/A</definedName>
    <definedName name="conb93">#N/A</definedName>
    <definedName name="conb94">#N/A</definedName>
    <definedName name="conb95">#N/A</definedName>
    <definedName name="conb96">#N/A</definedName>
    <definedName name="conb97">#N/A</definedName>
    <definedName name="conb98">#N/A</definedName>
    <definedName name="conb99">#N/A</definedName>
    <definedName name="Conidor__DC_4L">[2]INDEX!#REF!</definedName>
    <definedName name="Conidor_AL_400ml">[2]INDEX!#REF!</definedName>
    <definedName name="Conidor_SC_250ml">[2]INDEX!#REF!</definedName>
    <definedName name="Conidor_SL_20L">[2]INDEX!#REF!</definedName>
    <definedName name="Conidor_SL_250ml">[2]INDEX!#REF!</definedName>
    <definedName name="coniSL300">[2]INDEX!#REF!</definedName>
    <definedName name="Continue">#N/A</definedName>
    <definedName name="ControlType">[8]Scoping!$M$25</definedName>
    <definedName name="Coring_SL__500ml">[2]INDEX!#REF!</definedName>
    <definedName name="Cornido_GR_1kg">[2]INDEX!#REF!</definedName>
    <definedName name="COSTRATE">[1]IS!$R$2:$R$691</definedName>
    <definedName name="CPT13VM">#N/A</definedName>
    <definedName name="_xlnm.Criteria">#N/A</definedName>
    <definedName name="Criteria_MI">#N/A</definedName>
    <definedName name="Critical_Component">#REF!</definedName>
    <definedName name="CY_Accounts_Receivable">#N/A</definedName>
    <definedName name="CY_Cash_Div_Dec">'[2]2600'!#REF!</definedName>
    <definedName name="CY_Current_Liabilities">'[9]Balance Sheet'!#REF!</definedName>
    <definedName name="CY_Depreciation">'[2]2600'!#REF!</definedName>
    <definedName name="CY_Intangible_Assets">'[9]Balance Sheet'!#REF!</definedName>
    <definedName name="CY_Interest_Expense">'[9]Income Statement'!#REF!</definedName>
    <definedName name="CY_Market_Value_of_Equity">'[2]2600'!#REF!</definedName>
    <definedName name="CY_Marketable_Sec">'[9]Balance Sheet'!#REF!</definedName>
    <definedName name="CY_Other">'[2]2600'!#REF!</definedName>
    <definedName name="CY_Other_Curr_Assets">#N/A</definedName>
    <definedName name="CY_Other_LT_Assets">#N/A</definedName>
    <definedName name="CY_Other_LT_Liabilities">#N/A</definedName>
    <definedName name="CY_Selling">'[2]2600'!#REF!</definedName>
    <definedName name="CY_Tangible_Net_Worth">'[2]2600'!#REF!</definedName>
    <definedName name="CY_Taxes">'[9]Income Statement'!#REF!</definedName>
    <definedName name="CY_TOTAL_ASSETS">#N/A</definedName>
    <definedName name="CY_Weighted_Average">'[2]2600'!#REF!</definedName>
    <definedName name="CY_Working_Capital">'[2]2600'!#REF!</definedName>
    <definedName name="CY_단기차입금">#N/A</definedName>
    <definedName name="CY_매입채무">#N/A</definedName>
    <definedName name="CY_사채">#N/A</definedName>
    <definedName name="CY_유동성장기부채">#N/A</definedName>
    <definedName name="CY_장기차입금">#N/A</definedName>
    <definedName name="d">#N/A</definedName>
    <definedName name="DAEREM">#N/A</definedName>
    <definedName name="DAESUM">#N/A</definedName>
    <definedName name="DANGA">'[2]2500'!$D$19:$D$19,'[2]2500'!$F$19:$BD$19</definedName>
    <definedName name="Data_Process">[10]!Data_Process</definedName>
    <definedName name="_xlnm.Database">'[11]이자비용 (2)'!$A$1:$P$3</definedName>
    <definedName name="Database_MI">#N/A</definedName>
    <definedName name="DATABASE1" hidden="1">#REF!</definedName>
    <definedName name="day">#N/A</definedName>
    <definedName name="DayFix">[4]!DayFix</definedName>
    <definedName name="DayFix1">[4]!DayFix1</definedName>
    <definedName name="DC">[2]INDEX!#REF!</definedName>
    <definedName name="DCS">#N/A</definedName>
    <definedName name="DD">#N/A</definedName>
    <definedName name="DD_Curr">[12]Currency!$C$3</definedName>
    <definedName name="ddd">[4]!ddd</definedName>
    <definedName name="dddd" hidden="1">{#N/A,#N/A,FALSE,"UNIT";#N/A,#N/A,FALSE,"UNIT";#N/A,#N/A,FALSE,"계정"}</definedName>
    <definedName name="dddddddd" hidden="1">{"'5국공정'!$A$1:$E$128"}</definedName>
    <definedName name="DDE">'[2]2500'!#REF!</definedName>
    <definedName name="DDS" hidden="1">{#N/A,#N/A,FALSE,"을지 (4)";#N/A,#N/A,FALSE,"을지 (5)";#N/A,#N/A,FALSE,"을지 (6)"}</definedName>
    <definedName name="dek">'[2]2500'!#REF!</definedName>
    <definedName name="DELETE">[13]!DELETE</definedName>
    <definedName name="DEP">[2]INDEX!#REF!</definedName>
    <definedName name="DesiredEvidence">'[6]Drop down'!$I$6:$I$9</definedName>
    <definedName name="dfdg">'[2]3100'!#REF!</definedName>
    <definedName name="dffg">#N/A</definedName>
    <definedName name="dfgh">#N/A</definedName>
    <definedName name="dg">[4]!BlankMacro1</definedName>
    <definedName name="Difference">#N/A</definedName>
    <definedName name="Disposal">#N/A</definedName>
    <definedName name="djdjdjdjdjd">#N/A</definedName>
    <definedName name="djksl">[2]INDEX!#REF!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">[4]!DKD</definedName>
    <definedName name="dkdkd" hidden="1">{#N/A,#N/A,FALSE,"UNIT";#N/A,#N/A,FALSE,"UNIT";#N/A,#N/A,FALSE,"계정"}</definedName>
    <definedName name="dkslqjfTj">BlankMacro1</definedName>
    <definedName name="DLRJ">'[2]3100'!#REF!</definedName>
    <definedName name="Documents_array">#N/A</definedName>
    <definedName name="DOM">[4]!DOM</definedName>
    <definedName name="DOMUSAGER">[4]!DOMUSAGER</definedName>
    <definedName name="DOMUSA저장">[4]!DOMUSA저장</definedName>
    <definedName name="DOM전장">[4]!DOM전장</definedName>
    <definedName name="don">[14]!don</definedName>
    <definedName name="Dreada_WP_100g">[2]INDEX!#REF!</definedName>
    <definedName name="drt">#N/A</definedName>
    <definedName name="drtu">#N/A</definedName>
    <definedName name="DS">[2]INDEX!#REF!</definedName>
    <definedName name="DSA" hidden="1">{#N/A,#N/A,FALSE,"을지 (4)";#N/A,#N/A,FALSE,"을지 (5)";#N/A,#N/A,FALSE,"을지 (6)"}</definedName>
    <definedName name="dsasf">#N/A</definedName>
    <definedName name="dsdf" hidden="1">{#N/A,#N/A,TRUE,"Summary";#N/A,#N/A,TRUE,"IS";#N/A,#N/A,TRUE,"Adj";#N/A,#N/A,TRUE,"BS";#N/A,#N/A,TRUE,"CF";#N/A,#N/A,TRUE,"Debt";#N/A,#N/A,TRUE,"IRR"}</definedName>
    <definedName name="dsf">#N/A</definedName>
    <definedName name="DSFDSF">[4]!DSFDSF</definedName>
    <definedName name="dusruf">#N/A</definedName>
    <definedName name="dustj">'[2]3100'!#REF!</definedName>
    <definedName name="dwfff">'[2]2500'!#REF!</definedName>
    <definedName name="E">#N/A</definedName>
    <definedName name="EE">'[2]2500'!#REF!</definedName>
    <definedName name="EEE">'[2]2500'!#REF!</definedName>
    <definedName name="eeee">#N/A</definedName>
    <definedName name="efrt">#N/A</definedName>
    <definedName name="ehj">#N/A</definedName>
    <definedName name="ejkw">[2]INDEX!#REF!</definedName>
    <definedName name="eot">BlankMacro1</definedName>
    <definedName name="EPN_EC_500ml">[2]INDEX!#REF!</definedName>
    <definedName name="EPS">#REF!</definedName>
    <definedName name="ER">#N/A</definedName>
    <definedName name="Err_Box_AddSamp">'[12]Non-Statistical Sampling'!$AR$6</definedName>
    <definedName name="Err_Box_Rej">'[12]Non-Statistical Sampling'!$AR$5</definedName>
    <definedName name="Err_CellComments">'[12]Non-Statistical Sampling'!$AJ$13</definedName>
    <definedName name="Err_SampErr">'[12]Non-Statistical Sampling'!$AK$15</definedName>
    <definedName name="erre">[4]!erre</definedName>
    <definedName name="ErrName533424019">[1]BS!#REF!</definedName>
    <definedName name="EssOptions">"110000000001000_"</definedName>
    <definedName name="Eufa_M_WP_200g">[2]INDEX!#REF!</definedName>
    <definedName name="eurRate">1422.96</definedName>
    <definedName name="euwjf">'[2]2500'!#REF!</definedName>
    <definedName name="Eval_btn_Ans">'[12]Non-Statistical Sampling'!$AR$12</definedName>
    <definedName name="Eval_MR">'[12]Non-Statistical Sampling'!$Y$20</definedName>
    <definedName name="ewa">'[2]2500'!#REF!</definedName>
    <definedName name="ewef">#N/A</definedName>
    <definedName name="ewq">'[2]2600'!#REF!</definedName>
    <definedName name="ewr">#N/A</definedName>
    <definedName name="eww">'[2]2600'!#REF!</definedName>
    <definedName name="ewwef">#N/A</definedName>
    <definedName name="Expected_balance">#N/A</definedName>
    <definedName name="_xlnm.Extract">#N/A</definedName>
    <definedName name="Extract_MI">#N/A</definedName>
    <definedName name="F">'[2]2500'!#REF!</definedName>
    <definedName name="F_123">[4]!F_123</definedName>
    <definedName name="fa">[4]!fa</definedName>
    <definedName name="faf">[4]!faf</definedName>
    <definedName name="fafa">[4]!fafa</definedName>
    <definedName name="FA증감">'[2]3250'!#REF!</definedName>
    <definedName name="FC">[2]INDEX!#REF!</definedName>
    <definedName name="FDS">#N/A</definedName>
    <definedName name="fdsa">'[2]2600'!#REF!</definedName>
    <definedName name="fdsww">'[2]3100'!#REF!</definedName>
    <definedName name="fdwwr">[2]INDEX!#REF!</definedName>
    <definedName name="FE">'[2]2500'!#REF!</definedName>
    <definedName name="fed">'[2]2500'!#REF!</definedName>
    <definedName name="few">'[2]3100'!#REF!</definedName>
    <definedName name="fff">#N/A</definedName>
    <definedName name="fffffff">[4]!fffffff</definedName>
    <definedName name="FG">#N/A</definedName>
    <definedName name="FG46TBTB4RTDKDK">#N/A</definedName>
    <definedName name="fgh">'[2]2500'!#REF!</definedName>
    <definedName name="fghgfjk">[4]!fghgfjk</definedName>
    <definedName name="fgyi">#N/A</definedName>
    <definedName name="FINAL_FS">[4]!FINAL_FS</definedName>
    <definedName name="finalReport">[4]!finalReport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hidden="1">{#N/A,#N/A,FALSE,"을지 (4)";#N/A,#N/A,FALSE,"을지 (5)";#N/A,#N/A,FALSE,"을지 (6)"}</definedName>
    <definedName name="fjdi0s" hidden="1">#N/A</definedName>
    <definedName name="fjds">#N/A</definedName>
    <definedName name="fjei">#N/A</definedName>
    <definedName name="fjid">#N/A</definedName>
    <definedName name="fjkdls">#N/A</definedName>
    <definedName name="fjksl">#N/A</definedName>
    <definedName name="Folpet_WP_500g">[2]INDEX!#REF!</definedName>
    <definedName name="FourQuarterMovingAvg">#N/A</definedName>
    <definedName name="freer">'[2]2500'!#REF!</definedName>
    <definedName name="Frequency">'[6]Drop down'!$C$6:$C$13</definedName>
    <definedName name="FS">[2]INDEX!#REF!</definedName>
    <definedName name="fty">#N/A</definedName>
    <definedName name="ftyy">'[2]2500'!#REF!</definedName>
    <definedName name="fwwr">#N/A</definedName>
    <definedName name="fyu">#N/A</definedName>
    <definedName name="G">[2]INDEX!#REF!</definedName>
    <definedName name="g_range">'[2]3100'!#REF!</definedName>
    <definedName name="GA">'[2]2500'!#REF!</definedName>
    <definedName name="gaa">[4]!gaa</definedName>
    <definedName name="Gardian_WP_100g">[2]INDEX!#REF!</definedName>
    <definedName name="Gaucho_WP_50g">[2]INDEX!#REF!</definedName>
    <definedName name="GB">#N/A</definedName>
    <definedName name="gd">'[2]2500'!#REF!</definedName>
    <definedName name="gdafd">#N/A</definedName>
    <definedName name="gdfh">[4]!gdfh</definedName>
    <definedName name="gds">#N/A</definedName>
    <definedName name="GDSA">'[2]2500'!#REF!</definedName>
    <definedName name="ge">[4]!ge</definedName>
    <definedName name="GELALL">[4]!GELALL</definedName>
    <definedName name="GELALL전장2">[4]!GELALL전장2</definedName>
    <definedName name="GER">[4]!GER</definedName>
    <definedName name="GER전장">[4]!GER전장</definedName>
    <definedName name="GFA">'[2]2500'!#REF!</definedName>
    <definedName name="GFD">'[2]2500'!#REF!</definedName>
    <definedName name="gfda">'[2]3100'!#REF!</definedName>
    <definedName name="gfds">'[2]2600'!#REF!</definedName>
    <definedName name="gfee">'[2]2500'!#REF!</definedName>
    <definedName name="gfgfgf">[4]!gfgfgf</definedName>
    <definedName name="gfhn">[4]!gfhn</definedName>
    <definedName name="gfr">#N/A</definedName>
    <definedName name="gfsjjg">'[2]2500'!#REF!</definedName>
    <definedName name="gg" hidden="1">{#N/A,#N/A,TRUE,"Summary";#N/A,#N/A,TRUE,"IS";#N/A,#N/A,TRUE,"Adj";#N/A,#N/A,TRUE,"BS";#N/A,#N/A,TRUE,"CF";#N/A,#N/A,TRUE,"Debt";#N/A,#N/A,TRUE,"IRR"}</definedName>
    <definedName name="ggg">[4]!ggg</definedName>
    <definedName name="GH">'[2]2500'!#REF!</definedName>
    <definedName name="GHJ">[4]!GHJ</definedName>
    <definedName name="gjdiw">#N/A</definedName>
    <definedName name="gjer">[4]!gjer</definedName>
    <definedName name="gjkdls">#N/A</definedName>
    <definedName name="gksrmf">'[15]Non-Statistical Sampling Master'!$C$63</definedName>
    <definedName name="GO">[4]!GO</definedName>
    <definedName name="GoAssetChart">[4]!GoAssetChart</definedName>
    <definedName name="GoBack">[4]!GoBack</definedName>
    <definedName name="GoBalanceSheet">[4]!GoBalanceSheet</definedName>
    <definedName name="GoCashFlow">[4]!GoCashFlow</definedName>
    <definedName name="GoData">[4]!GoData</definedName>
    <definedName name="GoIncomeChart">[4]!GoIncomeChart</definedName>
    <definedName name="GotoMainSheet">[4]!GotoMainSheet</definedName>
    <definedName name="gqg">[4]!gqg</definedName>
    <definedName name="gr">#N/A</definedName>
    <definedName name="gre">#N/A</definedName>
    <definedName name="GTRRE">'[2]2500'!#REF!</definedName>
    <definedName name="Gueyangcin_500g">[2]INDEX!#REF!</definedName>
    <definedName name="gusg" hidden="1">{#N/A,#N/A,TRUE,"Summary";#N/A,#N/A,TRUE,"IS";#N/A,#N/A,TRUE,"Adj";#N/A,#N/A,TRUE,"BS";#N/A,#N/A,TRUE,"CF";#N/A,#N/A,TRUE,"Debt";#N/A,#N/A,TRUE,"IRR"}</definedName>
    <definedName name="gw">[4]!gw</definedName>
    <definedName name="gww">#N/A</definedName>
    <definedName name="gwwq">#N/A</definedName>
    <definedName name="gyu">'[2]2500'!#REF!</definedName>
    <definedName name="H">#N/A</definedName>
    <definedName name="H25300230">#N/A</definedName>
    <definedName name="han">[4]!han</definedName>
    <definedName name="heh">[4]!BlankMacro1</definedName>
    <definedName name="heht6">[4]!BlankMacro1</definedName>
    <definedName name="Hello">#N/A</definedName>
    <definedName name="hfdaa">[2]INDEX!#REF!</definedName>
    <definedName name="hfds">#N/A</definedName>
    <definedName name="hfe">#N/A</definedName>
    <definedName name="hffd">[2]INDEX!#REF!</definedName>
    <definedName name="hg">[4]!hg</definedName>
    <definedName name="HGF">'[2]2500'!#REF!</definedName>
    <definedName name="hgfr">#N/A</definedName>
    <definedName name="hghghghghghkf">[4]!hghghghghghkf</definedName>
    <definedName name="hgrr">[2]INDEX!#REF!</definedName>
    <definedName name="hhf">'[2]2500'!#REF!</definedName>
    <definedName name="hhg">'[2]2500'!#REF!</definedName>
    <definedName name="hhh">[4]!hhh</definedName>
    <definedName name="hhhhhhh">[4]!hhhhhhh</definedName>
    <definedName name="hhhhhhhhhhhhhhhh">[4]!hhhhhhhhhhhhhhhh</definedName>
    <definedName name="hhhjj">[4]!hhhjj</definedName>
    <definedName name="hjgs">[4]!hjgs</definedName>
    <definedName name="hjk">#N/A</definedName>
    <definedName name="HJKOL" hidden="1">#N/A</definedName>
    <definedName name="hntt">[4]!BlankMacro1</definedName>
    <definedName name="Hostathion_500ml">[2]INDEX!#REF!</definedName>
    <definedName name="hrjjsa">[4]!hrjjsa</definedName>
    <definedName name="hrwh">[4]!BlankMacro1</definedName>
    <definedName name="hserh">[4]!hserh</definedName>
    <definedName name="HSㅅㄱ">[4]!HSㅅㄱ</definedName>
    <definedName name="htgj">[4]!htgj</definedName>
    <definedName name="HTML_CodePage" hidden="1">949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huio">'[2]2500'!#REF!</definedName>
    <definedName name="hwhrh">[4]!hwhrh</definedName>
    <definedName name="hwth">[4]!BlankMacro1</definedName>
    <definedName name="I">#N/A</definedName>
    <definedName name="ID">'[2]2500'!$I$383:$I$915,'[2]2500'!$I$925:$I$948</definedName>
    <definedName name="IE">#N/A</definedName>
    <definedName name="ii" hidden="1">{#N/A,#N/A,FALSE,"UNIT";#N/A,#N/A,FALSE,"UNIT";#N/A,#N/A,FALSE,"계정"}</definedName>
    <definedName name="iii">[4]!iii</definedName>
    <definedName name="ijer">#N/A</definedName>
    <definedName name="IJHY" hidden="1">#N/A</definedName>
    <definedName name="IJU">#N/A</definedName>
    <definedName name="IJYD">'[2]2500'!#REF!</definedName>
    <definedName name="ini_button_Click">[4]!ini_button_Click</definedName>
    <definedName name="Interim">[6]Scoping!$M$40</definedName>
    <definedName name="inwon" hidden="1">{#N/A,#N/A,FALSE,"UNIT";#N/A,#N/A,FALSE,"UNIT";#N/A,#N/A,FALSE,"계정"}</definedName>
    <definedName name="ir">'[2]2600'!#REF!</definedName>
    <definedName name="ISA">[6]Scoping!$M$6</definedName>
    <definedName name="IT_depend">[6]Scoping!$M$22</definedName>
    <definedName name="ITEM">[2]INDEX!#REF!</definedName>
    <definedName name="iuiuiuiu">[4]!iuiuiuiu</definedName>
    <definedName name="iuiuiuiuiuiu">[4]!iuiuiuiuiuiu</definedName>
    <definedName name="IUUIUIUIU">[4]!IUUIUIUIU</definedName>
    <definedName name="IYRA_FMAN">[2]INDEX!$C$6*[2]INDEX!$C$8*([2]INDEX!$C$34-[2]INDEX!$C$33)/360</definedName>
    <definedName name="J">#N/A</definedName>
    <definedName name="JAEG96">[1]IS!$E$2:$E$53</definedName>
    <definedName name="jdt">[4]!BlankMacro1</definedName>
    <definedName name="jejej">[4]!BlankMacro1</definedName>
    <definedName name="jff">'[2]2500'!#REF!</definedName>
    <definedName name="jfg">[4]!jfg</definedName>
    <definedName name="jfj">'[2]2600'!#REF!</definedName>
    <definedName name="jfks">'[2]2600'!#REF!</definedName>
    <definedName name="jhbjkhkj" hidden="1">{#N/A,#N/A,TRUE,"Summary";#N/A,#N/A,TRUE,"IS";#N/A,#N/A,TRUE,"Adj";#N/A,#N/A,TRUE,"BS";#N/A,#N/A,TRUE,"CF";#N/A,#N/A,TRUE,"Debt";#N/A,#N/A,TRUE,"IRR"}</definedName>
    <definedName name="jhf">#N/A</definedName>
    <definedName name="jhjhjhjjhjh">[4]!jhjhjhjjhjh</definedName>
    <definedName name="jio">#N/A</definedName>
    <definedName name="jiy">#N/A</definedName>
    <definedName name="jjgf">'[2]2500'!#REF!</definedName>
    <definedName name="JJJJ" hidden="1">#N/A</definedName>
    <definedName name="jjk">'[2]2600'!#REF!</definedName>
    <definedName name="jk">[2]INDEX!#REF!</definedName>
    <definedName name="jkl">'[2]2600'!#REF!</definedName>
    <definedName name="jkljlkjl" hidden="1">{#N/A,#N/A,FALSE,"UNIT";#N/A,#N/A,FALSE,"UNIT";#N/A,#N/A,FALSE,"계정"}</definedName>
    <definedName name="jko">'[2]2600'!#REF!</definedName>
    <definedName name="job_run">[4]!job_run</definedName>
    <definedName name="jpyRate">10.1207</definedName>
    <definedName name="JUST">[1]IS!#REF!</definedName>
    <definedName name="JUU" hidden="1">#N/A</definedName>
    <definedName name="JUY">#N/A</definedName>
    <definedName name="jw.pl">#N/A</definedName>
    <definedName name="k" hidden="1">{"'5국공정'!$A$1:$E$128"}</definedName>
    <definedName name="KC" hidden="1">{#N/A,#N/A,FALSE,"을지 (4)";#N/A,#N/A,FALSE,"을지 (5)";#N/A,#N/A,FALSE,"을지 (6)"}</definedName>
    <definedName name="Keunilkkun_WP_250g">[2]INDEX!#REF!</definedName>
    <definedName name="khhjguyftdy">[4]!khhjguyftdy</definedName>
    <definedName name="kih">'[2]2500'!#REF!</definedName>
    <definedName name="Killper_SL_20L">[2]INDEX!#REF!</definedName>
    <definedName name="KIM">[4]!KIM</definedName>
    <definedName name="Kimanmae_3kg">[2]INDEX!#REF!</definedName>
    <definedName name="kiyh">[2]INDEX!#REF!</definedName>
    <definedName name="kjh">[4]!kjh</definedName>
    <definedName name="kjhd">#N/A</definedName>
    <definedName name="kjhg">'[2]2500'!#REF!</definedName>
    <definedName name="KJUI">#N/A</definedName>
    <definedName name="KKHG">#N/A</definedName>
    <definedName name="kkk">[4]!kkk</definedName>
    <definedName name="kkkk" hidden="1">{#N/A,"수불부",FALSE,"사급자재수불서";#N/A,"수불부",FALSE,"사급자재수불서"}</definedName>
    <definedName name="kkkkkkkkkkkkkkkkkkkkkkkkkk">[4]!kkkkkkkkkkkkkkkkkkkkkkkkkk</definedName>
    <definedName name="KN" hidden="1">{#N/A,#N/A,FALSE,"을지 (4)";#N/A,#N/A,FALSE,"을지 (5)";#N/A,#N/A,FALSE,"을지 (6)"}</definedName>
    <definedName name="L_Adjust">#N/A</definedName>
    <definedName name="L_AJE_Tot">#N/A</definedName>
    <definedName name="L_CY_Beg">#N/A</definedName>
    <definedName name="L_CY_End">#N/A</definedName>
    <definedName name="L_PY_End">#N/A</definedName>
    <definedName name="L_RJE_Tot">#N/A</definedName>
    <definedName name="LC3차서">[4]!LC3차서</definedName>
    <definedName name="LEE">'[2]2600'!#REF!</definedName>
    <definedName name="leee">#N/A</definedName>
    <definedName name="LEFT">#N/A</definedName>
    <definedName name="LEFT1">#N/A</definedName>
    <definedName name="Level">#N/A</definedName>
    <definedName name="LIBOR">#N/A</definedName>
    <definedName name="lic">#N/A</definedName>
    <definedName name="List">#N/A</definedName>
    <definedName name="List_ARPopulation">'[12]AR Drop Downs'!$I$5:$I$10</definedName>
    <definedName name="List_Curr">[12]Currency!$B$9:$B$31</definedName>
    <definedName name="List_ExpandedTesting">'[12]AR Drop Downs'!$E$5:$E$8</definedName>
    <definedName name="List_Level_Assr">[12]DropDown!$B$1:$B$4</definedName>
    <definedName name="List_LevelAssurance">'[12]AR Drop Downs'!$A$5:$A$8</definedName>
    <definedName name="List_Number_of_Exceptions_Identified">'[12]AR Drop Downs'!$K$5:$K$27</definedName>
    <definedName name="List_NumberTolerableExceptions">'[12]AR Drop Downs'!$C$5:$C$8</definedName>
    <definedName name="List_Proj_Meth">[12]DropDown!$H$1:$H$2</definedName>
    <definedName name="List_Samp_Sel">[12]DropDown!$D$1:$D$4</definedName>
    <definedName name="List_SampleSelectionMethod">'[12]AR Drop Downs'!$G$5:$G$7</definedName>
    <definedName name="LJJJ">'[2]3100'!#REF!</definedName>
    <definedName name="LK">#N/A</definedName>
    <definedName name="lkaw">#N/A</definedName>
    <definedName name="lkiolki9olkiol">[4]!lkiolki9olkiol</definedName>
    <definedName name="LKJ" hidden="1">{#N/A,#N/A,FALSE,"을지 (4)";#N/A,#N/A,FALSE,"을지 (5)";#N/A,#N/A,FALSE,"을지 (6)"}</definedName>
    <definedName name="lkjgh">[4]!lkjgh</definedName>
    <definedName name="lkjhgfbnm">[4]!lkjhgfbnm</definedName>
    <definedName name="lkjhghfd">[4]!lkjhghfd</definedName>
    <definedName name="lkjhghyufy">[4]!lkjhghyufy</definedName>
    <definedName name="lkjkj">[4]!lkjkj</definedName>
    <definedName name="LKKLKKK">[4]!LKKLKKK</definedName>
    <definedName name="lkkllkkllkkl">[4]!lkkllkkllkkl</definedName>
    <definedName name="lklklklk">[4]!lklklklk</definedName>
    <definedName name="ll" hidden="1">#N/A</definedName>
    <definedName name="lllllll">[4]!lllllll</definedName>
    <definedName name="LoE">[6]Scoping!$M$14</definedName>
    <definedName name="LoE_High">[6]Scoping!$M$17</definedName>
    <definedName name="LoE_Low">[6]Scoping!$M$15</definedName>
    <definedName name="LoE_Mod">[6]Scoping!$M$16</definedName>
    <definedName name="M">#N/A</definedName>
    <definedName name="MA">#N/A</definedName>
    <definedName name="Machine_Oil_EC">[2]INDEX!#REF!</definedName>
    <definedName name="Macro22">#N/A</definedName>
    <definedName name="Macro8">#N/A</definedName>
    <definedName name="MAIN_내용">#N/A</definedName>
    <definedName name="MakeIt">#N/A</definedName>
    <definedName name="Malix_D_3KG">[2]INDEX!#REF!</definedName>
    <definedName name="mancoz">[2]INDEX!#REF!</definedName>
    <definedName name="Manual">[6]Scoping!$M$23</definedName>
    <definedName name="MENO">#N/A</definedName>
    <definedName name="menu_button_Click">[4]!menu_button_Click</definedName>
    <definedName name="MF">#REF!</definedName>
    <definedName name="mifrang">[2]INDEX!#REF!</definedName>
    <definedName name="MIPX3">[4]!MIPX3</definedName>
    <definedName name="Misung_a_SL">[2]INDEX!#REF!</definedName>
    <definedName name="Misunng_OK_SC_250ml">[2]INDEX!#REF!</definedName>
    <definedName name="mitac">[2]INDEX!#REF!</definedName>
    <definedName name="MK정공">[2]INDEX!#REF!</definedName>
    <definedName name="mmm">[4]!mmm</definedName>
    <definedName name="mncvxjzshdffadsfcvdsfcs">[4]!mncvxjzshdffadsfcvdsfcs</definedName>
    <definedName name="Module1.매크로4">#N/A</definedName>
    <definedName name="Module1.매크로5">#N/A</definedName>
    <definedName name="Module1.매크로6">#N/A</definedName>
    <definedName name="Module1.매크로7">#N/A</definedName>
    <definedName name="MONEY">'[2]2500'!$F$21:$M$915,'[2]2500'!$F$925:$M$948</definedName>
    <definedName name="Monopho_SL_500ml">[2]INDEX!#REF!</definedName>
    <definedName name="Morning">#N/A</definedName>
    <definedName name="MR">[2]INDEX!#REF!</definedName>
    <definedName name="ms">#N/A</definedName>
    <definedName name="MS_Pulmamae_EC_500ml">[2]INDEX!#REF!</definedName>
    <definedName name="MS_speed_SC_250ml">[2]INDEX!#REF!</definedName>
    <definedName name="MTotal_PrincPaid">[2]INDEX!#REF!</definedName>
    <definedName name="myco">[2]INDEX!#REF!</definedName>
    <definedName name="Myco_WP__200g">[2]INDEX!#REF!</definedName>
    <definedName name="MYJ" hidden="1">{#N/A,#N/A,FALSE,"UNIT";#N/A,#N/A,FALSE,"UNIT";#N/A,#N/A,FALSE,"계정"}</definedName>
    <definedName name="MZ">'[2]2500'!#REF!</definedName>
    <definedName name="M당무게">#N/A</definedName>
    <definedName name="NAME">#N/A</definedName>
    <definedName name="NEW">[4]!NEW</definedName>
    <definedName name="newname">#REF!</definedName>
    <definedName name="NextCell">[4]!NextCell</definedName>
    <definedName name="njk">#N/A</definedName>
    <definedName name="nn">[4]!nn</definedName>
    <definedName name="nnn">[4]!nnn</definedName>
    <definedName name="NO">#N/A</definedName>
    <definedName name="NoInterim">[6]Scoping!$M$38</definedName>
    <definedName name="NOMUBY">#REF!</definedName>
    <definedName name="nonamae1200">[2]INDEX!#REF!</definedName>
    <definedName name="Nonanmae_GR_3kg">[2]INDEX!#REF!</definedName>
    <definedName name="NoYes">'[6]Drop down'!$Q$6:$Q$7</definedName>
    <definedName name="NSProjectionMethodIndex">'[16]Non-Statistical Sampling Master'!$C$63</definedName>
    <definedName name="NSRequiredLevelOfEvidenceItems">'[16]Non-Statistical Sampling Master'!$C$50:$C$53</definedName>
    <definedName name="nsrr">[4]!BlankMacro1</definedName>
    <definedName name="NSTargetedTestingItems">'[16]Two Step Revenue Testing Master'!$E$47</definedName>
    <definedName name="NSTolerableMisstatementEqual">#REF!</definedName>
    <definedName name="ntw">#N/A</definedName>
    <definedName name="O">#N/A</definedName>
    <definedName name="OA">#N/A</definedName>
    <definedName name="OB">#N/A</definedName>
    <definedName name="od">[2]INDEX!#REF!</definedName>
    <definedName name="of">'[2]3100'!#REF!</definedName>
    <definedName name="oiioioi">[4]!oiioioi</definedName>
    <definedName name="OIIOIOIOI">[4]!OIIOIOIOI</definedName>
    <definedName name="ok">#N/A</definedName>
    <definedName name="okju">#N/A</definedName>
    <definedName name="okjyf">'[2]2500'!#REF!</definedName>
    <definedName name="oku">'[2]3100'!#REF!</definedName>
    <definedName name="olp">#N/A</definedName>
    <definedName name="on">#N/A</definedName>
    <definedName name="ONE">#N/A</definedName>
    <definedName name="oo">'[2]3100'!#REF!</definedName>
    <definedName name="OptionButton21_Click">[4]!OptionButton21_Click</definedName>
    <definedName name="Order" hidden="1">0</definedName>
    <definedName name="Orydan_G">[2]INDEX!#REF!</definedName>
    <definedName name="OT">#N/A</definedName>
    <definedName name="ownership" hidden="1">{#N/A,#N/A,TRUE,"Summary";#N/A,#N/A,TRUE,"IS";#N/A,#N/A,TRUE,"Adj";#N/A,#N/A,TRUE,"BS";#N/A,#N/A,TRUE,"CF";#N/A,#N/A,TRUE,"Debt";#N/A,#N/A,TRUE,"IRR"}</definedName>
    <definedName name="P_?">#N/A</definedName>
    <definedName name="P_BS">#N/A</definedName>
    <definedName name="pay" hidden="1">[2]INDEX!#REF!</definedName>
    <definedName name="payment1" hidden="1">'[2]3100'!#REF!</definedName>
    <definedName name="PBC">#N/A</definedName>
    <definedName name="PBC_List">#N/A</definedName>
    <definedName name="PCAOB">[6]Scoping!$M$12</definedName>
    <definedName name="Peropal_WP_500g">[2]INDEX!#REF!</definedName>
    <definedName name="PICTURE">'[2]3100'!#REF!</definedName>
    <definedName name="PICTURE2">'[2]3100'!#REF!</definedName>
    <definedName name="PIE">'[16]Two Step Revenue Testing Master'!$C$87</definedName>
    <definedName name="PJT_94">#N/A</definedName>
    <definedName name="PJT_95">'[2]2500'!#REF!</definedName>
    <definedName name="PJT_JAEG96">[1]IS!$A$2:$A$53</definedName>
    <definedName name="PJT_SACO96">[1]IS!$A$2:$A$1201</definedName>
    <definedName name="PJT_SACONUGE">[1]IS!$A$2:$A$1345</definedName>
    <definedName name="pker">#N/A</definedName>
    <definedName name="PL">#N/A</definedName>
    <definedName name="plkh">'[2]2500'!#REF!</definedName>
    <definedName name="plku">#N/A</definedName>
    <definedName name="plNote">[4]!plNote</definedName>
    <definedName name="PNAME">#N/A</definedName>
    <definedName name="poiuytrewq">[4]!poiuytrewq</definedName>
    <definedName name="poopop">[4]!poopop</definedName>
    <definedName name="Pop_Sig_T">'[12]Non-Statistical Sampling'!$F$26</definedName>
    <definedName name="Poppy">#N/A</definedName>
    <definedName name="pp">'[2]1100'!#REF!</definedName>
    <definedName name="pppppp">'[2]1100'!#REF!</definedName>
    <definedName name="pppppppp">#N/A</definedName>
    <definedName name="PPPPPPPPPP">#N/A</definedName>
    <definedName name="preN">[2]INDEX!#REF!</definedName>
    <definedName name="PRI">#N/A</definedName>
    <definedName name="_xlnm.Print_Area" localSheetId="0">'8110A'!$A$1:$J$101</definedName>
    <definedName name="_xlnm.Print_Area">[23]합손!#REF!</definedName>
    <definedName name="PRINT_AREA_MI">#REF!</definedName>
    <definedName name="_xlnm.Print_Titles" localSheetId="0">'8110A'!$13:$15</definedName>
    <definedName name="_xlnm.Print_Titles">#REF!</definedName>
    <definedName name="Print_Titles_MI">#REF!</definedName>
    <definedName name="prj">#N/A</definedName>
    <definedName name="PRO">#N/A</definedName>
    <definedName name="proj">#N/A</definedName>
    <definedName name="Prowang_EC_250ml">[2]INDEX!#REF!</definedName>
    <definedName name="PRT">[1]IS!$B$4:$N$34</definedName>
    <definedName name="PRT6AL5AR40">[4]!PRT6AL5AR40</definedName>
    <definedName name="PRT6AU5BA41">[4]!PRT6AU5BA41</definedName>
    <definedName name="PRT6B5H25">[4]!PRT6B5H25</definedName>
    <definedName name="PRT6BD5BK32">[4]!PRT6BD5BK32</definedName>
    <definedName name="prt6bn252bt288">[4]!prt6bn252bt288</definedName>
    <definedName name="prt6bn46bt82">'[24]2600'!prt6bn46bt82</definedName>
    <definedName name="PRT6BN5BT41">'[24]2600'!PRT6BN5BT41</definedName>
    <definedName name="prt6bv7cc30">'[24]2600'!prt6bv7cc30</definedName>
    <definedName name="prt6cf5cl37">[4]!prt6cf5cl37</definedName>
    <definedName name="prt6co5cs41">[4]!prt6co5cs41</definedName>
    <definedName name="prt6cv5dg33">[4]!prt6cv5dg33</definedName>
    <definedName name="PRT6K31U52">[4]!PRT6K31U52</definedName>
    <definedName name="PRT6K4U25">[4]!PRT6K4U25</definedName>
    <definedName name="PRT6K57W79">[4]!PRT6K57W79</definedName>
    <definedName name="PRT6K85U107">[4]!PRT6K85U107</definedName>
    <definedName name="PRT6X4AI25">[4]!PRT6X4AI25</definedName>
    <definedName name="PY">[4]!PY</definedName>
    <definedName name="PY_Accounts_Receivable">#N/A</definedName>
    <definedName name="PY_Cash_Div_Dec">'[2]2600'!#REF!</definedName>
    <definedName name="PY_Current_Liabilities">'[9]Balance Sheet'!#REF!</definedName>
    <definedName name="PY_Depreciation">'[2]2600'!#REF!</definedName>
    <definedName name="PY_Intangible_Assets">'[9]Balance Sheet'!#REF!</definedName>
    <definedName name="PY_Interest_Expense">'[9]Income Statement'!#REF!</definedName>
    <definedName name="PY_Market_Value_of_Equity">'[2]2600'!#REF!</definedName>
    <definedName name="PY_Marketable_Sec">'[9]Balance Sheet'!#REF!</definedName>
    <definedName name="PY_Operating_Inc">'[2]2600'!#REF!</definedName>
    <definedName name="PY_Other_Curr_Assets">#N/A</definedName>
    <definedName name="PY_Other_Exp">'[2]2600'!#REF!</definedName>
    <definedName name="PY_Other_LT_Assets">#N/A</definedName>
    <definedName name="PY_Other_LT_Liabilities">#N/A</definedName>
    <definedName name="PY_Selling">'[2]2600'!#REF!</definedName>
    <definedName name="PY_Tangible_Net_Worth">'[2]2600'!#REF!</definedName>
    <definedName name="PY_Taxes">'[9]Income Statement'!#REF!</definedName>
    <definedName name="PY_TOTAL_ASSETS">#N/A</definedName>
    <definedName name="PY_Weighted_Average">'[2]2600'!#REF!</definedName>
    <definedName name="PY_Working_Capital">'[2]2600'!#REF!</definedName>
    <definedName name="PY_단기차입금">#N/A</definedName>
    <definedName name="PY_매입채무">#N/A</definedName>
    <definedName name="PY_사채">#N/A</definedName>
    <definedName name="PY_유동성장기부채">#N/A</definedName>
    <definedName name="PY_장기차입금">#N/A</definedName>
    <definedName name="PY2_Accounts_Receivable">#N/A</definedName>
    <definedName name="PY2_Cash_Div_Dec">'[2]2600'!#REF!</definedName>
    <definedName name="PY2_Current_Liabilities">'[9]Balance Sheet'!#REF!</definedName>
    <definedName name="PY2_Depreciation">'[2]2600'!#REF!</definedName>
    <definedName name="PY2_Intangible_Assets">'[9]Balance Sheet'!#REF!</definedName>
    <definedName name="PY2_Interest_Expense">'[9]Income Statement'!#REF!</definedName>
    <definedName name="PY2_Marketable_Sec">'[9]Balance Sheet'!#REF!</definedName>
    <definedName name="PY2_Operating_Inc">'[2]2600'!#REF!</definedName>
    <definedName name="PY2_Other_Curr_Assets">#N/A</definedName>
    <definedName name="PY2_Other_Exp.">'[2]2600'!#REF!</definedName>
    <definedName name="PY2_Other_LT_Assets">#N/A</definedName>
    <definedName name="PY2_Other_LT_Liabilities">#N/A</definedName>
    <definedName name="PY2_Selling">'[2]2600'!#REF!</definedName>
    <definedName name="PY2_Tangible_Net_Worth">'[2]2600'!#REF!</definedName>
    <definedName name="PY2_Taxes">'[9]Income Statement'!#REF!</definedName>
    <definedName name="PY2_TOTAL_ASSETS">#N/A</definedName>
    <definedName name="PY2_Weighted_Average">'[2]2600'!#REF!</definedName>
    <definedName name="PY2_Working_Capital">'[2]2600'!#REF!</definedName>
    <definedName name="PY2_단기차입금">#N/A</definedName>
    <definedName name="PY2_매입채무">#N/A</definedName>
    <definedName name="PY2_사채">#N/A</definedName>
    <definedName name="PY2_유동성장기부채">#N/A</definedName>
    <definedName name="PY2_장기차입금">#N/A</definedName>
    <definedName name="q">#N/A</definedName>
    <definedName name="QAW" hidden="1">{#N/A,#N/A,FALSE,"을지 (4)";#N/A,#N/A,FALSE,"을지 (5)";#N/A,#N/A,FALSE,"을지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hrq">[4]!BlankMacro1</definedName>
    <definedName name="qqq" hidden="1">{#N/A,#N/A,FALSE,"BS";#N/A,#N/A,FALSE,"PL";#N/A,#N/A,FALSE,"처분";#N/A,#N/A,FALSE,"현금";#N/A,#N/A,FALSE,"매출";#N/A,#N/A,FALSE,"원가";#N/A,#N/A,FALSE,"경영"}</definedName>
    <definedName name="qqqq">[4]!qqqq</definedName>
    <definedName name="QQQQQ" hidden="1">{#N/A,#N/A,FALSE,"UNIT";#N/A,#N/A,FALSE,"UNIT";#N/A,#N/A,FALSE,"계정"}</definedName>
    <definedName name="QQQQQQWWWWWWW">[4]!QQQQQQWWWWWWW</definedName>
    <definedName name="qqw">'[2]3100'!#REF!</definedName>
    <definedName name="qs">#N/A</definedName>
    <definedName name="qss">#N/A</definedName>
    <definedName name="QSUM">#N/A</definedName>
    <definedName name="quit_button_Click">[4]!quit_button_Click</definedName>
    <definedName name="qw">#N/A</definedName>
    <definedName name="QWA" hidden="1">{#N/A,#N/A,FALSE,"을지 (4)";#N/A,#N/A,FALSE,"을지 (5)";#N/A,#N/A,FALSE,"을지 (6)"}</definedName>
    <definedName name="qwd">#N/A</definedName>
    <definedName name="qwe">[4]!qwe</definedName>
    <definedName name="R_">#N/A</definedName>
    <definedName name="R_COVER" hidden="1">{#N/A,#N/A,FALSE,"단축1";#N/A,#N/A,FALSE,"단축2";#N/A,#N/A,FALSE,"단축3";#N/A,#N/A,FALSE,"장축";#N/A,#N/A,FALSE,"4WD"}</definedName>
    <definedName name="RAA">'[2]2500'!#REF!</definedName>
    <definedName name="raffd">#N/A</definedName>
    <definedName name="range">#N/A</definedName>
    <definedName name="rate12">#N/A</definedName>
    <definedName name="RE">#N/A</definedName>
    <definedName name="reportP2">[4]!reportP2</definedName>
    <definedName name="reportPl">[4]!reportPl</definedName>
    <definedName name="RERER">[4]!RERER</definedName>
    <definedName name="Reset">#N/A</definedName>
    <definedName name="Residual_difference">#N/A</definedName>
    <definedName name="result">#N/A</definedName>
    <definedName name="Review">[6]Scoping!$M$32</definedName>
    <definedName name="REW">'[2]2500'!#REF!</definedName>
    <definedName name="REWQ">'[2]2500'!#REF!</definedName>
    <definedName name="rews" hidden="1">#N/A</definedName>
    <definedName name="RIGHT">#N/A</definedName>
    <definedName name="risj">[2]INDEX!#REF!</definedName>
    <definedName name="RISK내용" hidden="1">{#N/A,#N/A,FALSE,"UNIT";#N/A,#N/A,FALSE,"UNIT";#N/A,#N/A,FALSE,"계정"}</definedName>
    <definedName name="rje">'[2]2600'!#REF!</definedName>
    <definedName name="rjeiw">#N/A</definedName>
    <definedName name="rk" hidden="1">{#N/A,#N/A,FALSE,"BS";#N/A,#N/A,FALSE,"PL";#N/A,#N/A,FALSE,"처분";#N/A,#N/A,FALSE,"현금";#N/A,#N/A,FALSE,"매출";#N/A,#N/A,FALSE,"원가";#N/A,#N/A,FALSE,"경영"}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ovral_wp_500g">[2]INDEX!#REF!</definedName>
    <definedName name="rPghlr" hidden="1">{#N/A,#N/A,FALSE,"기술료 비교"}</definedName>
    <definedName name="RPRI1">#N/A</definedName>
    <definedName name="RPRI2">#N/A</definedName>
    <definedName name="RPRI3">#N/A</definedName>
    <definedName name="RPRI4">#N/A</definedName>
    <definedName name="RPRI5">#N/A</definedName>
    <definedName name="RPRI6">#N/A</definedName>
    <definedName name="rr">#N/A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RRR">[4]!RRRRR</definedName>
    <definedName name="rtjrt">[4]!BlankMacro1</definedName>
    <definedName name="RTN">#N/A</definedName>
    <definedName name="RW">'[2]2500'!#REF!</definedName>
    <definedName name="rwf">#N/A</definedName>
    <definedName name="RWQ">#N/A</definedName>
    <definedName name="rww">'[2]2500'!#REF!</definedName>
    <definedName name="s" hidden="1">{#N/A,#N/A,FALSE,"BS";#N/A,#N/A,FALSE,"PL";#N/A,#N/A,FALSE,"처분";#N/A,#N/A,FALSE,"현금";#N/A,#N/A,FALSE,"매출";#N/A,#N/A,FALSE,"원가";#N/A,#N/A,FALSE,"경영"}</definedName>
    <definedName name="SA">#N/A</definedName>
    <definedName name="SACO96">[1]IS!$W$2:$W$1201</definedName>
    <definedName name="SACO96_SALE_NOW">[1]IS!$H$2:$H$1201</definedName>
    <definedName name="SACONUGE">[1]IS!$D$2:$D$1345</definedName>
    <definedName name="SALE_SACO96">[1]IS!$H$2:$H$1201</definedName>
    <definedName name="Samp_TM_Exp_Diff">'[12]Non-Statistical Sampling'!#REF!</definedName>
    <definedName name="Sampled">#REF!</definedName>
    <definedName name="SAPBEXrevision" hidden="1">1</definedName>
    <definedName name="SAPBEXsysID" hidden="1">"BWP"</definedName>
    <definedName name="SAPBEXwbID" hidden="1">"42EOBBR0ESV7SIVXR0TWAHCYG"</definedName>
    <definedName name="SB">#N/A</definedName>
    <definedName name="Scala_500g__WP">[2]INDEX!#REF!</definedName>
    <definedName name="sdds">[4]!sdds</definedName>
    <definedName name="SELHAP">#N/A</definedName>
    <definedName name="SELWOL">#N/A</definedName>
    <definedName name="ser">#N/A</definedName>
    <definedName name="SGEPRI">#N/A</definedName>
    <definedName name="SGLPRI">#N/A</definedName>
    <definedName name="SGMPRI">#N/A</definedName>
    <definedName name="SGPRI">#N/A</definedName>
    <definedName name="sheet" hidden="1">{#N/A,#N/A,FALSE,"UNIT";#N/A,#N/A,FALSE,"UNIT";#N/A,#N/A,FALSE,"계정"}</definedName>
    <definedName name="sheet2">CELL("filename")</definedName>
    <definedName name="Silbaco__WP_100g">[2]INDEX!#REF!</definedName>
    <definedName name="Solaga_GR_1kg">[2]INDEX!#REF!</definedName>
    <definedName name="SportakEC_20ml">[2]INDEX!#REF!</definedName>
    <definedName name="Spredaer_SL">[2]INDEX!#REF!</definedName>
    <definedName name="SSD" hidden="1">{#N/A,#N/A,FALSE,"을지 (4)";#N/A,#N/A,FALSE,"을지 (5)";#N/A,#N/A,FALSE,"을지 (6)"}</definedName>
    <definedName name="sss">[4]!sss</definedName>
    <definedName name="ssss">'[2]2500'!#REF!</definedName>
    <definedName name="sssss">#REF!</definedName>
    <definedName name="ST">'[2]3100'!#REF!</definedName>
    <definedName name="Strat_1_Def">'[12]Non-Statistical Sampling'!#REF!</definedName>
    <definedName name="Strat_1_It">'[12]Non-Statistical Sampling'!#REF!</definedName>
    <definedName name="Strat_1_T">'[12]Non-Statistical Sampling'!#REF!</definedName>
    <definedName name="Strat_2_Def">'[12]Non-Statistical Sampling'!#REF!</definedName>
    <definedName name="Strat_2_It">'[12]Non-Statistical Sampling'!#REF!</definedName>
    <definedName name="Strat_2_T">'[12]Non-Statistical Sampling'!#REF!</definedName>
    <definedName name="Strat_Def">'[12]Non-Statistical Sampling'!#REF!</definedName>
    <definedName name="Strat_T_It">'[12]Non-Statistical Sampling'!#REF!</definedName>
    <definedName name="Strat_T_T">'[12]Non-Statistical Sampling'!#REF!</definedName>
    <definedName name="Suhosin_200g">[2]INDEX!#REF!</definedName>
    <definedName name="SUM">#N/A</definedName>
    <definedName name="Supermae_GR_3kg">[2]INDEX!#REF!</definedName>
    <definedName name="SW가능">[4]!SW가능</definedName>
    <definedName name="sw사용가능2">[4]!sw사용가능2</definedName>
    <definedName name="TABLE">[2]INDEX!#REF!</definedName>
    <definedName name="TABLE_10">[2]INDEX!#REF!</definedName>
    <definedName name="TABLE_11">[2]INDEX!#REF!</definedName>
    <definedName name="TABLE_12">[2]INDEX!#REF!</definedName>
    <definedName name="TABLE_13">[2]INDEX!#REF!</definedName>
    <definedName name="TABLE_14">[2]INDEX!#REF!</definedName>
    <definedName name="TABLE_15">[2]INDEX!#REF!</definedName>
    <definedName name="TABLE_16">[2]INDEX!#REF!</definedName>
    <definedName name="TABLE_17">[2]INDEX!#REF!</definedName>
    <definedName name="TABLE_18">[2]INDEX!#REF!</definedName>
    <definedName name="TABLE_19">[2]INDEX!#REF!</definedName>
    <definedName name="TABLE_2">[2]INDEX!#REF!</definedName>
    <definedName name="TABLE_20">[2]INDEX!#REF!</definedName>
    <definedName name="TABLE_21">[2]INDEX!#REF!</definedName>
    <definedName name="TABLE_22">[2]INDEX!#REF!</definedName>
    <definedName name="TABLE_23">[2]INDEX!#REF!</definedName>
    <definedName name="TABLE_24">[2]INDEX!#REF!</definedName>
    <definedName name="TABLE_3">[2]INDEX!#REF!</definedName>
    <definedName name="TABLE_4">[2]INDEX!#REF!</definedName>
    <definedName name="TABLE_5">[2]INDEX!#REF!</definedName>
    <definedName name="TABLE_6">[2]INDEX!#REF!</definedName>
    <definedName name="TABLE_7">[2]INDEX!#REF!</definedName>
    <definedName name="TABLE_8">[2]INDEX!#REF!</definedName>
    <definedName name="TABLE_9">[2]INDEX!#REF!</definedName>
    <definedName name="tasEC500">[2]INDEX!#REF!</definedName>
    <definedName name="tasWP200">[2]INDEX!#REF!</definedName>
    <definedName name="tasWP500">[2]INDEX!#REF!</definedName>
    <definedName name="teaa">'[2]2500'!#REF!</definedName>
    <definedName name="teq">'[2]2600'!#REF!</definedName>
    <definedName name="tere">'[2]2600'!#REF!</definedName>
    <definedName name="test">[1]BS!$A$2:$O$3177</definedName>
    <definedName name="Test_OE">[6]Scoping!$M$25</definedName>
    <definedName name="Test_Targ">'[12]Non-Statistical Sampling'!$Y$26</definedName>
    <definedName name="TEST0">#N/A</definedName>
    <definedName name="TEST1">#N/A</definedName>
    <definedName name="TESTHKEY">#N/A</definedName>
    <definedName name="TESTKEYS">#N/A</definedName>
    <definedName name="TESTVKEY">#N/A</definedName>
    <definedName name="tew">'[2]3100'!#REF!</definedName>
    <definedName name="teww" hidden="1">#N/A</definedName>
    <definedName name="tewwwf">#N/A</definedName>
    <definedName name="TextRefCopy1">#REF!</definedName>
    <definedName name="TextRefCopy10">#REF!</definedName>
    <definedName name="TextRefCopy11">#REF!</definedName>
    <definedName name="TextRefCopy12">#N/A</definedName>
    <definedName name="TextRefCopy2">#N/A</definedName>
    <definedName name="TextRefCopy21">[25]유형자산!$J$53</definedName>
    <definedName name="TextRefCopy3">'[2]1300'!#REF!</definedName>
    <definedName name="TextRefCopy4">#REF!</definedName>
    <definedName name="TextRefCopy5">#N/A</definedName>
    <definedName name="TextRefCopy6">#N/A</definedName>
    <definedName name="TextRefCopy7">#REF!</definedName>
    <definedName name="TextRefCopy8">[26]F456!#REF!</definedName>
    <definedName name="TextRefCopyRangeCount" hidden="1">1</definedName>
    <definedName name="tfde">'[2]2500'!#REF!</definedName>
    <definedName name="tggf" hidden="1">#N/A</definedName>
    <definedName name="TGY">#N/A</definedName>
    <definedName name="tgyo">#N/A</definedName>
    <definedName name="ThanhXuan110">'[2]2500'!#REF!</definedName>
    <definedName name="Thiolix__3Kg">[2]INDEX!#REF!</definedName>
    <definedName name="Thiolix_EC_500ml">[2]INDEX!#REF!</definedName>
    <definedName name="Threshold">#N/A</definedName>
    <definedName name="thuriwp200">[2]INDEX!#REF!</definedName>
    <definedName name="TM">[4]!TM</definedName>
    <definedName name="TORSION" hidden="1">{#N/A,#N/A,FALSE,"단축1";#N/A,#N/A,FALSE,"단축2";#N/A,#N/A,FALSE,"단축3";#N/A,#N/A,FALSE,"장축";#N/A,#N/A,FALSE,"4WD"}</definedName>
    <definedName name="TOTAL">#N/A</definedName>
    <definedName name="Total_Debt">'[2]2600'!$X$125+'[2]2600'!$X$139</definedName>
    <definedName name="TOTAL1">#N/A</definedName>
    <definedName name="TOTAL2">#N/A</definedName>
    <definedName name="TOTAL3">#N/A</definedName>
    <definedName name="tranche_ATax02_SUM">#N/A</definedName>
    <definedName name="tranche_CFSum">#N/A</definedName>
    <definedName name="tranche02_CF">#N/A</definedName>
    <definedName name="tre">[2]INDEX!#REF!</definedName>
    <definedName name="tree">[2]INDEX!#REF!</definedName>
    <definedName name="treg">[4]!treg</definedName>
    <definedName name="Trend">#N/A</definedName>
    <definedName name="trizol100">[2]INDEX!#REF!</definedName>
    <definedName name="TT" hidden="1">{#N/A,#N/A,FALSE,"UNIT";#N/A,#N/A,FALSE,"UNIT";#N/A,#N/A,FALSE,"계정"}</definedName>
    <definedName name="TTDesiredLevelOfEvidenceItems">'[16]Global Data'!$B$92:$B$95</definedName>
    <definedName name="tthh" hidden="1">#N/A</definedName>
    <definedName name="TTTJ">#N/A</definedName>
    <definedName name="TTTR">#N/A</definedName>
    <definedName name="tw">'[2]3100'!#REF!</definedName>
    <definedName name="TwelveMonthMovingAvg">AVERAGE([2]INDEX!XFD1:XFD1048566)</definedName>
    <definedName name="TWO">#N/A</definedName>
    <definedName name="Two_Out_GR_3kg">[2]INDEX!#REF!</definedName>
    <definedName name="TwoStepMisstatementIdentified">'[16]Two Step Revenue Testing Master'!$C$85</definedName>
    <definedName name="TwoStepTolerableEstMisstmtCalc">'[16]Two Step Revenue Testing Master'!$T$45</definedName>
    <definedName name="tws">#N/A</definedName>
    <definedName name="TY">#N/A</definedName>
    <definedName name="Type">[6]Scoping!$M$20</definedName>
    <definedName name="TypeTest">'[6]Drop down'!$K$6:$K$9</definedName>
    <definedName name="tyui">#N/A</definedName>
    <definedName name="u">[4]!u</definedName>
    <definedName name="uhg">#N/A</definedName>
    <definedName name="uhgt">'[2]2500'!#REF!</definedName>
    <definedName name="uhyt">#N/A</definedName>
    <definedName name="UNIT">#N/A</definedName>
    <definedName name="Update_Else">[6]Scoping!$M$42</definedName>
    <definedName name="urt">#N/A</definedName>
    <definedName name="US">[6]Scoping!$M$9</definedName>
    <definedName name="USD">#N/A</definedName>
    <definedName name="usdRate">1043.8</definedName>
    <definedName name="UYT">#N/A</definedName>
    <definedName name="va">'[2]2600'!#REF!</definedName>
    <definedName name="vbhfhfg">[4]!vbhfhfg</definedName>
    <definedName name="vd">'[2]2600'!#REF!</definedName>
    <definedName name="vddd">#N/A</definedName>
    <definedName name="vdfeww">#N/A</definedName>
    <definedName name="vdweww">[2]INDEX!#REF!</definedName>
    <definedName name="vdww">[2]INDEX!#REF!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jwp">#N/A</definedName>
    <definedName name="vv">[4]!vv</definedName>
    <definedName name="vvvvvvvvvvvvvvvvvvvvvvvvvvvv">[4]!vvvvvvvvvvvvvvvvvvvvvvvvvvvv</definedName>
    <definedName name="w" hidden="1">{#N/A,#N/A,FALSE,"BS";#N/A,#N/A,FALSE,"PL";#N/A,#N/A,FALSE,"처분";#N/A,#N/A,FALSE,"현금";#N/A,#N/A,FALSE,"매출";#N/A,#N/A,FALSE,"원가";#N/A,#N/A,FALSE,"경영"}</definedName>
    <definedName name="wa">'[2]2500'!#REF!</definedName>
    <definedName name="wanbang">[2]INDEX!#REF!</definedName>
    <definedName name="wc">[2]INDEX!#REF!</definedName>
    <definedName name="wdd" hidden="1">{#N/A,#N/A,FALSE,"UNIT";#N/A,#N/A,FALSE,"UNIT";#N/A,#N/A,FALSE,"계정"}</definedName>
    <definedName name="WE">#N/A</definedName>
    <definedName name="WEW">'[2]2500'!#REF!</definedName>
    <definedName name="whr">[4]!BlankMacro1</definedName>
    <definedName name="wjd" hidden="1">{#N/A,#N/A,FALSE,"BS";#N/A,#N/A,FALSE,"PL";#N/A,#N/A,FALSE,"처분";#N/A,#N/A,FALSE,"현금";#N/A,#N/A,FALSE,"매출";#N/A,#N/A,FALSE,"원가";#N/A,#N/A,FALSE,"경영"}</definedName>
    <definedName name="WQ" hidden="1">{#N/A,#N/A,FALSE,"을지 (4)";#N/A,#N/A,FALSE,"을지 (5)";#N/A,#N/A,FALSE,"을지 (6)"}</definedName>
    <definedName name="wre">#N/A</definedName>
    <definedName name="WriteIntoMainSheet">[4]!WriteIntoMainSheet</definedName>
    <definedName name="wrn.aa." hidden="1">{#N/A,#N/A,FALSE,"UNIT";#N/A,#N/A,FALSE,"UNIT";#N/A,#N/A,FALSE,"계정"}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hidden="1">{#N/A,#N/A,TRUE,"Summary";#N/A,#N/A,TRUE,"IS";#N/A,#N/A,TRUE,"Adj";#N/A,#N/A,TRUE,"BS";#N/A,#N/A,TRUE,"CF";#N/A,#N/A,TRUE,"Debt";#N/A,#N/A,TRUE,"IRR"}</definedName>
    <definedName name="wrn.기술료._.비교." hidden="1">{#N/A,#N/A,FALSE,"기술료 비교"}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hidden="1">{#N/A,"수불부",FALSE,"사급자재수불서";#N/A,"수불부",FALSE,"사급자재수불서"}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hidden="1">{#N/A,#N/A,FALSE,"단축1";#N/A,#N/A,FALSE,"단축2";#N/A,#N/A,FALSE,"단축3";#N/A,#N/A,FALSE,"장축";#N/A,#N/A,FALSE,"4WD"}</definedName>
    <definedName name="wwg">'[2]3100'!#REF!</definedName>
    <definedName name="wwlwlw">'[2]2500'!#REF!</definedName>
    <definedName name="wws">'[2]3100'!#REF!</definedName>
    <definedName name="WWWWWPPPPPPP">[4]!WWWWWPPPPPPP</definedName>
    <definedName name="X">#N/A</definedName>
    <definedName name="XDS" hidden="1">{#N/A,#N/A,FALSE,"을지 (4)";#N/A,#N/A,FALSE,"을지 (5)";#N/A,#N/A,FALSE,"을지 (6)"}</definedName>
    <definedName name="XIII._당기순이익">'[2]2500'!#REF!</definedName>
    <definedName name="XREF_COLUMN_1" hidden="1">#N/A</definedName>
    <definedName name="XREF_COLUMN_10" hidden="1">[27]BS!#REF!</definedName>
    <definedName name="XREF_COLUMN_11" hidden="1">[27]BS!#REF!</definedName>
    <definedName name="XREF_COLUMN_110" hidden="1">[28]감가상각LS!#REF!</definedName>
    <definedName name="XREF_COLUMN_12" hidden="1">[27]BS!#REF!</definedName>
    <definedName name="XREF_COLUMN_13" hidden="1">[27]BS!#REF!</definedName>
    <definedName name="XREF_COLUMN_14" hidden="1">[2]INDEX!#REF!</definedName>
    <definedName name="XREF_COLUMN_15" hidden="1">#REF!</definedName>
    <definedName name="XREF_COLUMN_16" hidden="1">#N/A</definedName>
    <definedName name="XREF_COLUMN_17" hidden="1">[27]BS!#REF!</definedName>
    <definedName name="XREF_COLUMN_18" hidden="1">#N/A</definedName>
    <definedName name="XREF_COLUMN_19" hidden="1">[29]WTB!#REF!</definedName>
    <definedName name="XREF_COLUMN_2" hidden="1">[2]INDEX!#REF!</definedName>
    <definedName name="XREF_COLUMN_20" hidden="1">#N/A</definedName>
    <definedName name="XREF_COLUMN_21" hidden="1">[2]INDEX!#REF!</definedName>
    <definedName name="XREF_COLUMN_22" hidden="1">'[30]LS (2)'!$D$1:$D$65536</definedName>
    <definedName name="XREF_COLUMN_23" hidden="1">#N/A</definedName>
    <definedName name="XREF_COLUMN_24" hidden="1">'[30]건물 (2)'!$K$1:$K$65536</definedName>
    <definedName name="XREF_COLUMN_25" hidden="1">'[30]유선방송설비 (2)'!$D$1:$D$65536</definedName>
    <definedName name="XREF_COLUMN_26" hidden="1">'[30]차량운반구 (2)'!$D$1:$D$65536</definedName>
    <definedName name="XREF_COLUMN_27" hidden="1">'[30]전송선로설비 (2)'!$D$1:$D$65536</definedName>
    <definedName name="XREF_COLUMN_28" hidden="1">'[30]집기비품 (2)'!$D$1:$D$65536</definedName>
    <definedName name="XREF_COLUMN_29" hidden="1">'[30]공구기구 (2)'!$D$1:$D$65536</definedName>
    <definedName name="XREF_COLUMN_3" hidden="1">#REF!</definedName>
    <definedName name="XREF_COLUMN_30" hidden="1">'[30]건물 (2)'!$I$1:$I$65536</definedName>
    <definedName name="XREF_COLUMN_31" hidden="1">'[30]유선방송설비 (2)'!$I$1:$I$65536</definedName>
    <definedName name="XREF_COLUMN_32" hidden="1">'[2]1100'!#REF!</definedName>
    <definedName name="XREF_COLUMN_33" hidden="1">'[30]전송선로설비 (2)'!$I$1:$I$65536</definedName>
    <definedName name="XREF_COLUMN_34" hidden="1">#N/A</definedName>
    <definedName name="XREF_COLUMN_35" hidden="1">'[30]공구기구 (2)'!$I$1:$I$65536</definedName>
    <definedName name="XREF_COLUMN_36" hidden="1">#N/A</definedName>
    <definedName name="XREF_COLUMN_37" hidden="1">#REF!</definedName>
    <definedName name="XREF_COLUMN_38" hidden="1">'[30]구축물 (2)'!$M$1:$M$65536</definedName>
    <definedName name="XREF_COLUMN_39" hidden="1">'[30]유선방송설비 (2)'!$O$1:$O$65536</definedName>
    <definedName name="XREF_COLUMN_4" hidden="1">'[2]1100'!#REF!</definedName>
    <definedName name="XREF_COLUMN_40" hidden="1">'[30]차량운반구 (2)'!$O$1:$O$65536</definedName>
    <definedName name="XREF_COLUMN_41" hidden="1">'[30]전송선로설비 (2)'!$O$1:$O$65536</definedName>
    <definedName name="XREF_COLUMN_42" hidden="1">'[30]집기비품 (2)'!$O$1:$O$65536</definedName>
    <definedName name="XREF_COLUMN_43" hidden="1">'[30]컨버터 (2)'!$M$1:$M$65536</definedName>
    <definedName name="XREF_COLUMN_44" hidden="1">'[30]공구기구 (2)'!$O$1:$O$65536</definedName>
    <definedName name="XREF_COLUMN_45" hidden="1">'[30]건물 (2)'!$R$1:$R$65536</definedName>
    <definedName name="XREF_COLUMN_46" hidden="1">#REF!</definedName>
    <definedName name="XREF_COLUMN_47" hidden="1">'[30]구축물 (2)'!$O$1:$O$65536</definedName>
    <definedName name="XREF_COLUMN_48" hidden="1">'[30]유선방송설비 (2)'!$Q$1:$Q$65536</definedName>
    <definedName name="XREF_COLUMN_49" hidden="1">'[30]차량운반구 (2)'!$Q$1:$Q$65536</definedName>
    <definedName name="XREF_COLUMN_5" hidden="1">'[2]1100'!#REF!</definedName>
    <definedName name="XREF_COLUMN_50" hidden="1">'[30]전송선로설비 (2)'!$Q$1:$Q$65536</definedName>
    <definedName name="XREF_COLUMN_51" hidden="1">'[30]컨버터 (2)'!$O$1:$O$65536</definedName>
    <definedName name="XREF_COLUMN_52" hidden="1">'[30]집기비품 (2)'!$Q$1:$Q$65536</definedName>
    <definedName name="XREF_COLUMN_53" hidden="1">'[30]공구기구 (2)'!$Q$1:$Q$65536</definedName>
    <definedName name="XREF_COLUMN_54" hidden="1">#REF!</definedName>
    <definedName name="XREF_COLUMN_55" hidden="1">'[30]건물 (2)'!$AA$1:$AA$65536</definedName>
    <definedName name="XREF_COLUMN_56" hidden="1">#REF!</definedName>
    <definedName name="XREF_COLUMN_57" hidden="1">'[30]건물 (2)'!$Y$1:$Y$65536</definedName>
    <definedName name="XREF_COLUMN_58" hidden="1">'[30]건물 (2)'!$W$1:$W$65536</definedName>
    <definedName name="XREF_COLUMN_59" hidden="1">'[30]구축물 (2)'!$S$1:$S$65536</definedName>
    <definedName name="XREF_COLUMN_6" hidden="1">[27]BS!#REF!</definedName>
    <definedName name="XREF_COLUMN_60" hidden="1">#REF!</definedName>
    <definedName name="XREF_COLUMN_61" hidden="1">'[30]유선방송설비 (2)'!$Z$1:$Z$65536</definedName>
    <definedName name="XREF_COLUMN_62" hidden="1">'[30]유선방송설비 (2)'!$V$1:$V$65536</definedName>
    <definedName name="XREF_COLUMN_63" hidden="1">'[30]유선방송설비 (2)'!$X$1:$X$65536</definedName>
    <definedName name="XREF_COLUMN_64" hidden="1">'[30]차량운반구 (2)'!$Z$1:$Z$65536</definedName>
    <definedName name="XREF_COLUMN_65" hidden="1">'[30]차량운반구 (2)'!$X$1:$X$65536</definedName>
    <definedName name="XREF_COLUMN_66" hidden="1">'[30]차량운반구 (2)'!$V$1:$V$65536</definedName>
    <definedName name="XREF_COLUMN_67" hidden="1">'[30]전송선로설비 (2)'!$Z$1:$Z$65536</definedName>
    <definedName name="XREF_COLUMN_68" hidden="1">'[30]전송선로설비 (2)'!$X$1:$X$65536</definedName>
    <definedName name="XREF_COLUMN_69" hidden="1">'[30]전송선로설비 (2)'!$V$1:$V$65536</definedName>
    <definedName name="XREF_COLUMN_7" hidden="1">[27]BS!#REF!</definedName>
    <definedName name="XREF_COLUMN_70" hidden="1">'[30]컨버터 (2)'!$S$1:$S$65536</definedName>
    <definedName name="XREF_COLUMN_71" hidden="1">'[30]집기비품 (2)'!$Z$1:$Z$65536</definedName>
    <definedName name="XREF_COLUMN_72" hidden="1">'[30]집기비품 (2)'!$V$1:$V$65536</definedName>
    <definedName name="XREF_COLUMN_73" hidden="1">'[30]집기비품 (2)'!$X$1:$X$65536</definedName>
    <definedName name="XREF_COLUMN_74" hidden="1">'[30]공구기구 (2)'!$X$1:$X$65536</definedName>
    <definedName name="XREF_COLUMN_75" hidden="1">'[30]공구기구 (2)'!$T$1:$T$65536</definedName>
    <definedName name="XREF_COLUMN_76" hidden="1">'[30]공구기구 (2)'!$V$1:$V$65536</definedName>
    <definedName name="XREF_COLUMN_77" hidden="1">'[28]LS '!#REF!</definedName>
    <definedName name="XREF_COLUMN_79" hidden="1">'[28]LS '!#REF!</definedName>
    <definedName name="XREF_COLUMN_8" hidden="1">[27]BS!#REF!</definedName>
    <definedName name="XREF_COLUMN_81" hidden="1">'[28]LS '!#REF!</definedName>
    <definedName name="XREF_COLUMN_83" hidden="1">'[28]LS '!#REF!</definedName>
    <definedName name="XREF_COLUMN_87" hidden="1">'[28]LS '!#REF!</definedName>
    <definedName name="XREF_COLUMN_89" hidden="1">'[28]LS '!#REF!</definedName>
    <definedName name="XREF_COLUMN_9" hidden="1">[27]BS!#REF!</definedName>
    <definedName name="XREF_COLUMN_91" hidden="1">'[28]LS '!#REF!</definedName>
    <definedName name="XREF_COLUMN_93" hidden="1">'[28]LS '!#REF!</definedName>
    <definedName name="XREF_COLUMN_95" hidden="1">'[28]LS '!#REF!</definedName>
    <definedName name="XREF_COLUMN_97" hidden="1">'[28]LS '!#REF!</definedName>
    <definedName name="XRefActiveRow" hidden="1">[26]XREF!#REF!</definedName>
    <definedName name="XRefColumnsCount" hidden="1">1</definedName>
    <definedName name="XRefCopy1" hidden="1">#N/A</definedName>
    <definedName name="XRefCopy10" hidden="1">#REF!</definedName>
    <definedName name="XRefCopy100" hidden="1">#REF!</definedName>
    <definedName name="XRefCopy101" hidden="1">[2]INDEX!#REF!</definedName>
    <definedName name="XRefCopy101Row" hidden="1">#N/A</definedName>
    <definedName name="XRefCopy102" hidden="1">#REF!</definedName>
    <definedName name="XRefCopy103" hidden="1">#REF!</definedName>
    <definedName name="XRefCopy104" hidden="1">[2]INDEX!#REF!</definedName>
    <definedName name="XRefCopy104Row" hidden="1">#N/A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hidden="1">#REF!</definedName>
    <definedName name="XRefCopy120" hidden="1">[2]INDEX!#REF!</definedName>
    <definedName name="XRefCopy122Row" hidden="1">#N/A</definedName>
    <definedName name="XRefCopy123Row" hidden="1">#N/A</definedName>
    <definedName name="XRefCopy124Row" hidden="1">[2]INDEX!#REF!</definedName>
    <definedName name="XRefCopy125Row" hidden="1">[2]INDEX!#REF!</definedName>
    <definedName name="XRefCopy126Row" hidden="1">[2]INDEX!#REF!</definedName>
    <definedName name="XRefCopy12Row" hidden="1">#N/A</definedName>
    <definedName name="XRefCopy13" hidden="1">#REF!</definedName>
    <definedName name="XRefCopy13Row" hidden="1">#N/A</definedName>
    <definedName name="XRefCopy14" hidden="1">[26]F456!#REF!</definedName>
    <definedName name="XRefCopy14Row" hidden="1">#N/A</definedName>
    <definedName name="XRefCopy15" hidden="1">[27]BS!#REF!</definedName>
    <definedName name="XRefCopy15Row" hidden="1">#N/A</definedName>
    <definedName name="XRefCopy16" hidden="1">[26]F456!#REF!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hidden="1">#REF!</definedName>
    <definedName name="XRefCopy20Row" hidden="1">#N/A</definedName>
    <definedName name="XRefCopy21" hidden="1">[26]F456!#REF!</definedName>
    <definedName name="XRefCopy21Row" hidden="1">#N/A</definedName>
    <definedName name="XRefCopy22" hidden="1">#REF!</definedName>
    <definedName name="XRefCopy22Row" hidden="1">#N/A</definedName>
    <definedName name="XRefCopy23" hidden="1">#REF!</definedName>
    <definedName name="XRefCopy23Row" hidden="1">#N/A</definedName>
    <definedName name="XRefCopy24" hidden="1">#REF!</definedName>
    <definedName name="XRefCopy24Row" hidden="1">#N/A</definedName>
    <definedName name="XRefCopy25" hidden="1">#REF!</definedName>
    <definedName name="XRefCopy25Row" hidden="1">#N/A</definedName>
    <definedName name="XRefCopy26" hidden="1">#REF!</definedName>
    <definedName name="XRefCopy26Row" hidden="1">#N/A</definedName>
    <definedName name="XRefCopy27" hidden="1">#REF!</definedName>
    <definedName name="XRefCopy27Row" hidden="1">#N/A</definedName>
    <definedName name="XRefCopy28" hidden="1">#REF!</definedName>
    <definedName name="XRefCopy28Row" hidden="1">#N/A</definedName>
    <definedName name="XRefCopy29" hidden="1">#REF!</definedName>
    <definedName name="XRefCopy29Row" hidden="1">#N/A</definedName>
    <definedName name="XRefCopy2Row" hidden="1">#N/A</definedName>
    <definedName name="XRefCopy3" hidden="1">#REF!</definedName>
    <definedName name="XRefCopy30" hidden="1">#REF!</definedName>
    <definedName name="XRefCopy30Row" hidden="1">#N/A</definedName>
    <definedName name="XRefCopy31" hidden="1">#REF!</definedName>
    <definedName name="XRefCopy31Row" hidden="1">#N/A</definedName>
    <definedName name="XRefCopy32" hidden="1">#REF!</definedName>
    <definedName name="XRefCopy32Row" hidden="1">#N/A</definedName>
    <definedName name="XRefCopy33" hidden="1">#REF!</definedName>
    <definedName name="XRefCopy33Row" hidden="1">#N/A</definedName>
    <definedName name="XRefCopy34" hidden="1">#REF!</definedName>
    <definedName name="XRefCopy34Row" hidden="1">#N/A</definedName>
    <definedName name="XRefCopy35" hidden="1">#REF!</definedName>
    <definedName name="XRefCopy35Row" hidden="1">#N/A</definedName>
    <definedName name="XRefCopy36" hidden="1">#REF!</definedName>
    <definedName name="XRefCopy36Row" hidden="1">#N/A</definedName>
    <definedName name="XRefCopy37" hidden="1">#REF!</definedName>
    <definedName name="XRefCopy37Row" hidden="1">#N/A</definedName>
    <definedName name="XRefCopy38" hidden="1">#REF!</definedName>
    <definedName name="XRefCopy38Row" hidden="1">#N/A</definedName>
    <definedName name="XRefCopy39" hidden="1">#REF!</definedName>
    <definedName name="XRefCopy39Row" hidden="1">#N/A</definedName>
    <definedName name="XRefCopy3Row" hidden="1">#N/A</definedName>
    <definedName name="XRefCopy4" hidden="1">#REF!</definedName>
    <definedName name="XRefCopy40" hidden="1">'[2]1300'!#REF!</definedName>
    <definedName name="XRefCopy40Row" hidden="1">#N/A</definedName>
    <definedName name="XRefCopy41" hidden="1">'[2]1300'!#REF!</definedName>
    <definedName name="XRefCopy41Row" hidden="1">#N/A</definedName>
    <definedName name="XRefCopy42" hidden="1">'[2]1300'!#REF!</definedName>
    <definedName name="XRefCopy42Row" hidden="1">#N/A</definedName>
    <definedName name="XRefCopy43" hidden="1">'[2]1300'!#REF!</definedName>
    <definedName name="XRefCopy43Row" hidden="1">#N/A</definedName>
    <definedName name="XRefCopy44" hidden="1">'[2]1300'!#REF!</definedName>
    <definedName name="XRefCopy44Row" hidden="1">#N/A</definedName>
    <definedName name="XRefCopy45" hidden="1">'[2]1300'!#REF!</definedName>
    <definedName name="XRefCopy45Row" hidden="1">#N/A</definedName>
    <definedName name="XRefCopy46" hidden="1">'[2]1300'!#REF!</definedName>
    <definedName name="XRefCopy46Row" hidden="1">#N/A</definedName>
    <definedName name="XRefCopy47" hidden="1">'[2]1300'!#REF!</definedName>
    <definedName name="XRefCopy47Row" hidden="1">#N/A</definedName>
    <definedName name="XRefCopy48" hidden="1">'[2]1300'!#REF!</definedName>
    <definedName name="XRefCopy48Row" hidden="1">#N/A</definedName>
    <definedName name="XRefCopy49" hidden="1">'[2]1300'!#REF!</definedName>
    <definedName name="XRefCopy49Row" hidden="1">#N/A</definedName>
    <definedName name="XRefCopy4Row" hidden="1">#N/A</definedName>
    <definedName name="XRefCopy5" hidden="1">#REF!</definedName>
    <definedName name="XRefCopy50" hidden="1">'[2]1300'!#REF!</definedName>
    <definedName name="XRefCopy50Row" hidden="1">#N/A</definedName>
    <definedName name="XRefCopy51" hidden="1">'[2]1300'!#REF!</definedName>
    <definedName name="XRefCopy51Row" hidden="1">#N/A</definedName>
    <definedName name="XRefCopy52" hidden="1">'[2]1300'!#REF!</definedName>
    <definedName name="XRefCopy52Row" hidden="1">#N/A</definedName>
    <definedName name="XRefCopy53" hidden="1">'[2]1300'!#REF!</definedName>
    <definedName name="XRefCopy53Row" hidden="1">#N/A</definedName>
    <definedName name="XRefCopy54" hidden="1">'[2]1300'!#REF!</definedName>
    <definedName name="XRefCopy54Row" hidden="1">#N/A</definedName>
    <definedName name="XRefCopy55" hidden="1">'[2]1300'!#REF!</definedName>
    <definedName name="XRefCopy56" hidden="1">[2]INDEX!#REF!</definedName>
    <definedName name="XRefCopy56Row" hidden="1">#N/A</definedName>
    <definedName name="XRefCopy57" hidden="1">'[30]LS (2)'!$C$26</definedName>
    <definedName name="XRefCopy57Row" hidden="1">#N/A</definedName>
    <definedName name="XRefCopy58" hidden="1">[2]INDEX!#REF!</definedName>
    <definedName name="XRefCopy58Row" hidden="1">#N/A</definedName>
    <definedName name="XRefCopy59" hidden="1">[2]INDEX!#REF!</definedName>
    <definedName name="XRefCopy59Row" hidden="1">#N/A</definedName>
    <definedName name="XRefCopy5Row" hidden="1">#N/A</definedName>
    <definedName name="XRefCopy6" hidden="1">#REF!</definedName>
    <definedName name="XRefCopy60" hidden="1">'[30]LS (2)'!$C$28</definedName>
    <definedName name="XRefCopy60Row" hidden="1">#N/A</definedName>
    <definedName name="XRefCopy61" hidden="1">[2]INDEX!#REF!</definedName>
    <definedName name="XRefCopy61Row" hidden="1">#N/A</definedName>
    <definedName name="XRefCopy62" hidden="1">[2]INDEX!#REF!</definedName>
    <definedName name="XRefCopy62Row" hidden="1">#N/A</definedName>
    <definedName name="XRefCopy63" hidden="1">[2]INDEX!#REF!</definedName>
    <definedName name="XRefCopy63Row" hidden="1">#N/A</definedName>
    <definedName name="XRefCopy64" hidden="1">[2]INDEX!#REF!</definedName>
    <definedName name="XRefCopy64Row" hidden="1">#N/A</definedName>
    <definedName name="XRefCopy65" hidden="1">[2]INDEX!#REF!</definedName>
    <definedName name="XRefCopy65Row" hidden="1">#N/A</definedName>
    <definedName name="XRefCopy66" hidden="1">#REF!</definedName>
    <definedName name="XRefCopy66Row" hidden="1">#N/A</definedName>
    <definedName name="XRefCopy67" hidden="1">[2]INDEX!#REF!</definedName>
    <definedName name="XRefCopy67Row" hidden="1">#N/A</definedName>
    <definedName name="XRefCopy68" hidden="1">[2]INDEX!#REF!</definedName>
    <definedName name="XRefCopy68Row" hidden="1">#N/A</definedName>
    <definedName name="XRefCopy69" hidden="1">[2]INDEX!#REF!</definedName>
    <definedName name="XRefCopy69Row" hidden="1">#N/A</definedName>
    <definedName name="XRefCopy6Row" hidden="1">#N/A</definedName>
    <definedName name="XRefCopy7" hidden="1">[26]F456!#REF!</definedName>
    <definedName name="XRefCopy70" hidden="1">[2]INDEX!#REF!</definedName>
    <definedName name="XRefCopy70Row" hidden="1">#N/A</definedName>
    <definedName name="XRefCopy71" hidden="1">[2]INDEX!#REF!</definedName>
    <definedName name="XRefCopy71Row" hidden="1">#N/A</definedName>
    <definedName name="XRefCopy72" hidden="1">[2]INDEX!#REF!</definedName>
    <definedName name="XRefCopy72Row" hidden="1">#N/A</definedName>
    <definedName name="XRefCopy73" hidden="1">[2]INDEX!#REF!</definedName>
    <definedName name="XRefCopy73Row" hidden="1">#N/A</definedName>
    <definedName name="XRefCopy74" hidden="1">[2]INDEX!#REF!</definedName>
    <definedName name="XRefCopy74Row" hidden="1">#N/A</definedName>
    <definedName name="XRefCopy75" hidden="1">[2]INDEX!#REF!</definedName>
    <definedName name="XRefCopy75Row" hidden="1">#N/A</definedName>
    <definedName name="XRefCopy76" hidden="1">'[30]건물 (2)'!$Q$7</definedName>
    <definedName name="XRefCopy76Row" hidden="1">#N/A</definedName>
    <definedName name="XRefCopy77" hidden="1">'[30]구축물 (2)'!$N$12</definedName>
    <definedName name="XRefCopy77Row" hidden="1">#N/A</definedName>
    <definedName name="XRefCopy78" hidden="1">[2]INDEX!#REF!</definedName>
    <definedName name="XRefCopy78Row" hidden="1">#N/A</definedName>
    <definedName name="XRefCopy79" hidden="1">'[30]차량운반구 (2)'!$P$55</definedName>
    <definedName name="XRefCopy79Row" hidden="1">#N/A</definedName>
    <definedName name="XRefCopy7Row" hidden="1">#N/A</definedName>
    <definedName name="XRefCopy8" hidden="1">[26]F456!#REF!</definedName>
    <definedName name="XRefCopy80" hidden="1">[2]INDEX!#REF!</definedName>
    <definedName name="XRefCopy80Row" hidden="1">#N/A</definedName>
    <definedName name="XRefCopy81" hidden="1">'[30]컨버터 (2)'!$N$8</definedName>
    <definedName name="XRefCopy82" hidden="1">'[30]집기비품 (2)'!$P$143</definedName>
    <definedName name="XRefCopy83" hidden="1">'[30]공구기구 (2)'!$P$7</definedName>
    <definedName name="XRefCopy84" hidden="1">#REF!</definedName>
    <definedName name="XRefCopy85" hidden="1">'[30]건물 (2)'!$X$7</definedName>
    <definedName name="XRefCopy86" hidden="1">#REF!</definedName>
    <definedName name="XRefCopy87" hidden="1">'[30]건물 (2)'!$V$7</definedName>
    <definedName name="XRefCopy88" hidden="1">#REF!</definedName>
    <definedName name="XRefCopy89" hidden="1">#REF!</definedName>
    <definedName name="XRefCopy8Row" hidden="1">#N/A</definedName>
    <definedName name="XRefCopy9" hidden="1">[26]F456!#REF!</definedName>
    <definedName name="XRefCopy90" hidden="1">'[30]유선방송설비 (2)'!$U$316</definedName>
    <definedName name="XRefCopy91" hidden="1">#REF!</definedName>
    <definedName name="XRefCopy92" hidden="1">#REF!</definedName>
    <definedName name="XRefCopy93" hidden="1">'[30]차량운반구 (2)'!$W$55</definedName>
    <definedName name="XRefCopy94" hidden="1">#REF!</definedName>
    <definedName name="XRefCopy95" hidden="1">#REF!</definedName>
    <definedName name="XRefCopy96" hidden="1">'[30]전송선로설비 (2)'!$W$44</definedName>
    <definedName name="XRefCopy97" hidden="1">#REF!</definedName>
    <definedName name="XRefCopy98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0Row" hidden="1">'[2]2600'!#REF!</definedName>
    <definedName name="XRefPaste101" hidden="1">'[2]2600'!#REF!</definedName>
    <definedName name="XRefPaste101Row" hidden="1">'[2]2600'!#REF!</definedName>
    <definedName name="XRefPaste102" hidden="1">'[2]2600'!#REF!</definedName>
    <definedName name="XRefPaste102Row" hidden="1">'[2]2600'!#REF!</definedName>
    <definedName name="XRefPaste104Row" hidden="1">'[2]2600'!#REF!</definedName>
    <definedName name="XRefPaste105" hidden="1">#REF!</definedName>
    <definedName name="XRefPaste105Row" hidden="1">'[2]2600'!#REF!</definedName>
    <definedName name="XRefPaste106" hidden="1">#REF!</definedName>
    <definedName name="XRefPaste106Row" hidden="1">'[2]2600'!#REF!</definedName>
    <definedName name="XRefPaste107" hidden="1">[1]IS!#REF!</definedName>
    <definedName name="XRefPaste107Row" hidden="1">'[2]2600'!#REF!</definedName>
    <definedName name="XRefPaste108" hidden="1">[1]IS!#REF!</definedName>
    <definedName name="XRefPaste108Row" hidden="1">'[2]2600'!#REF!</definedName>
    <definedName name="XRefPaste109" hidden="1">[1]IS!#REF!</definedName>
    <definedName name="XRefPaste10Row" hidden="1">[31]심리RN!#REF!</definedName>
    <definedName name="XRefPaste11" hidden="1">#N/A</definedName>
    <definedName name="XRefPaste110" hidden="1">[1]IS!#REF!</definedName>
    <definedName name="XRefPaste111" hidden="1">'[29]PAJE,PRJE'!#REF!</definedName>
    <definedName name="XRefPaste112" hidden="1">'[29]PAJE,PRJE'!#REF!</definedName>
    <definedName name="XRefPaste113" hidden="1">'[29]PAJE,PRJE'!#REF!</definedName>
    <definedName name="XRefPaste114" hidden="1">'[2]2500'!#REF!</definedName>
    <definedName name="XRefPaste115" hidden="1">'[2]2500'!#REF!</definedName>
    <definedName name="XRefPaste116" hidden="1">'[2]2500'!#REF!</definedName>
    <definedName name="XRefPaste117" hidden="1">'[2]2500'!#REF!</definedName>
    <definedName name="XRefPaste12" hidden="1">#REF!</definedName>
    <definedName name="XRefPaste120" hidden="1">'[2]2500'!#REF!</definedName>
    <definedName name="XRefPaste121" hidden="1">'[2]2500'!#REF!</definedName>
    <definedName name="XRefPaste124" hidden="1">'[2]2500'!#REF!</definedName>
    <definedName name="XRefPaste126" hidden="1">'[2]2500'!#REF!</definedName>
    <definedName name="XRefPaste129" hidden="1">'[2]2500'!#REF!</definedName>
    <definedName name="XRefPaste13" hidden="1">#REF!</definedName>
    <definedName name="XRefPaste130" hidden="1">'[2]2500'!#REF!</definedName>
    <definedName name="XRefPaste134" hidden="1">'[2]2500'!#REF!</definedName>
    <definedName name="XRefPaste135" hidden="1">'[2]2500'!#REF!</definedName>
    <definedName name="XRefPaste136" hidden="1">'[2]2500'!#REF!</definedName>
    <definedName name="XRefPaste138" hidden="1">'[2]2500'!#REF!</definedName>
    <definedName name="XRefPaste14" hidden="1">#REF!</definedName>
    <definedName name="XRefPaste140" hidden="1">'[2]2600'!#REF!</definedName>
    <definedName name="XRefPaste143" hidden="1">'[29]PAJE,PRJE'!#REF!</definedName>
    <definedName name="XRefPaste144" hidden="1">'[2]2600'!#REF!</definedName>
    <definedName name="XRefPaste145" hidden="1">'[2]2600'!#REF!</definedName>
    <definedName name="XRefPaste146" hidden="1">'[2]2600'!#REF!</definedName>
    <definedName name="XRefPaste146Row" hidden="1">#REF!</definedName>
    <definedName name="XRefPaste147" hidden="1">'[2]2600'!#REF!</definedName>
    <definedName name="XRefPaste147Row" hidden="1">#REF!</definedName>
    <definedName name="XRefPaste148" hidden="1">[1]IS!#REF!</definedName>
    <definedName name="XRefPaste149" hidden="1">[1]IS!#REF!</definedName>
    <definedName name="XRefPaste15" hidden="1">#REF!</definedName>
    <definedName name="XRefPaste150" hidden="1">[1]IS!#REF!</definedName>
    <definedName name="XRefPaste151" hidden="1">[1]IS!#REF!</definedName>
    <definedName name="XRefPaste152" hidden="1">[1]IS!#REF!</definedName>
    <definedName name="XRefPaste153" hidden="1">'[2]2600'!#REF!</definedName>
    <definedName name="XRefPaste154" hidden="1">'[2]2600'!#REF!</definedName>
    <definedName name="XRefPaste155" hidden="1">[1]IS!#REF!</definedName>
    <definedName name="XRefPaste156" hidden="1">[1]IS!#REF!</definedName>
    <definedName name="XRefPaste157" hidden="1">[1]IS!#REF!</definedName>
    <definedName name="XRefPaste158" hidden="1">[1]IS!#REF!</definedName>
    <definedName name="XRefPaste159" hidden="1">[1]IS!#REF!</definedName>
    <definedName name="XRefPaste15Row" hidden="1">'[2]1300'!#REF!</definedName>
    <definedName name="XRefPaste16" hidden="1">#N/A</definedName>
    <definedName name="XRefPaste160" hidden="1">[1]IS!#REF!</definedName>
    <definedName name="XRefPaste161" hidden="1">'[2]2600'!#REF!</definedName>
    <definedName name="XRefPaste162" hidden="1">'[2]2600'!#REF!</definedName>
    <definedName name="XRefPaste163" hidden="1">[1]IS!#REF!</definedName>
    <definedName name="XRefPaste164" hidden="1">[1]IS!#REF!</definedName>
    <definedName name="XRefPaste165" hidden="1">[1]IS!#REF!</definedName>
    <definedName name="XRefPaste166" hidden="1">[1]IS!#REF!</definedName>
    <definedName name="XRefPaste167" hidden="1">[1]IS!#REF!</definedName>
    <definedName name="XRefPaste168" hidden="1">[1]IS!#REF!</definedName>
    <definedName name="XRefPaste169" hidden="1">[1]IS!#REF!</definedName>
    <definedName name="XRefPaste16Row" hidden="1">'[2]1300'!#REF!</definedName>
    <definedName name="XRefPaste17" hidden="1">#N/A</definedName>
    <definedName name="XRefPaste170" hidden="1">[1]IS!#REF!</definedName>
    <definedName name="XRefPaste171" hidden="1">[1]IS!#REF!</definedName>
    <definedName name="XRefPaste172" hidden="1">[1]IS!#REF!</definedName>
    <definedName name="XRefPaste173" hidden="1">[1]IS!#REF!</definedName>
    <definedName name="XRefPaste174" hidden="1">[1]IS!#REF!</definedName>
    <definedName name="XRefPaste175" hidden="1">[1]IS!#REF!</definedName>
    <definedName name="XRefPaste179" hidden="1">[1]IS!#REF!</definedName>
    <definedName name="XRefPaste17Row" hidden="1">'[2]1300'!#REF!</definedName>
    <definedName name="XRefPaste18" hidden="1">#N/A</definedName>
    <definedName name="XRefPaste180" hidden="1">[1]IS!#REF!</definedName>
    <definedName name="XRefPaste180Row" hidden="1">[32]XREF!#REF!</definedName>
    <definedName name="XRefPaste181" hidden="1">[1]IS!#REF!</definedName>
    <definedName name="XRefPaste182" hidden="1">[1]IS!#REF!</definedName>
    <definedName name="XRefPaste183" hidden="1">[1]IS!#REF!</definedName>
    <definedName name="XRefPaste184" hidden="1">'[2]2600'!#REF!</definedName>
    <definedName name="XRefPaste185" hidden="1">'[2]2600'!#REF!</definedName>
    <definedName name="XRefPaste186" hidden="1">[1]IS!#REF!</definedName>
    <definedName name="XRefPaste187" hidden="1">[1]IS!#REF!</definedName>
    <definedName name="XRefPaste188" hidden="1">'[2]2600'!#REF!</definedName>
    <definedName name="XRefPaste189" hidden="1">'[2]2600'!#REF!</definedName>
    <definedName name="XRefPaste18Row" hidden="1">[33]XREF!#REF!</definedName>
    <definedName name="XRefPaste19" hidden="1">#N/A</definedName>
    <definedName name="XRefPaste190Row" hidden="1">'[2]3100'!#REF!</definedName>
    <definedName name="XRefPaste191Row" hidden="1">'[2]3100'!#REF!</definedName>
    <definedName name="XRefPaste192Row" hidden="1">'[2]3100'!#REF!</definedName>
    <definedName name="XRefPaste193Row" hidden="1">'[2]3100'!#REF!</definedName>
    <definedName name="XRefPaste194" hidden="1">'[2]2500'!#REF!</definedName>
    <definedName name="XRefPaste194Row" hidden="1">'[2]3100'!#REF!</definedName>
    <definedName name="XRefPaste195Row" hidden="1">'[2]3100'!#REF!</definedName>
    <definedName name="XRefPaste196Row" hidden="1">'[2]3100'!#REF!</definedName>
    <definedName name="XRefPaste197" hidden="1">'[2]2500'!#REF!</definedName>
    <definedName name="XRefPaste197Row" hidden="1">'[2]3100'!#REF!</definedName>
    <definedName name="XRefPaste198" hidden="1">'[29]PAJE,PRJE'!#REF!</definedName>
    <definedName name="XRefPaste198Row" hidden="1">'[2]3100'!#REF!</definedName>
    <definedName name="XRefPaste199" hidden="1">#REF!</definedName>
    <definedName name="XRefPaste199Row" hidden="1">'[2]3100'!#REF!</definedName>
    <definedName name="XRefPaste19Row" hidden="1">[33]XREF!#REF!</definedName>
    <definedName name="XRefPaste2" hidden="1">#N/A</definedName>
    <definedName name="XRefPaste20" hidden="1">'[2]1300'!#REF!</definedName>
    <definedName name="XRefPaste200" hidden="1">#REF!</definedName>
    <definedName name="XRefPaste200Row" hidden="1">'[2]3100'!#REF!</definedName>
    <definedName name="XRefPaste201" hidden="1">'[2]2500'!#REF!</definedName>
    <definedName name="XRefPaste201Row" hidden="1">'[2]3100'!#REF!</definedName>
    <definedName name="XRefPaste202" hidden="1">'[2]2500'!#REF!</definedName>
    <definedName name="XRefPaste202Row" hidden="1">'[2]3100'!#REF!</definedName>
    <definedName name="XRefPaste203" hidden="1">'[2]2500'!#REF!</definedName>
    <definedName name="XRefPaste203Row" hidden="1">'[2]3100'!#REF!</definedName>
    <definedName name="XRefPaste204" hidden="1">#REF!</definedName>
    <definedName name="XRefPaste204Row" hidden="1">'[2]3100'!#REF!</definedName>
    <definedName name="XRefPaste205" hidden="1">#REF!</definedName>
    <definedName name="XRefPaste205Row" hidden="1">'[2]3100'!#REF!</definedName>
    <definedName name="XRefPaste206" hidden="1">#REF!</definedName>
    <definedName name="XRefPaste206Row" hidden="1">'[2]3100'!#REF!</definedName>
    <definedName name="XRefPaste207" hidden="1">#REF!</definedName>
    <definedName name="XRefPaste207Row" hidden="1">'[2]3100'!#REF!</definedName>
    <definedName name="XRefPaste208" hidden="1">'[2]2500'!#REF!</definedName>
    <definedName name="XRefPaste208Row" hidden="1">'[2]3100'!#REF!</definedName>
    <definedName name="XRefPaste209" hidden="1">'[2]2500'!#REF!</definedName>
    <definedName name="XRefPaste209Row" hidden="1">'[2]3100'!#REF!</definedName>
    <definedName name="XRefPaste20Row" hidden="1">[33]XREF!#REF!</definedName>
    <definedName name="XRefPaste21" hidden="1">'[2]1300'!#REF!</definedName>
    <definedName name="XRefPaste210" hidden="1">#REF!</definedName>
    <definedName name="XRefPaste210Row" hidden="1">'[2]3100'!#REF!</definedName>
    <definedName name="XRefPaste211" hidden="1">#REF!</definedName>
    <definedName name="XRefPaste211Row" hidden="1">'[2]3100'!#REF!</definedName>
    <definedName name="XRefPaste212" hidden="1">#REF!</definedName>
    <definedName name="XRefPaste212Row" hidden="1">'[2]3100'!#REF!</definedName>
    <definedName name="XRefPaste213" hidden="1">#REF!</definedName>
    <definedName name="XRefPaste213Row" hidden="1">'[2]3100'!#REF!</definedName>
    <definedName name="XRefPaste214" hidden="1">#REF!</definedName>
    <definedName name="XRefPaste214Row" hidden="1">'[2]3100'!#REF!</definedName>
    <definedName name="XRefPaste215" hidden="1">'[2]2500'!#REF!</definedName>
    <definedName name="XRefPaste215Row" hidden="1">'[2]3100'!#REF!</definedName>
    <definedName name="XRefPaste216" hidden="1">#REF!</definedName>
    <definedName name="XRefPaste216Row" hidden="1">'[2]3100'!#REF!</definedName>
    <definedName name="XRefPaste217" hidden="1">#REF!</definedName>
    <definedName name="XRefPaste217Row" hidden="1">'[2]3100'!#REF!</definedName>
    <definedName name="XRefPaste218" hidden="1">#REF!</definedName>
    <definedName name="XRefPaste218Row" hidden="1">'[2]3100'!#REF!</definedName>
    <definedName name="XRefPaste219" hidden="1">#REF!</definedName>
    <definedName name="XRefPaste219Row" hidden="1">'[2]3100'!#REF!</definedName>
    <definedName name="XRefPaste21Row" hidden="1">[33]XREF!#REF!</definedName>
    <definedName name="XRefPaste22" hidden="1">'[2]1300'!#REF!</definedName>
    <definedName name="XRefPaste220" hidden="1">#REF!</definedName>
    <definedName name="XRefPaste220Row" hidden="1">'[2]3100'!#REF!</definedName>
    <definedName name="XRefPaste221" hidden="1">#REF!</definedName>
    <definedName name="XRefPaste221Row" hidden="1">'[2]3100'!#REF!</definedName>
    <definedName name="XRefPaste222" hidden="1">#REF!</definedName>
    <definedName name="XRefPaste222Row" hidden="1">'[2]3100'!#REF!</definedName>
    <definedName name="XRefPaste223" hidden="1">#REF!</definedName>
    <definedName name="XRefPaste223Row" hidden="1">'[2]3100'!#REF!</definedName>
    <definedName name="XRefPaste224" hidden="1">#REF!</definedName>
    <definedName name="XRefPaste224Row" hidden="1">'[2]3100'!#REF!</definedName>
    <definedName name="XRefPaste225" hidden="1">#REF!</definedName>
    <definedName name="XRefPaste225Row" hidden="1">'[2]3100'!#REF!</definedName>
    <definedName name="XRefPaste226" hidden="1">#REF!</definedName>
    <definedName name="XRefPaste226Row" hidden="1">'[2]3100'!#REF!</definedName>
    <definedName name="XRefPaste227" hidden="1">#REF!</definedName>
    <definedName name="XRefPaste227Row" hidden="1">'[2]3100'!#REF!</definedName>
    <definedName name="XRefPaste228" hidden="1">#REF!</definedName>
    <definedName name="XRefPaste228Row" hidden="1">'[2]3100'!#REF!</definedName>
    <definedName name="XRefPaste229" hidden="1">#REF!</definedName>
    <definedName name="XRefPaste229Row" hidden="1">'[2]3100'!#REF!</definedName>
    <definedName name="XRefPaste22Row" hidden="1">[33]XREF!#REF!</definedName>
    <definedName name="XRefPaste23" hidden="1">'[29]PAJE,PRJE'!#REF!</definedName>
    <definedName name="XRefPaste230" hidden="1">#REF!</definedName>
    <definedName name="XRefPaste230Row" hidden="1">'[2]3100'!#REF!</definedName>
    <definedName name="XRefPaste231" hidden="1">#REF!</definedName>
    <definedName name="XRefPaste231Row" hidden="1">'[2]3100'!#REF!</definedName>
    <definedName name="XRefPaste232" hidden="1">#REF!</definedName>
    <definedName name="XRefPaste232Row" hidden="1">'[2]3100'!#REF!</definedName>
    <definedName name="XRefPaste233Row" hidden="1">'[2]3100'!#REF!</definedName>
    <definedName name="XRefPaste234Row" hidden="1">'[2]3100'!#REF!</definedName>
    <definedName name="XRefPaste235" hidden="1">[29]WTB!#REF!</definedName>
    <definedName name="XRefPaste235Row" hidden="1">'[2]3100'!#REF!</definedName>
    <definedName name="XRefPaste236Row" hidden="1">'[2]3100'!#REF!</definedName>
    <definedName name="XRefPaste237Row" hidden="1">'[2]3100'!#REF!</definedName>
    <definedName name="XRefPaste238Row" hidden="1">'[2]3100'!#REF!</definedName>
    <definedName name="XRefPaste239Row" hidden="1">'[2]3100'!#REF!</definedName>
    <definedName name="XRefPaste23Row" hidden="1">[33]XREF!#REF!</definedName>
    <definedName name="XRefPaste24" hidden="1">#REF!</definedName>
    <definedName name="XRefPaste240" hidden="1">'[2]2600'!#REF!</definedName>
    <definedName name="XRefPaste240Row" hidden="1">'[2]3100'!#REF!</definedName>
    <definedName name="XRefPaste241" hidden="1">'[2]2600'!#REF!</definedName>
    <definedName name="XRefPaste241Row" hidden="1">'[2]3100'!#REF!</definedName>
    <definedName name="XRefPaste242" hidden="1">'[2]2600'!#REF!</definedName>
    <definedName name="XRefPaste242Row" hidden="1">'[2]3100'!#REF!</definedName>
    <definedName name="XRefPaste243" hidden="1">'[2]2600'!#REF!</definedName>
    <definedName name="XRefPaste243Row" hidden="1">'[2]3100'!#REF!</definedName>
    <definedName name="XRefPaste244" hidden="1">'[2]2600'!#REF!</definedName>
    <definedName name="XRefPaste244Row" hidden="1">'[2]3100'!#REF!</definedName>
    <definedName name="XRefPaste245Row" hidden="1">'[2]3100'!#REF!</definedName>
    <definedName name="XRefPaste246Row" hidden="1">'[2]3100'!#REF!</definedName>
    <definedName name="XRefPaste24Row" hidden="1">[33]XREF!#REF!</definedName>
    <definedName name="XRefPaste25" hidden="1">#REF!</definedName>
    <definedName name="XRefPaste25Row" hidden="1">[33]XREF!#REF!</definedName>
    <definedName name="XRefPaste26" hidden="1">#REF!</definedName>
    <definedName name="XRefPaste26Row" hidden="1">[33]XREF!#REF!</definedName>
    <definedName name="XRefPaste27" hidden="1">'[29]PAJE,PRJE'!#REF!</definedName>
    <definedName name="XRefPaste27Row" hidden="1">[33]XREF!#REF!</definedName>
    <definedName name="XRefPaste28" hidden="1">'[29]PAJE,PRJE'!#REF!</definedName>
    <definedName name="XRefPaste28Row" hidden="1">[33]XREF!#REF!</definedName>
    <definedName name="XRefPaste29" hidden="1">[2]INDEX!#REF!</definedName>
    <definedName name="XRefPaste29Row" hidden="1">[33]XREF!#REF!</definedName>
    <definedName name="XRefPaste2Row" hidden="1">#N/A</definedName>
    <definedName name="XRefPaste3" hidden="1">#REF!</definedName>
    <definedName name="XRefPaste30" hidden="1">'[29]PAJE,PRJE'!#REF!</definedName>
    <definedName name="XRefPaste30Row" hidden="1">'[2]1300'!#REF!</definedName>
    <definedName name="XRefPaste31" hidden="1">'[29]PAJE,PRJE'!#REF!</definedName>
    <definedName name="XRefPaste31Row" hidden="1">'[2]1300'!#REF!</definedName>
    <definedName name="XRefPaste32" hidden="1">[2]INDEX!#REF!</definedName>
    <definedName name="XRefPaste32Row" hidden="1">#N/A</definedName>
    <definedName name="XRefPaste33" hidden="1">[27]BS!#REF!</definedName>
    <definedName name="XRefPaste33Row" hidden="1">[33]XREF!#REF!</definedName>
    <definedName name="XRefPaste34" hidden="1">[27]BS!#REF!</definedName>
    <definedName name="XRefPaste34Row" hidden="1">#N/A</definedName>
    <definedName name="XRefPaste35" hidden="1">[27]BS!#REF!</definedName>
    <definedName name="XRefPaste35Row" hidden="1">#N/A</definedName>
    <definedName name="XRefPaste36" hidden="1">[27]BS!#REF!</definedName>
    <definedName name="XRefPaste36Row" hidden="1">#N/A</definedName>
    <definedName name="XRefPaste37" hidden="1">[27]BS!#REF!</definedName>
    <definedName name="XRefPaste37Row" hidden="1">#N/A</definedName>
    <definedName name="XRefPaste38" hidden="1">[27]BS!#REF!</definedName>
    <definedName name="XRefPaste38Row" hidden="1">#N/A</definedName>
    <definedName name="XRefPaste39" hidden="1">[27]BS!#REF!</definedName>
    <definedName name="XRefPaste39Row" hidden="1">#N/A</definedName>
    <definedName name="XRefPaste3Row" hidden="1">#N/A</definedName>
    <definedName name="XRefPaste4" hidden="1">#REF!</definedName>
    <definedName name="XRefPaste40" hidden="1">[27]BS!#REF!</definedName>
    <definedName name="XRefPaste40Row" hidden="1">#N/A</definedName>
    <definedName name="XRefPaste41" hidden="1">[27]BS!#REF!</definedName>
    <definedName name="XRefPaste41Row" hidden="1">#N/A</definedName>
    <definedName name="XRefPaste42" hidden="1">[27]BS!#REF!</definedName>
    <definedName name="XRefPaste42Row" hidden="1">#N/A</definedName>
    <definedName name="XRefPaste43" hidden="1">'[29]PAJE,PRJE'!#REF!</definedName>
    <definedName name="XRefPaste43Row" hidden="1">#N/A</definedName>
    <definedName name="XRefPaste44" hidden="1">'[29]PAJE,PRJE'!#REF!</definedName>
    <definedName name="XRefPaste44Row" hidden="1">#N/A</definedName>
    <definedName name="XRefPaste45" hidden="1">'[2]2600'!#REF!</definedName>
    <definedName name="XRefPaste45Row" hidden="1">#N/A</definedName>
    <definedName name="XRefPaste46" hidden="1">'[29]PAJE,PRJE'!#REF!</definedName>
    <definedName name="XRefPaste47" hidden="1">#REF!</definedName>
    <definedName name="XRefPaste48" hidden="1">#REF!</definedName>
    <definedName name="XRefPaste49" hidden="1">'[30]유선방송설비 (2)'!$H$316</definedName>
    <definedName name="XRefPaste4Row" hidden="1">#N/A</definedName>
    <definedName name="XRefPaste5" hidden="1">[27]BS!#REF!</definedName>
    <definedName name="XRefPaste50" hidden="1">'[30]차량운반구 (2)'!$H$55</definedName>
    <definedName name="XRefPaste51" hidden="1">'[30]전송선로설비 (2)'!$H$21</definedName>
    <definedName name="XRefPaste52" hidden="1">'[30]집기비품 (2)'!$H$94</definedName>
    <definedName name="XRefPaste53" hidden="1">'[30]공구기구 (2)'!$H$7</definedName>
    <definedName name="XRefPaste54" hidden="1">#REF!</definedName>
    <definedName name="XRefPaste55" hidden="1">'[30]구축물 (2)'!$L$12</definedName>
    <definedName name="XRefPaste56" hidden="1">#REF!</definedName>
    <definedName name="XRefPaste58" hidden="1">#REF!</definedName>
    <definedName name="XRefPaste59" hidden="1">'[30]전송선로설비 (2)'!$N$44</definedName>
    <definedName name="XRefPaste5Row" hidden="1">#N/A</definedName>
    <definedName name="XRefPaste6" hidden="1">[27]BS!#REF!</definedName>
    <definedName name="XRefPaste60" hidden="1">#REF!</definedName>
    <definedName name="XRefPaste61" hidden="1">#REF!</definedName>
    <definedName name="XRefPaste62" hidden="1">#REF!</definedName>
    <definedName name="XRefPaste64" hidden="1">#REF!</definedName>
    <definedName name="XRefPaste65" hidden="1">#REF!</definedName>
    <definedName name="XRefPaste66" hidden="1">'[29]PAJE,PRJE'!#REF!</definedName>
    <definedName name="XRefPaste68" hidden="1">'[29]PAJE,PRJE'!#REF!</definedName>
    <definedName name="XRefPaste69" hidden="1">'[29]PAJE,PRJE'!#REF!</definedName>
    <definedName name="XRefPaste6Row" hidden="1">#N/A</definedName>
    <definedName name="XRefPaste7" hidden="1">[27]BS!#REF!</definedName>
    <definedName name="XRefPaste70" hidden="1">'[29]PAJE,PRJE'!#REF!</definedName>
    <definedName name="XRefPaste71" hidden="1">'[29]PAJE,PRJE'!#REF!</definedName>
    <definedName name="XRefPaste72" hidden="1">'[30]건물 (2)'!$Z$7</definedName>
    <definedName name="XRefPaste73" hidden="1">'[30]건물 (2)'!$X$7</definedName>
    <definedName name="XRefPaste74" hidden="1">#REF!</definedName>
    <definedName name="XRefPaste75" hidden="1">'[30]구축물 (2)'!$R$12</definedName>
    <definedName name="XRefPaste76" hidden="1">#REF!</definedName>
    <definedName name="XRefPaste77" hidden="1">#REF!</definedName>
    <definedName name="XRefPaste78" hidden="1">#REF!</definedName>
    <definedName name="XRefPaste79" hidden="1">'[30]차량운반구 (2)'!$Y$55</definedName>
    <definedName name="XRefPaste7Row" hidden="1">#N/A</definedName>
    <definedName name="XRefPaste8" hidden="1">[27]BS!#REF!</definedName>
    <definedName name="XRefPaste80" hidden="1">#REF!</definedName>
    <definedName name="XRefPaste81" hidden="1">'[30]차량운반구 (2)'!$U$55</definedName>
    <definedName name="XRefPaste82" hidden="1">'[30]전송선로설비 (2)'!$Y$21</definedName>
    <definedName name="XRefPaste83" hidden="1">#REF!</definedName>
    <definedName name="XRefPaste84" hidden="1">'[30]전송선로설비 (2)'!$U$21</definedName>
    <definedName name="XRefPaste85" hidden="1">'[30]컨버터 (2)'!$R$8</definedName>
    <definedName name="XRefPaste86" hidden="1">'[30]집기비품 (2)'!$Y$94</definedName>
    <definedName name="XRefPaste87" hidden="1">'[30]집기비품 (2)'!$U$94</definedName>
    <definedName name="XRefPaste88" hidden="1">'[30]집기비품 (2)'!$W$143</definedName>
    <definedName name="XRefPaste89" hidden="1">'[30]공구기구 (2)'!$W$7</definedName>
    <definedName name="XRefPaste89Row" hidden="1">'[2]2600'!#REF!</definedName>
    <definedName name="XRefPaste8Row" hidden="1">#N/A</definedName>
    <definedName name="XRefPaste9" hidden="1">[27]BS!#REF!</definedName>
    <definedName name="XRefPaste90" hidden="1">'[30]공구기구 (2)'!$S$7</definedName>
    <definedName name="XRefPaste90Row" hidden="1">'[2]2600'!#REF!</definedName>
    <definedName name="XRefPaste91" hidden="1">'[2]2500'!#REF!</definedName>
    <definedName name="XRefPaste91Row" hidden="1">'[2]2600'!#REF!</definedName>
    <definedName name="XRefPaste92" hidden="1">'[2]2500'!#REF!</definedName>
    <definedName name="XRefPaste92Row" hidden="1">'[2]2600'!#REF!</definedName>
    <definedName name="XRefPaste93" hidden="1">'[2]2500'!#REF!</definedName>
    <definedName name="XRefPaste93Row" hidden="1">'[2]2600'!#REF!</definedName>
    <definedName name="XRefPaste94Row" hidden="1">'[2]2600'!#REF!</definedName>
    <definedName name="XRefPaste95Row" hidden="1">'[2]2600'!#REF!</definedName>
    <definedName name="XRefPaste96" hidden="1">'[2]2500'!#REF!</definedName>
    <definedName name="XRefPaste96Row" hidden="1">'[2]2600'!#REF!</definedName>
    <definedName name="XRefPaste97" hidden="1">'[2]2500'!#REF!</definedName>
    <definedName name="XRefPaste97Row" hidden="1">'[2]2600'!#REF!</definedName>
    <definedName name="XRefPaste98" hidden="1">'[2]2500'!#REF!</definedName>
    <definedName name="XRefPaste98Row" hidden="1">'[2]2600'!#REF!</definedName>
    <definedName name="XRefPaste99" hidden="1">'[2]2500'!#REF!</definedName>
    <definedName name="XRefPaste99Row" hidden="1">'[2]2600'!#REF!</definedName>
    <definedName name="XRefPaste9Row" hidden="1">#N/A</definedName>
    <definedName name="XRefPasteRangeCount" hidden="1">2</definedName>
    <definedName name="XS" hidden="1">{#N/A,#N/A,FALSE,"을지 (4)";#N/A,#N/A,FALSE,"을지 (5)";#N/A,#N/A,FALSE,"을지 (6)"}</definedName>
    <definedName name="xxxxxxxxxxxxxxxx">[4]!xxxxxxxxxxxxxxxx</definedName>
    <definedName name="yejhg">[4]!BlankMacro1</definedName>
    <definedName name="YEN1">#N/A</definedName>
    <definedName name="YEN2">#N/A</definedName>
    <definedName name="YEN3">#N/A</definedName>
    <definedName name="YEN4">#N/A</definedName>
    <definedName name="YesNoNA">'[6]Drop down'!$G$6:$G$9</definedName>
    <definedName name="YR">'[2]2500'!#REF!</definedName>
    <definedName name="yre">#N/A</definedName>
    <definedName name="YRR">'[2]2500'!#REF!</definedName>
    <definedName name="ytr">#N/A</definedName>
    <definedName name="ytty">[4]!ytty</definedName>
    <definedName name="yyy">[4]!yyy</definedName>
    <definedName name="ZP">#REF!</definedName>
    <definedName name="zser">[2]INDEX!#REF!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zxcv">[4]!zxcv</definedName>
    <definedName name="ZZ">[4]!ZZ</definedName>
    <definedName name="zzz">[4]!zzz</definedName>
    <definedName name="zzzz">[4]!zzzz</definedName>
    <definedName name="zzzzzzzzzzzzzzz">[4]!zzzzzzzzzzzzzzz</definedName>
    <definedName name="ппп" hidden="1">#N/A</definedName>
    <definedName name="ㄱ" hidden="1">{#N/A,#N/A,FALSE,"BS";#N/A,#N/A,FALSE,"PL";#N/A,#N/A,FALSE,"처분";#N/A,#N/A,FALSE,"현금";#N/A,#N/A,FALSE,"매출";#N/A,#N/A,FALSE,"원가";#N/A,#N/A,FALSE,"경영"}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hidden="1">{#N/A,#N/A,FALSE,"UNIT";#N/A,#N/A,FALSE,"UNIT";#N/A,#N/A,FALSE,"계정"}</definedName>
    <definedName name="ㄱㄱㄱㄱㄱ" hidden="1">{#N/A,#N/A,FALSE,"UNIT";#N/A,#N/A,FALSE,"UNIT";#N/A,#N/A,FALSE,"계정"}</definedName>
    <definedName name="ㄱ가ㅓ">[4]!ㄱ가ㅓ</definedName>
    <definedName name="ㄱ노">[4]!ㄱ노</definedName>
    <definedName name="ㄱ녹ㄴ소">[4]!ㄱ녹ㄴ소</definedName>
    <definedName name="ㄱㄷㄱ">[4]!BlankMacro1</definedName>
    <definedName name="ㄱㄷㄷ2ㄱ2ㄱ2ㄱ2">[4]!ㄱㄷㄷ2ㄱ2ㄱ2ㄱ2</definedName>
    <definedName name="ㄱ듀">[4]!ㄱ듀</definedName>
    <definedName name="ㄱ소ㅠ">[4]!ㄱ소ㅠ</definedName>
    <definedName name="ㄱ솏">[4]!ㄱ솏</definedName>
    <definedName name="ㄱ슈곡ㄴ">[4]!ㄱ슈곡ㄴ</definedName>
    <definedName name="ㄱㅇ" hidden="1">{#N/A,#N/A,FALSE,"단축1";#N/A,#N/A,FALSE,"단축2";#N/A,#N/A,FALSE,"단축3";#N/A,#N/A,FALSE,"장축";#N/A,#N/A,FALSE,"4WD"}</definedName>
    <definedName name="가" hidden="1">{#N/A,#N/A,FALSE,"BS";#N/A,#N/A,FALSE,"PL";#N/A,#N/A,FALSE,"처분";#N/A,#N/A,FALSE,"현금";#N/A,#N/A,FALSE,"매출";#N/A,#N/A,FALSE,"원가";#N/A,#N/A,FALSE,"경영"}</definedName>
    <definedName name="가9504">#N/A</definedName>
    <definedName name="가공비">[4]!가공비</definedName>
    <definedName name="가나" hidden="1">[26]F456!#REF!</definedName>
    <definedName name="가나다11">#N/A</definedName>
    <definedName name="가도토공신규단가">#N/A</definedName>
    <definedName name="가동">'[2]3100'!#REF!</definedName>
    <definedName name="가동계획">'[2]3100'!#REF!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가지급금">'[2]1300'!#REF!</definedName>
    <definedName name="간" hidden="1">{#N/A,#N/A,FALSE,"UNIT";#N/A,#N/A,FALSE,"UNIT";#N/A,#N/A,FALSE,"계정"}</definedName>
    <definedName name="간접노무비">'[2]3100'!#REF!</definedName>
    <definedName name="감가상각비">'[2]3250'!#REF!</definedName>
    <definedName name="강">#N/A</definedName>
    <definedName name="강창산업">[2]INDEX!#REF!</definedName>
    <definedName name="개별화물">[2]INDEX!#REF!</definedName>
    <definedName name="개수">[1]IS!#REF!</definedName>
    <definedName name="개시결정일">[2]INDEX!#REF!</definedName>
    <definedName name="개업시작시점">#N/A</definedName>
    <definedName name="거">[4]!거</definedName>
    <definedName name="거래기">#N/A</definedName>
    <definedName name="거래기간">#N/A</definedName>
    <definedName name="거래유형">[1]IS!#REF!</definedName>
    <definedName name="거래처명1">#REF!</definedName>
    <definedName name="거리도모" hidden="1">{#N/A,#N/A,FALSE,"BS";#N/A,#N/A,FALSE,"PL";#N/A,#N/A,FALSE,"처분";#N/A,#N/A,FALSE,"현금";#N/A,#N/A,FALSE,"매출";#N/A,#N/A,FALSE,"원가";#N/A,#N/A,FALSE,"경영"}</definedName>
    <definedName name="건물">[4]!건물</definedName>
    <definedName name="건물임." hidden="1">{"'손익현황'!$A$1:$J$29"}</definedName>
    <definedName name="견질어음수표1">#N/A</definedName>
    <definedName name="결재요약">[4]!결재요약</definedName>
    <definedName name="경기도_남양주시">#N/A</definedName>
    <definedName name="경동정공_양경호">[2]INDEX!#REF!</definedName>
    <definedName name="경북열처리공업사">[2]INDEX!#REF!</definedName>
    <definedName name="경북하우톤">[2]INDEX!#REF!</definedName>
    <definedName name="경상정부보조액">'[2]2500'!#REF!</definedName>
    <definedName name="경성금속공업사">[2]INDEX!#REF!</definedName>
    <definedName name="경수">[4]!BLCH</definedName>
    <definedName name="경영계획">[1]IS!$B$4:$N$34</definedName>
    <definedName name="경영기획제출자료">'[2]2500'!#REF!</definedName>
    <definedName name="경영산업">[2]INDEX!#REF!</definedName>
    <definedName name="경영지표2" hidden="1">#REF!</definedName>
    <definedName name="경원인쇄소">[2]INDEX!#REF!</definedName>
    <definedName name="계">[2]INDEX!#REF!</definedName>
    <definedName name="계량기재료비분석" hidden="1">{#N/A,#N/A,FALSE,"UNIT";#N/A,#N/A,FALSE,"UNIT";#N/A,#N/A,FALSE,"계정"}</definedName>
    <definedName name="계속보험료합계">'[2]2600'!#REF!</definedName>
    <definedName name="계정1">#REF!</definedName>
    <definedName name="계정11">#REF!</definedName>
    <definedName name="계정2">#REF!</definedName>
    <definedName name="계정3">#REF!</definedName>
    <definedName name="계정4">#REF!</definedName>
    <definedName name="계정과목">#REF!</definedName>
    <definedName name="計定明細.書2.A">#N/A</definedName>
    <definedName name="計定明細.書2.B">#N/A</definedName>
    <definedName name="計定明細.書2.D">'[2]1100'!#REF!</definedName>
    <definedName name="계획">[4]!계획</definedName>
    <definedName name="계획1" hidden="1">{#N/A,#N/A,FALSE,"UNIT";#N/A,#N/A,FALSE,"UNIT";#N/A,#N/A,FALSE,"계정"}</definedName>
    <definedName name="곣논">[4]!곣논</definedName>
    <definedName name="곣놈ㄴㅋ">[4]!곣놈ㄴㅋ</definedName>
    <definedName name="곤ㄱㄴ속ㄴ">[4]!곤ㄱㄴ속ㄴ</definedName>
    <definedName name="골라인쇄">#N/A</definedName>
    <definedName name="곱">#N/A</definedName>
    <definedName name="공" hidden="1">{"'손익현황'!$A$1:$J$29"}</definedName>
    <definedName name="공간">[4]!BlankMacro1</definedName>
    <definedName name="공고">#N/A</definedName>
    <definedName name="공구" hidden="1">{"'손익현황'!$A$1:$J$29"}</definedName>
    <definedName name="공구기구" hidden="1">{"'손익현황'!$A$1:$J$29"}</definedName>
    <definedName name="공단인쇄문구사">[2]INDEX!#REF!</definedName>
    <definedName name="공란">#N/A</definedName>
    <definedName name="공무">#N/A</definedName>
    <definedName name="공무계">#N/A</definedName>
    <definedName name="공무금액">#N/A</definedName>
    <definedName name="공사개시일_송절고">#N/A</definedName>
    <definedName name="공사기간_송절고">#N/A</definedName>
    <definedName name="공사명">#REF!</definedName>
    <definedName name="공사선수금">#N/A</definedName>
    <definedName name="공사이행보증">#N/A</definedName>
    <definedName name="공사종료일_송절고">#N/A</definedName>
    <definedName name="공장">#N/A</definedName>
    <definedName name="공장번호">#N/A</definedName>
    <definedName name="관급">#REF!,#REF!,#REF!</definedName>
    <definedName name="관종">#N/A</definedName>
    <definedName name="관종번호">#N/A</definedName>
    <definedName name="관할_소관_세무서">[34]회사정보!$C$16</definedName>
    <definedName name="관할세무서지">[35]회사정보!$C$17</definedName>
    <definedName name="광명금속_주">[2]INDEX!#REF!</definedName>
    <definedName name="광수">[4]!BLCH</definedName>
    <definedName name="광주">#N/A</definedName>
    <definedName name="교너더ㅛ">[4]!교너더ㅛ</definedName>
    <definedName name="교ㅓㄳ넌">[4]!교ㅓㄳ넌</definedName>
    <definedName name="교ㅓ허">[4]!교ㅓ허</definedName>
    <definedName name="구" hidden="1">{#N/A,#N/A,FALSE,"BS";#N/A,#N/A,FALSE,"PL";#N/A,#N/A,FALSE,"처분";#N/A,#N/A,FALSE,"현금";#N/A,#N/A,FALSE,"매출";#N/A,#N/A,FALSE,"원가";#N/A,#N/A,FALSE,"경영"}</definedName>
    <definedName name="구_________분">[1]IS!$B$7:$S$35</definedName>
    <definedName name="구로">#N/A</definedName>
    <definedName name="구성비">[1]BS!XFD1/[1]BS!XFD$20*100</definedName>
    <definedName name="구성비2">[1]BS!XFD1/[1]BS!XFD$5*100</definedName>
    <definedName name="구입">#REF!</definedName>
    <definedName name="구축물">'[2]1300'!#REF!</definedName>
    <definedName name="구축물감가상각충당금">'[2]1300'!#REF!</definedName>
    <definedName name="구축물임" hidden="1">{"'손익현황'!$A$1:$J$29"}</definedName>
    <definedName name="국">[36]!BlankMacro1</definedName>
    <definedName name="국가별">'[2]1400'!#REF!</definedName>
    <definedName name="국민연금전환금">[35]회사정보!$C$19</definedName>
    <definedName name="국성통상">[2]INDEX!#REF!</definedName>
    <definedName name="국소카운팅">[1]IS!#REF!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윤활유상사">[2]INDEX!#REF!</definedName>
    <definedName name="군포부품이자">[2]INDEX!#REF!</definedName>
    <definedName name="권">#REF!</definedName>
    <definedName name="규격">#N/A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그림">#N/A</definedName>
    <definedName name="그림제목">#N/A</definedName>
    <definedName name="그림준비">#N/A</definedName>
    <definedName name="금강종합상사">[2]INDEX!#REF!</definedName>
    <definedName name="금액">#N/A</definedName>
    <definedName name="금액계">#N/A</definedName>
    <definedName name="금융조회기준년">[37]금융!$C$59,[37]금융!$C$116,[37]금융!$Z$212,[37]금융!$Z$269</definedName>
    <definedName name="금융조회기준월">[37]금융!$G$59,[37]금융!$G$116,[37]금융!$AD$212,[37]금융!$AD$269</definedName>
    <definedName name="금융조회기준일">[37]금융!$I$59,[37]금융!$I$116,[37]금융!$AF$212,[37]금융!$AF$269</definedName>
    <definedName name="금융조회서번호">[37]금융!$AF$3,[37]금융!$AF$53,[37]금융!$AF$110,[37]금융!$AF$167,[37]금융!$AF$224</definedName>
    <definedName name="금융회사명">[37]금융!$M$59,[37]금융!$M$116</definedName>
    <definedName name="금일계획">[2]INDEX!#REF!</definedName>
    <definedName name="금진정밀">[2]INDEX!#REF!</definedName>
    <definedName name="금호정밀">[2]INDEX!#REF!</definedName>
    <definedName name="급여10">[2]INDEX!#REF!</definedName>
    <definedName name="급여11">[2]INDEX!#REF!</definedName>
    <definedName name="기계장치">[4]!기계장치</definedName>
    <definedName name="기기" hidden="1">{#N/A,#N/A,FALSE,"UNIT";#N/A,#N/A,FALSE,"UNIT";#N/A,#N/A,FALSE,"계정"}</definedName>
    <definedName name="기기투자리스트" hidden="1">{#N/A,#N/A,FALSE,"UNIT";#N/A,#N/A,FALSE,"UNIT";#N/A,#N/A,FALSE,"계정"}</definedName>
    <definedName name="기말재공품재고액">'[2]1300'!#REF!</definedName>
    <definedName name="기부금">'[2]1300'!#REF!</definedName>
    <definedName name="기입불가">[5]회사정보!#REF!</definedName>
    <definedName name="기존" hidden="1">{#N/A,#N/A,FALSE,"UNIT";#N/A,#N/A,FALSE,"UNIT";#N/A,#N/A,FALSE,"계정"}</definedName>
    <definedName name="기준수익률">#N/A</definedName>
    <definedName name="기초입력">#N/A</definedName>
    <definedName name="기초재료재고액">'[2]1300'!#REF!</definedName>
    <definedName name="기타">#N/A</definedName>
    <definedName name="기타매출">'[2]1300'!#REF!</definedName>
    <definedName name="기타선수금">#N/A</definedName>
    <definedName name="기타유동자산">'[2]1300'!#REF!</definedName>
    <definedName name="기타자산">'[2]1300'!#REF!</definedName>
    <definedName name="기표현황">[38]공사기성!$O$18:$T$59</definedName>
    <definedName name="김대업" hidden="1">{#N/A,#N/A,FALSE,"기술료 비교"}</definedName>
    <definedName name="김심선">[4]!김심선</definedName>
    <definedName name="김정태">[1]IS!#REF!</definedName>
    <definedName name="김종묵" hidden="1">{#N/A,#N/A,FALSE,"기술료 비교"}</definedName>
    <definedName name="ㄳㄱㄴ">[4]!ㄳㄱㄴ</definedName>
    <definedName name="ㄴ" hidden="1">{#N/A,#N/A,FALSE,"BS";#N/A,#N/A,FALSE,"PL";#N/A,#N/A,FALSE,"처분";#N/A,#N/A,FALSE,"현금";#N/A,#N/A,FALSE,"매출";#N/A,#N/A,FALSE,"원가";#N/A,#N/A,FALSE,"경영"}</definedName>
    <definedName name="ㄴㄱ">[4]!ㄴㄱ</definedName>
    <definedName name="ㄴㄱㄿ">[4]!BlankMacro1</definedName>
    <definedName name="ㄴㄱ속ㄴ">[4]!ㄴㄱ속ㄴ</definedName>
    <definedName name="ㄴ거ㅜ">[4]!ㄴ거ㅜ</definedName>
    <definedName name="ㄴ곡노">[4]!ㄴ곡노</definedName>
    <definedName name="ㄴ곤ㄱㅁ">[4]!ㄴ곤ㄱㅁ</definedName>
    <definedName name="ㄴ곧ㄴ">[4]!ㄴ곧ㄴ</definedName>
    <definedName name="ㄴ곳ㄱ노">[4]!ㄴ곳ㄱ노</definedName>
    <definedName name="ㄴ굔ㄱ">[4]!ㄴ굔ㄱ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hidden="1">{#N/A,#N/A,FALSE,"UNIT";#N/A,#N/A,FALSE,"UNIT";#N/A,#N/A,FALSE,"계정"}</definedName>
    <definedName name="ㄴㄷㄹ">[4]!ㄴㄷㄹ</definedName>
    <definedName name="ㄴㄹㄷㄷㅇㄷ">[4]!ㄴㄹㄷㄷㅇㄷ</definedName>
    <definedName name="ㄴㄹㄹ">[4]!BlankMacro1</definedName>
    <definedName name="ㄴㄹㅇ호ㅓㅗㄱ">[4]!ㄴㄹㅇ호ㅓㅗㄱ</definedName>
    <definedName name="ㄴㅇ">[4]!ㄴㅇ</definedName>
    <definedName name="ㄴㅇㄹ" hidden="1">{#N/A,#N/A,FALSE,"UNIT";#N/A,#N/A,FALSE,"UNIT";#N/A,#N/A,FALSE,"계정"}</definedName>
    <definedName name="ㄴㅇㄹㄹㄹㄹㄹㄹㄹ">#N/A</definedName>
    <definedName name="ㄴㅇㄹ홓">[4]!ㄴㅇㄹ홓</definedName>
    <definedName name="ㄴㅇ텃">[4]!ㄴㅇ텃</definedName>
    <definedName name="ㄴㅇㅎㄶ">[4]!ㄴㅇㅎㄶ</definedName>
    <definedName name="나" hidden="1">{#N/A,#N/A,FALSE,"BS";#N/A,#N/A,FALSE,"PL";#N/A,#N/A,FALSE,"처분";#N/A,#N/A,FALSE,"현금";#N/A,#N/A,FALSE,"매출";#N/A,#N/A,FALSE,"원가";#N/A,#N/A,FALSE,"경영"}</definedName>
    <definedName name="나.">'[2]3100'!#REF!</definedName>
    <definedName name="나9504">#N/A</definedName>
    <definedName name="나나">#N/A</definedName>
    <definedName name="남경산업">[2]INDEX!#REF!</definedName>
    <definedName name="남석">'[2]1100'!#REF!</definedName>
    <definedName name="남양">#N/A</definedName>
    <definedName name="남채">'[2]1100'!#REF!</definedName>
    <definedName name="내꺼">#N/A</definedName>
    <definedName name="내용">'[39]1100A'!#REF!</definedName>
    <definedName name="내용연수">#N/A</definedName>
    <definedName name="내용연수2">#N/A</definedName>
    <definedName name="너ㅛㄴㄳ">[4]!너ㅛㄴㄳ</definedName>
    <definedName name="년___월___일_까지">[2]INDEX!#REF!</definedName>
    <definedName name="년_간_계_획">[1]IS!$Q$7:$Q$35</definedName>
    <definedName name="노고">[4]!노고</definedName>
    <definedName name="논ㄱ">[4]!논ㄱ</definedName>
    <definedName name="놈">[4]!놈</definedName>
    <definedName name="뇨고노">[4]!뇨고노</definedName>
    <definedName name="뇨ㅓㄱㄴ요">[4]!뇨ㅓㄱㄴ요</definedName>
    <definedName name="누계_중계정">'[2]2500'!#REF!</definedName>
    <definedName name="니나금속">[2]INDEX!#REF!</definedName>
    <definedName name="ㄶㄴ">[4]!ㄶㄴ</definedName>
    <definedName name="ㄷ">[4]!ㄷ</definedName>
    <definedName name="ㄷㄱ">[4]!ㄷㄱ</definedName>
    <definedName name="ㄷㄳㅇㅀㅊ">[4]!ㄷㄳㅇㅀㅊ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ㄷ">[2]INDEX!#REF!</definedName>
    <definedName name="ㄷ더">[4]!ㄷ더</definedName>
    <definedName name="ㄷㅅ">[2]INDEX!#REF!</definedName>
    <definedName name="ㄷㅈ" hidden="1">#REF!</definedName>
    <definedName name="ㄷㅎ">[4]!ㄷㅎ</definedName>
    <definedName name="ㄷ흇ㅇㄹㅊ">[4]!ㄷ흇ㅇㄹㅊ</definedName>
    <definedName name="다" hidden="1">{#N/A,#N/A,FALSE,"BS";#N/A,#N/A,FALSE,"PL";#N/A,#N/A,FALSE,"처분";#N/A,#N/A,FALSE,"현금";#N/A,#N/A,FALSE,"매출";#N/A,#N/A,FALSE,"원가";#N/A,#N/A,FALSE,"경영"}</definedName>
    <definedName name="다9504">#N/A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단가">[1]IS!#REF!</definedName>
    <definedName name="단가산출선내부세로선">'[2]2500'!#REF!</definedName>
    <definedName name="단관M">#N/A</definedName>
    <definedName name="단기금융상품">'[2]1300'!#REF!</definedName>
    <definedName name="단기대여금">'[2]1300'!#REF!</definedName>
    <definedName name="담배">'[2]3100'!#REF!</definedName>
    <definedName name="당기_CODE">#N/A</definedName>
    <definedName name="당기_취득금액">#N/A</definedName>
    <definedName name="당기매출계획">#N/A</definedName>
    <definedName name="당기상각액">'[2]2500'!#REF!</definedName>
    <definedName name="당기손익계획">#N/A</definedName>
    <definedName name="당기손익실적">#N/A</definedName>
    <definedName name="당기수금실적">#N/A</definedName>
    <definedName name="당기순손실">#N/A</definedName>
    <definedName name="당기순이익">#N/A</definedName>
    <definedName name="당기지불실적">#N/A</definedName>
    <definedName name="당월_소항목">'[2]2500'!#REF!</definedName>
    <definedName name="당월분지우개">#N/A</definedName>
    <definedName name="당월중계정">[1]IS!$A$216:$Q$262</definedName>
    <definedName name="당좌끝년">[37]은행!$K$100,[37]은행!$K$160,[37]은행!$W$418,[37]은행!$W$478</definedName>
    <definedName name="당좌끝월">[37]은행!$N$100,[37]은행!$N$160,[37]은행!$Z$418,[37]은행!$Z$478</definedName>
    <definedName name="당좌끝일">[37]은행!$P$100,[37]은행!$P$160,[37]은행!$AB$418,[37]은행!$AB$478</definedName>
    <definedName name="당좌시작년">[37]은행!$B$100,[37]은행!$B$160,[37]은행!$N$418,[37]은행!$N$478</definedName>
    <definedName name="당좌시작월">[37]은행!$E$100,[37]은행!$E$160,[37]은행!$Q$418,[37]은행!$Q$478</definedName>
    <definedName name="당좌시작일">[37]은행!$G$100,[37]은행!$G$160,[37]은행!$S$418,[37]은행!$S$478</definedName>
    <definedName name="당좌예금">'[2]1300'!#REF!</definedName>
    <definedName name="당좌자산">[40]COBS!$G$4</definedName>
    <definedName name="대" hidden="1">#REF!</definedName>
    <definedName name="대_표_자_명">[34]회사정보!$C$7</definedName>
    <definedName name="대구">#N/A</definedName>
    <definedName name="대구교세라툴링">[2]INDEX!#REF!</definedName>
    <definedName name="대련" hidden="1">{#N/A,#N/A,FALSE,"UNIT";#N/A,#N/A,FALSE,"UNIT";#N/A,#N/A,FALSE,"계정"}</definedName>
    <definedName name="대명산업">[2]INDEX!#REF!</definedName>
    <definedName name="대미환율">#N/A</definedName>
    <definedName name="대봉산업사">[2]INDEX!#REF!</definedName>
    <definedName name="대성농산">[2]INDEX!#REF!</definedName>
    <definedName name="대성유압기기">[2]INDEX!#REF!</definedName>
    <definedName name="대성정밀">[2]INDEX!#REF!</definedName>
    <definedName name="대성철재상사">[2]INDEX!#REF!</definedName>
    <definedName name="대아정공_주">[2]INDEX!#REF!</definedName>
    <definedName name="대영금속_주">[2]INDEX!#REF!</definedName>
    <definedName name="대우개발기초">#N/A</definedName>
    <definedName name="대우개발변동">#N/A</definedName>
    <definedName name="대우자동차기초">#N/A</definedName>
    <definedName name="대우자동차변동">#N/A</definedName>
    <definedName name="대우정밀">[2]INDEX!#REF!</definedName>
    <definedName name="대원">[2]INDEX!#REF!</definedName>
    <definedName name="대원정밀">[2]INDEX!#REF!</definedName>
    <definedName name="대원테크">[2]INDEX!#REF!</definedName>
    <definedName name="대전">#N/A</definedName>
    <definedName name="대진공업">[2]INDEX!#REF!</definedName>
    <definedName name="대진전산시스템">[2]INDEX!#REF!</definedName>
    <definedName name="대차정산표">#N/A</definedName>
    <definedName name="대표자_주민등록번호">[41]회사정보!$C$11</definedName>
    <definedName name="대표자성명">[35]회사정보!$C$7</definedName>
    <definedName name="대표자주민등록번호">[35]회사정보!$C$10</definedName>
    <definedName name="대한특수금속_주">[2]INDEX!#REF!</definedName>
    <definedName name="대흥공업사">[2]INDEX!#REF!</definedName>
    <definedName name="더하기">#N/A</definedName>
    <definedName name="덕신테크">[2]INDEX!#REF!</definedName>
    <definedName name="덕원정밀">[2]INDEX!#REF!</definedName>
    <definedName name="델코레미_유">[2]INDEX!#REF!</definedName>
    <definedName name="도" hidden="1">{#N/A,#N/A,FALSE,"BS";#N/A,#N/A,FALSE,"PL";#N/A,#N/A,FALSE,"처분";#N/A,#N/A,FALSE,"현금";#N/A,#N/A,FALSE,"매출";#N/A,#N/A,FALSE,"원가";#N/A,#N/A,FALSE,"경영"}</definedName>
    <definedName name="도급비">#N/A</definedName>
    <definedName name="도모" hidden="1">{#N/A,#N/A,FALSE,"BS";#N/A,#N/A,FALSE,"PL";#N/A,#N/A,FALSE,"처분";#N/A,#N/A,FALSE,"현금";#N/A,#N/A,FALSE,"매출";#N/A,#N/A,FALSE,"원가";#N/A,#N/A,FALSE,"경영"}</definedName>
    <definedName name="도별" hidden="1">#REF!</definedName>
    <definedName name="도조" hidden="1">{#N/A,#N/A,FALSE,"BS";#N/A,#N/A,FALSE,"PL";#N/A,#N/A,FALSE,"처분";#N/A,#N/A,FALSE,"현금";#N/A,#N/A,FALSE,"매출";#N/A,#N/A,FALSE,"원가";#N/A,#N/A,FALSE,"경영"}</definedName>
    <definedName name="도흥공업사">[2]INDEX!#REF!</definedName>
    <definedName name="동남하이테크">[2]INDEX!#REF!</definedName>
    <definedName name="동방" hidden="1">{#N/A,#N/A,FALSE,"BS";#N/A,#N/A,FALSE,"PL";#N/A,#N/A,FALSE,"처분";#N/A,#N/A,FALSE,"현금";#N/A,#N/A,FALSE,"매출";#N/A,#N/A,FALSE,"원가";#N/A,#N/A,FALSE,"경영"}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서별2">#N/A</definedName>
    <definedName name="동성산업">[2]INDEX!#REF!</definedName>
    <definedName name="동신철강">[2]INDEX!#REF!</definedName>
    <definedName name="동아상사">[2]INDEX!#REF!</definedName>
    <definedName name="동양기업">[2]INDEX!#REF!</definedName>
    <definedName name="동양기전_주">[2]INDEX!#REF!</definedName>
    <definedName name="동양볼트상사">[2]INDEX!#REF!</definedName>
    <definedName name="동영산업">[2]INDEX!#REF!</definedName>
    <definedName name="동영전기모타">[2]INDEX!#REF!</definedName>
    <definedName name="동우열처리공업_주">[2]INDEX!#REF!</definedName>
    <definedName name="됴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두산메카텍주식회사">[2]INDEX!#REF!</definedName>
    <definedName name="두산종합기계">[2]INDEX!#REF!</definedName>
    <definedName name="똥">#REF!</definedName>
    <definedName name="ㄹ" hidden="1">{#N/A,#N/A,FALSE,"BS";#N/A,#N/A,FALSE,"PL";#N/A,#N/A,FALSE,"처분";#N/A,#N/A,FALSE,"현금";#N/A,#N/A,FALSE,"매출";#N/A,#N/A,FALSE,"원가";#N/A,#N/A,FALSE,"경영"}</definedName>
    <definedName name="ㄹㄴ">[4]!BlankMacro1</definedName>
    <definedName name="ㄹㄴㄷ">[4]!BlankMacro1</definedName>
    <definedName name="ㄹㄴㅁㅇㄹ">[1]BS!$K$2</definedName>
    <definedName name="ㄹㄶ">[4]!ㄹㄶ</definedName>
    <definedName name="ㄹㄷㅈ" hidden="1">'[2]2500'!#REF!</definedName>
    <definedName name="ㄹㄷㅈㄹㄹㄹ" hidden="1">#N/A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ㄴ">[4]!ㄹㄹㄴ</definedName>
    <definedName name="ㄹㄹㄹ">'[2]3100'!#REF!</definedName>
    <definedName name="ㄹㄹㅇ">[4]!ㄹㄹㅇ</definedName>
    <definedName name="ㄹ라라라라라">#N/A</definedName>
    <definedName name="ㄹㅇ">[4]!BlankMacro1</definedName>
    <definedName name="ㄹㅇㄴㄹㅇㄴㄹㅇ">#N/A</definedName>
    <definedName name="ㄹㅇㄴㅁㅁㅁ">[4]!ㄹㅇㄴㅁㅁㅁ</definedName>
    <definedName name="ㄹㅇㄴㅇㅇ">[4]!ㄹㅇㄴㅇㅇ</definedName>
    <definedName name="ㄹㅇㄴ호">[4]!ㄹㅇㄴ호</definedName>
    <definedName name="ㄹㅇㄹㅇㄹ">#N/A</definedName>
    <definedName name="ㄹㅇㅇㄴ">[4]!ㄹㅇㅇㄴ</definedName>
    <definedName name="ㄹㅇㅇㅇㄴ">[4]!ㄹㅇㅇㅇㄴ</definedName>
    <definedName name="ㄹㅇㅎㅀㄹ">[4]!ㄹㅇㅎㅀㄹ</definedName>
    <definedName name="ㄹ아ㅣㅇㅎ리" hidden="1">{#N/A,#N/A,FALSE,"UNIT";#N/A,#N/A,FALSE,"UNIT";#N/A,#N/A,FALSE,"계정"}</definedName>
    <definedName name="ㄹ어엉">[2]INDEX!#REF!</definedName>
    <definedName name="ㄹ호ㅡ">[4]!BlankMacro1</definedName>
    <definedName name="라">'[2]2500'!#REF!</definedName>
    <definedName name="라마바">#N/A</definedName>
    <definedName name="라이타">'[2]3100'!#REF!</definedName>
    <definedName name="러">[4]!러</definedName>
    <definedName name="러다ㅣㅈ">[2]INDEX!#REF!</definedName>
    <definedName name="러럴">#N/A</definedName>
    <definedName name="러앙">[2]INDEX!#REF!</definedName>
    <definedName name="러힝ㄴ허ㅣㅁㄴㅇ">[42]회사정보!$C$8</definedName>
    <definedName name="로커커버" hidden="1">{#N/A,#N/A,FALSE,"단축1";#N/A,#N/A,FALSE,"단축2";#N/A,#N/A,FALSE,"단축3";#N/A,#N/A,FALSE,"장축";#N/A,#N/A,FALSE,"4WD"}</definedName>
    <definedName name="롯데기공">[4]!롯데기공</definedName>
    <definedName name="리셋">#REF!</definedName>
    <definedName name="리스조회기준년">[37]리스!$B$60,[37]리스!$B$74,[37]리스!$B$90,[37]리스!$B$108,[37]리스!$B$122,[37]리스!$B$138</definedName>
    <definedName name="리스조회기준월">[37]리스!$F$60,[37]리스!$F$74,[37]리스!$F$90,[37]리스!$F$108,[37]리스!$F$122,[37]리스!$F$138</definedName>
    <definedName name="리스조회기준일">[37]리스!$H$60,[37]리스!$H$74,[37]리스!$H$90,[37]리스!$H$108,[37]리스!$H$122,[37]리스!$H$138</definedName>
    <definedName name="리스조회서번호">[37]리스!$AF$3,[37]리스!$AF$56,[37]리스!$AF$104</definedName>
    <definedName name="리스트">#REF!</definedName>
    <definedName name="리스회사명">[37]리스!$M$60,[37]리스!$M$74,[37]리스!$M$90,[37]리스!$M$108,[37]리스!$M$122,[37]리스!$M$138</definedName>
    <definedName name="ㄺㄹ" hidden="1">{#N/A,#N/A,FALSE,"UNIT";#N/A,#N/A,FALSE,"UNIT";#N/A,#N/A,FALSE,"계정"}</definedName>
    <definedName name="ㄻㄹㅇ">[43]합손!#REF!</definedName>
    <definedName name="ㅀ">[4]!BlankMacro1</definedName>
    <definedName name="ㅀ미리밀ㅎ밈림" hidden="1">{#N/A,#N/A,FALSE,"을지 (4)";#N/A,#N/A,FALSE,"을지 (5)";#N/A,#N/A,FALSE,"을지 (6)"}</definedName>
    <definedName name="ㅀㅇㄴ">[4]!ㅀㅇㄴ</definedName>
    <definedName name="ㅀㅇㄹㄶㅀㄹ" hidden="1">{#N/A,#N/A,FALSE,"UNIT";#N/A,#N/A,FALSE,"UNIT";#N/A,#N/A,FALSE,"계정"}</definedName>
    <definedName name="ㅁ" hidden="1">{#N/A,#N/A,TRUE,"Summary";#N/A,#N/A,TRUE,"IS";#N/A,#N/A,TRUE,"Adj";#N/A,#N/A,TRUE,"BS";#N/A,#N/A,TRUE,"CF";#N/A,#N/A,TRUE,"Debt";#N/A,#N/A,TRUE,"IRR"}</definedName>
    <definedName name="ㅁ1">#REF!</definedName>
    <definedName name="ㅁ11">'[2]3100'!#REF!</definedName>
    <definedName name="ㅁㄴ" hidden="1">{#N/A,#N/A,FALSE,"UNIT";#N/A,#N/A,FALSE,"UNIT";#N/A,#N/A,FALSE,"계정"}</definedName>
    <definedName name="ㅁㄴㅇ" hidden="1">{#N/A,#N/A,FALSE,"BS";#N/A,#N/A,FALSE,"PL";#N/A,#N/A,FALSE,"처분";#N/A,#N/A,FALSE,"현금";#N/A,#N/A,FALSE,"매출";#N/A,#N/A,FALSE,"원가";#N/A,#N/A,FALSE,"경영"}</definedName>
    <definedName name="ㅁㄴㅇㅁㄻㄹㄹ">[4]!ㅁㄴㅇㅁㄻㄹㄹ</definedName>
    <definedName name="ㅁㄷㅀ">[4]!ㅁㄷㅀ</definedName>
    <definedName name="ㅁㅁ">#N/A</definedName>
    <definedName name="ㅁㅁㅁ">#N/A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hidden="1">{#N/A,#N/A,FALSE,"UNIT";#N/A,#N/A,FALSE,"UNIT";#N/A,#N/A,FALSE,"계정"}</definedName>
    <definedName name="ㅁㅂ1">#N/A</definedName>
    <definedName name="마감" hidden="1">{#N/A,#N/A,FALSE,"기술료 비교"}</definedName>
    <definedName name="마케팅" hidden="1">{"'5국공정'!$A$1:$E$128"}</definedName>
    <definedName name="마케팅2" hidden="1">{"'5국공정'!$A$1:$E$128"}</definedName>
    <definedName name="만기보장수익율">#N/A</definedName>
    <definedName name="매">[1]IS!#REF!</definedName>
    <definedName name="매인화면">#N/A</definedName>
    <definedName name="매출">#REF!</definedName>
    <definedName name="매출1">[4]!매출1</definedName>
    <definedName name="매출2">[4]!매출2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hidden="1">{#N/A,#N/A,FALSE,"UNIT";#N/A,#N/A,FALSE,"UNIT";#N/A,#N/A,FALSE,"계정"}</definedName>
    <definedName name="매출계획2월">#N/A</definedName>
    <definedName name="매출비">[1]IS!#REF!</definedName>
    <definedName name="매출액">'[2]3100'!A2+'[2]3100'!A3</definedName>
    <definedName name="매출원">[4]!매출원</definedName>
    <definedName name="매출원6">[4]!매출원6</definedName>
    <definedName name="매출원가1" hidden="1">{#N/A,#N/A,FALSE,"Aging Summary";#N/A,#N/A,FALSE,"Ratio Analysis";#N/A,#N/A,FALSE,"Test 120 Day Accts";#N/A,#N/A,FALSE,"Tickmarks"}</definedName>
    <definedName name="매출원가사본">[4]!매출원가사본</definedName>
    <definedName name="매출채권처분손실">'[2]1300'!#REF!</definedName>
    <definedName name="매출채권할인및양도">#N/A</definedName>
    <definedName name="명가정밀공업">[2]INDEX!#REF!</definedName>
    <definedName name="명성사">[2]INDEX!#REF!</definedName>
    <definedName name="명세">#REF!</definedName>
    <definedName name="명신정공">[2]INDEX!#REF!</definedName>
    <definedName name="명진기계">[2]INDEX!#REF!</definedName>
    <definedName name="모" hidden="1">{#N/A,#N/A,FALSE,"UNIT";#N/A,#N/A,FALSE,"UNIT";#N/A,#N/A,FALSE,"계정"}</definedName>
    <definedName name="모델시작년도말">#N/A</definedName>
    <definedName name="모델시작분기말">#N/A</definedName>
    <definedName name="모듈2">BlankMacro1</definedName>
    <definedName name="목영정밀">[2]INDEX!#REF!</definedName>
    <definedName name="무형자산상각">#N/A</definedName>
    <definedName name="문서의_처음">[2]INDEX!#REF!</definedName>
    <definedName name="문의처">#REF!</definedName>
    <definedName name="문제점">'[2]2500'!#REF!</definedName>
    <definedName name="문제점5">'[2]3100'!#REF!</definedName>
    <definedName name="물가상승개시일">#N/A</definedName>
    <definedName name="물가상승률">#N/A</definedName>
    <definedName name="물자비">#N/A</definedName>
    <definedName name="뭐라">BlankMacro1</definedName>
    <definedName name="뭐라고">BlankMacro1</definedName>
    <definedName name="뭐야">BlankMacro1</definedName>
    <definedName name="뮤" hidden="1">{#N/A,#N/A,FALSE,"기술료 비교"}</definedName>
    <definedName name="미">#N/A</definedName>
    <definedName name="미수.">#N/A</definedName>
    <definedName name="미수금대손충당금">'[2]1300'!#REF!</definedName>
    <definedName name="미수수익" hidden="1">{"'보고양식'!$A$58:$K$111"}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hidden="1">{"'보고양식'!$A$58:$K$111"}</definedName>
    <definedName name="미지급법인세">[35]회사정보!$C$20</definedName>
    <definedName name="민감도범위">[2]INDEX!#REF!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hidden="1">{#N/A,#N/A,FALSE,"을지 (4)";#N/A,#N/A,FALSE,"을지 (5)";#N/A,#N/A,FALSE,"을지 (6)"}</definedName>
    <definedName name="민투비1">#N/A</definedName>
    <definedName name="ㅂ" hidden="1">{#N/A,#N/A,FALSE,"UNIT";#N/A,#N/A,FALSE,"UNIT";#N/A,#N/A,FALSE,"계정"}</definedName>
    <definedName name="ㅂㄱ">'[2]2500'!$F$21:$M$915,'[2]2500'!$F$925:$M$948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ㄷㅂㅈㄷㅂㅈㄷㅂ">#N/A</definedName>
    <definedName name="ㅂㅂㅂ">[4]!ㅂㅂㅂ</definedName>
    <definedName name="ㅂㅂㅂㅂ">#N/A</definedName>
    <definedName name="ㅂㅂㅂㅂㅂㅂ" hidden="1">'[2]2500'!#REF!</definedName>
    <definedName name="반">#N/A</definedName>
    <definedName name="반2">#N/A</definedName>
    <definedName name="반복학습">#N/A</definedName>
    <definedName name="받을어음">'[2]1300'!#REF!</definedName>
    <definedName name="발저스한국코팅_유_경산공장">[2]INDEX!#REF!</definedName>
    <definedName name="배1">[1]IS!$B$9</definedName>
    <definedName name="배10">[1]IS!$K$9</definedName>
    <definedName name="배2">[1]IS!$C$9</definedName>
    <definedName name="배3">[1]IS!$D$9</definedName>
    <definedName name="배4">[1]IS!$E$9</definedName>
    <definedName name="배5">[1]IS!$F$9</definedName>
    <definedName name="배6">[1]IS!$G$9</definedName>
    <definedName name="배7">[1]IS!$H$9</definedName>
    <definedName name="배8">[1]IS!$I$9</definedName>
    <definedName name="배9">[1]IS!$J$9</definedName>
    <definedName name="배부금액">#N/A</definedName>
    <definedName name="배부기준2">'[2]2500'!#REF!</definedName>
    <definedName name="배부기준2계">'[2]2500'!#REF!</definedName>
    <definedName name="배부기준계">#N/A</definedName>
    <definedName name="배부기준총계">#N/A</definedName>
    <definedName name="번호">#REF!</definedName>
    <definedName name="범용상사">[2]INDEX!#REF!</definedName>
    <definedName name="범위">#N/A</definedName>
    <definedName name="범위1">#N/A</definedName>
    <definedName name="법">[4]!법</definedName>
    <definedName name="법_인_명_상호">[34]회사정보!$C$6</definedName>
    <definedName name="법닌">[4]!법닌</definedName>
    <definedName name="법인등록번호">[5]회사정보!$C$9</definedName>
    <definedName name="법인명_상호명">[44]회사정보!$C$6</definedName>
    <definedName name="법인세">[4]!법인세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법인세율">'[2]2500'!#REF!</definedName>
    <definedName name="변1">[1]IS!$B$12</definedName>
    <definedName name="변10">[1]IS!$K$12</definedName>
    <definedName name="변2">[1]IS!$C$12</definedName>
    <definedName name="변3">[1]IS!$D$12</definedName>
    <definedName name="변4">[1]IS!$E$12</definedName>
    <definedName name="변5">[1]IS!$F$12</definedName>
    <definedName name="변6">[1]IS!$G$12</definedName>
    <definedName name="변7">[1]IS!$H$12</definedName>
    <definedName name="변8">[1]IS!$I$12</definedName>
    <definedName name="변9">[1]IS!$J$12</definedName>
    <definedName name="변경만기일">#N/A</definedName>
    <definedName name="보고" hidden="1">{#N/A,#N/A,FALSE,"UNIT";#N/A,#N/A,FALSE,"UNIT";#N/A,#N/A,FALSE,"계정"}</definedName>
    <definedName name="보고기준" hidden="1">{#N/A,#N/A,FALSE,"UNIT";#N/A,#N/A,FALSE,"UNIT";#N/A,#N/A,FALSE,"계정"}</definedName>
    <definedName name="보고장표_분기_">'[2]2500'!#REF!</definedName>
    <definedName name="보증기관">#N/A</definedName>
    <definedName name="보험기준일">[37]보험!$H$59,[37]보험!$H$73,[37]보험!$H$87,[37]보험!$H$98,[37]보험!$H$116,[37]보험!$H$130,[37]보험!$H$144,[37]보험!$H$155</definedName>
    <definedName name="보험조회기준년">[37]보험!$B$59,[37]보험!$B$73,[37]보험!$B$87,[37]보험!$B$98,[37]보험!$B$116,[37]보험!$B$130,[37]보험!$B$144,[37]보험!$B$155</definedName>
    <definedName name="보험조회기준월">[37]보험!$F$59,[37]보험!$F$73,[37]보험!$F$87,[37]보험!$F$98,[37]보험!$F$116,[37]보험!$F$130,[37]보험!$F$144,[37]보험!$F$155</definedName>
    <definedName name="보험조회기준일">[37]보험!$H$59,[37]보험!$H$73,[37]보험!$H$87,[37]보험!$H$98,[37]보험!$H$116,[37]보험!$H$130,[37]보험!$H$144,[37]보험!$H$155</definedName>
    <definedName name="보험조회서번호">[37]보험!$AF$3,[37]보험!$AF$54,[37]보험!$AF$111</definedName>
    <definedName name="보험회사명">[37]보험!$M$59,[37]보험!$M$73,[37]보험!$M$98,[37]보험!$M$116,[37]보험!$M$130,[37]보험!$M$155</definedName>
    <definedName name="복구원식">#N/A</definedName>
    <definedName name="복구원식여기">#N/A</definedName>
    <definedName name="본사">#N/A</definedName>
    <definedName name="본사누계">#N/A</definedName>
    <definedName name="본사전기">#N/A</definedName>
    <definedName name="볼트수정" hidden="1">{#N/A,#N/A,FALSE,"단축1";#N/A,#N/A,FALSE,"단축2";#N/A,#N/A,FALSE,"단축3";#N/A,#N/A,FALSE,"장축";#N/A,#N/A,FALSE,"4WD"}</definedName>
    <definedName name="봉석">'[2]1100'!#REF!</definedName>
    <definedName name="부가세과세표준">[5]회사정보!$C$15</definedName>
    <definedName name="부가세과세표준1">[5]회사정보!#REF!</definedName>
    <definedName name="부도어음">'[2]1300'!#REF!</definedName>
    <definedName name="부도어음대손충당금">'[2]1300'!#REF!</definedName>
    <definedName name="부매출">#REF!</definedName>
    <definedName name="부속" hidden="1">'[2]2200'!#REF!</definedName>
    <definedName name="부일_GearTec">[2]INDEX!#REF!</definedName>
    <definedName name="부일기어공업사">[2]INDEX!#REF!</definedName>
    <definedName name="부채탕감">[2]INDEX!#REF!</definedName>
    <definedName name="부채탕감액">[2]INDEX!#REF!</definedName>
    <definedName name="부천">#N/A</definedName>
    <definedName name="부평">#N/A</definedName>
    <definedName name="북동가스">[2]INDEX!#REF!</definedName>
    <definedName name="북채">'[2]1100'!#REF!</definedName>
    <definedName name="분기별">'[2]2500'!#REF!</definedName>
    <definedName name="분양선수금">#N/A</definedName>
    <definedName name="불입횟수">'[2]1100'!#REF!</definedName>
    <definedName name="브랜드항목별추세">'[45]질의(금액)참조'!$C$14:$N$189</definedName>
    <definedName name="비례비부분">'[2]2600'!#REF!</definedName>
    <definedName name="비우기">#N/A</definedName>
    <definedName name="비월납촉진비">'[2]2600'!#REF!</definedName>
    <definedName name="ㅅ">[1]IS!#REF!</definedName>
    <definedName name="ㅅㄱ">[4]!ㅅㄱ</definedName>
    <definedName name="ㅅㄱㄴ곤">[4]!ㅅㄱㄴ곤</definedName>
    <definedName name="ㅅ건거">[4]!ㅅ건거</definedName>
    <definedName name="ㅅ곳ㄷㄴ">[4]!ㅅ곳ㄷㄴ</definedName>
    <definedName name="ㅅㄹ">[4]!ㅅㄹ</definedName>
    <definedName name="ㅅㅅㅅ" hidden="1">{"'손익현황'!$A$1:$J$29"}</definedName>
    <definedName name="ㅅㅅㅅㅅ" hidden="1">{#N/A,#N/A,FALSE,"UNIT";#N/A,#N/A,FALSE,"UNIT";#N/A,#N/A,FALSE,"계정"}</definedName>
    <definedName name="ㅅㅅㅅㅅㅅㅅㅅ" hidden="1">{#N/A,#N/A,FALSE,"UNIT";#N/A,#N/A,FALSE,"UNIT";#N/A,#N/A,FALSE,"계정"}</definedName>
    <definedName name="ㅅ슈">[4]!BlankMacro1</definedName>
    <definedName name="ㅅ언">[4]!ㅅ언</definedName>
    <definedName name="ㅅ엇ㅇ">[4]!ㅅ엇ㅇ</definedName>
    <definedName name="사" hidden="1">{#N/A,#N/A,FALSE,"BS";#N/A,#N/A,FALSE,"PL";#N/A,#N/A,FALSE,"처분";#N/A,#N/A,FALSE,"현금";#N/A,#N/A,FALSE,"매출";#N/A,#N/A,FALSE,"원가";#N/A,#N/A,FALSE,"경영"}</definedName>
    <definedName name="사곡정밀">[2]INDEX!#REF!</definedName>
    <definedName name="사람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hidden="1">{#N/A,#N/A,FALSE,"UNIT";#N/A,#N/A,FALSE,"UNIT";#N/A,#N/A,FALSE,"계정"}</definedName>
    <definedName name="사업1">[46]회사정보!$C$8</definedName>
    <definedName name="사업계획" hidden="1">{#N/A,#N/A,FALSE,"기술료 비교"}</definedName>
    <definedName name="사업년도_월수">[35]회사정보!$C$21</definedName>
    <definedName name="사업년도1">[44]회사정보!$C$15</definedName>
    <definedName name="사업년도2">[44]회사정보!$C$16</definedName>
    <definedName name="사업자등록번호">[44]회사정보!$C$8</definedName>
    <definedName name="사업장소재지">[35]회사정보!$C$11</definedName>
    <definedName name="사업활성" hidden="1">{#N/A,#N/A,FALSE,"UNIT";#N/A,#N/A,FALSE,"UNIT";#N/A,#N/A,FALSE,"계정"}</definedName>
    <definedName name="사외">[4]!사외</definedName>
    <definedName name="사원1계">[2]INDEX!#REF!</definedName>
    <definedName name="사원2계">[2]INDEX!#REF!</definedName>
    <definedName name="사진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삭제">[23]합손!#REF!</definedName>
    <definedName name="산출내역">#REF!</definedName>
    <definedName name="산출냐역">#REF!</definedName>
    <definedName name="삼">#N/A</definedName>
    <definedName name="삼구정밀">[2]INDEX!#REF!</definedName>
    <definedName name="삼보산업_주">[2]INDEX!#REF!</definedName>
    <definedName name="삼성금속">[2]INDEX!#REF!</definedName>
    <definedName name="삼성기획">[2]INDEX!#REF!</definedName>
    <definedName name="삼성멕기">[2]INDEX!#REF!</definedName>
    <definedName name="삼영기계">[2]INDEX!#REF!</definedName>
    <definedName name="삼영에프에이상사">[2]INDEX!#REF!</definedName>
    <definedName name="삼원공업">[2]INDEX!#REF!</definedName>
    <definedName name="삼익유공압_주">[2]INDEX!#REF!</definedName>
    <definedName name="삼형전기제어_주">[2]INDEX!#REF!</definedName>
    <definedName name="상_반_기">[1]IS!$F$7:$F$35</definedName>
    <definedName name="상각기준액">'[2]2500'!#REF!</definedName>
    <definedName name="상각년수">'[2]2500'!#REF!</definedName>
    <definedName name="상각률표">[47]상각률표!$A$1:$D$60</definedName>
    <definedName name="상각액누계">'[2]2500'!#REF!</definedName>
    <definedName name="상각월수">'[2]2500'!#REF!</definedName>
    <definedName name="상각율">'[2]2500'!#REF!</definedName>
    <definedName name="상각표">BlankMacro1</definedName>
    <definedName name="상반기">#N/A</definedName>
    <definedName name="상주식품">[2]INDEX!#REF!</definedName>
    <definedName name="상품매출">'[2]1300'!#REF!</definedName>
    <definedName name="상품매출원가">'[2]1300'!#REF!</definedName>
    <definedName name="상환기간">'[2]3100'!#REF!</definedName>
    <definedName name="상환후변경만기일">#N/A</definedName>
    <definedName name="새기준">[4]!BlankMacro1</definedName>
    <definedName name="새로운이름" hidden="1">{#N/A,#N/A,FALSE,"UNIT";#N/A,#N/A,FALSE,"UNIT";#N/A,#N/A,FALSE,"계정"}</definedName>
    <definedName name="새이름">[1]IS!$B$4:$N$34</definedName>
    <definedName name="새정산표">[1]BS!$A$10:$F$332</definedName>
    <definedName name="샘플비">'[2]1300'!#REF!</definedName>
    <definedName name="서룡산업">[2]INDEX!#REF!</definedName>
    <definedName name="서울보증_CFSum">#N/A</definedName>
    <definedName name="서울보증합계">#N/A</definedName>
    <definedName name="서울사무소">#N/A</definedName>
    <definedName name="서울사무소월차">#N/A</definedName>
    <definedName name="서울사무소전기">#N/A</definedName>
    <definedName name="서울센타">[2]INDEX!#REF!</definedName>
    <definedName name="선급">#N/A</definedName>
    <definedName name="선급금대손충당금">'[2]1300'!#REF!</definedName>
    <definedName name="선급법인세9">[2]INDEX!#REF!</definedName>
    <definedName name="선급비용계">#N/A</definedName>
    <definedName name="선법">#N/A</definedName>
    <definedName name="선수금" hidden="1">#REF!</definedName>
    <definedName name="선수수익">'[2]1300'!#REF!</definedName>
    <definedName name="선택">'[2]2500'!#REF!</definedName>
    <definedName name="설계2팀" hidden="1">{#N/A,#N/A,FALSE,"UNIT";#N/A,#N/A,FALSE,"UNIT";#N/A,#N/A,FALSE,"계정"}</definedName>
    <definedName name="설치누계">[4]!설치누계</definedName>
    <definedName name="성" hidden="1">{#N/A,#N/A,FALSE,"UNIT";#N/A,#N/A,FALSE,"UNIT";#N/A,#N/A,FALSE,"계정"}</definedName>
    <definedName name="성남">#N/A</definedName>
    <definedName name="성익철물">[2]INDEX!#REF!</definedName>
    <definedName name="성진">[36]!BlankMacro1</definedName>
    <definedName name="성창가구강철">[2]INDEX!#REF!</definedName>
    <definedName name="성화콘베이어벨트">[2]INDEX!#REF!</definedName>
    <definedName name="세광종합상사">[2]INDEX!#REF!</definedName>
    <definedName name="세부사항3">[4]!세부사항3</definedName>
    <definedName name="세원산업">[2]INDEX!#REF!</definedName>
    <definedName name="세원상사">[2]INDEX!#REF!</definedName>
    <definedName name="세창건드릴">[2]INDEX!#REF!</definedName>
    <definedName name="세화전기">[2]INDEX!#REF!</definedName>
    <definedName name="세화정밀">[2]INDEX!#REF!</definedName>
    <definedName name="소계정_1">[1]IS!$A$1:$R$51</definedName>
    <definedName name="소계정_2">[1]IS!$A$53:$R$106</definedName>
    <definedName name="소계정_3">[1]IS!$A$108:$R$162</definedName>
    <definedName name="소계정_4">[1]IS!$A$164:$R$205</definedName>
    <definedName name="소선경">[4]!소선경</definedName>
    <definedName name="소항목비용">#N/A</definedName>
    <definedName name="속도">[1]IS!$A$1:$A$65536</definedName>
    <definedName name="손익">#N/A</definedName>
    <definedName name="손익3" hidden="1">{#N/A,#N/A,FALSE,"UNIT";#N/A,#N/A,FALSE,"UNIT";#N/A,#N/A,FALSE,"계정"}</definedName>
    <definedName name="손익계산서">[4]!손익계산서</definedName>
    <definedName name="손익계획2월">#N/A</definedName>
    <definedName name="손익도급액열">#N/A</definedName>
    <definedName name="손익실적2월">#N/A</definedName>
    <definedName name="손익예상" hidden="1">{#N/A,#N/A,FALSE,"UNIT";#N/A,#N/A,FALSE,"UNIT";#N/A,#N/A,FALSE,"계정"}</definedName>
    <definedName name="손익정산표">#N/A</definedName>
    <definedName name="쇼바2" hidden="1">{#N/A,#N/A,FALSE,"단축1";#N/A,#N/A,FALSE,"단축2";#N/A,#N/A,FALSE,"단축3";#N/A,#N/A,FALSE,"장축";#N/A,#N/A,FALSE,"4WD"}</definedName>
    <definedName name="쇼ㅓㅇㄱ셔ㅓ">[4]!쇼ㅓㅇㄱ셔ㅓ</definedName>
    <definedName name="쇼ㅓㅇㅅ">[4]!쇼ㅓㅇㅅ</definedName>
    <definedName name="수금계획2월">#N/A</definedName>
    <definedName name="수금계획3월">#N/A</definedName>
    <definedName name="수금매크로4">#N/A</definedName>
    <definedName name="수금비비례수당">'[2]2600'!#REF!</definedName>
    <definedName name="수금비전사공동">'[2]2600'!#REF!</definedName>
    <definedName name="수금비합계">'[2]2600'!#REF!</definedName>
    <definedName name="수금실적2월">#N/A</definedName>
    <definedName name="수남로구로">[2]INDEX!#REF!</definedName>
    <definedName name="수도광열비">'[2]1300'!#REF!</definedName>
    <definedName name="수보누계">#N/A</definedName>
    <definedName name="수원">#N/A</definedName>
    <definedName name="수원철도">#N/A</definedName>
    <definedName name="수입이자">#N/A</definedName>
    <definedName name="수정" hidden="1">{#N/A,#N/A,FALSE,"BS";#N/A,#N/A,FALSE,"PL";#N/A,#N/A,FALSE,"처분";#N/A,#N/A,FALSE,"현금";#N/A,#N/A,FALSE,"매출";#N/A,#N/A,FALSE,"원가";#N/A,#N/A,FALSE,"경영"}</definedName>
    <definedName name="수정CF" hidden="1">{#N/A,#N/A,TRUE,"Summary";#N/A,#N/A,TRUE,"IS";#N/A,#N/A,TRUE,"Adj";#N/A,#N/A,TRUE,"BS";#N/A,#N/A,TRUE,"CF";#N/A,#N/A,TRUE,"Debt";#N/A,#N/A,TRUE,"IRR"}</definedName>
    <definedName name="수정분">#N/A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수주정보">[1]IS!$A$1:$W$65536</definedName>
    <definedName name="순공사비합계">#N/A</definedName>
    <definedName name="숫자변환">#N/A</definedName>
    <definedName name="슈규">[4]!BlankMacro1</definedName>
    <definedName name="슛">[4]!슛</definedName>
    <definedName name="슛ㄱ">[4]!BlankMacro1</definedName>
    <definedName name="스1">[1]IS!$B$10</definedName>
    <definedName name="스10">[1]IS!$K$10</definedName>
    <definedName name="스2">[1]IS!$C$10</definedName>
    <definedName name="스3">[1]IS!$D$10</definedName>
    <definedName name="스4">[1]IS!$E$10</definedName>
    <definedName name="스5">[1]IS!$F$10</definedName>
    <definedName name="스6">[1]IS!$G$10</definedName>
    <definedName name="스7">[1]IS!$H$10</definedName>
    <definedName name="스8">[1]IS!$I$10</definedName>
    <definedName name="스9">[1]IS!$J$10</definedName>
    <definedName name="스케쥴">[2]INDEX!#REF!</definedName>
    <definedName name="승진산업">[2]INDEX!#REF!</definedName>
    <definedName name="시뮬레이션">[2]INDEX!#REF!</definedName>
    <definedName name="시산표">[48]INPUT!$D$15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hidden="1">{#N/A,#N/A,FALSE,"UNIT";#N/A,#N/A,FALSE,"UNIT";#N/A,#N/A,FALSE,"계정"}</definedName>
    <definedName name="시스두께">[4]!시스두께</definedName>
    <definedName name="시스템" hidden="1">{#N/A,#N/A,FALSE,"UNIT";#N/A,#N/A,FALSE,"UNIT";#N/A,#N/A,FALSE,"계정"}</definedName>
    <definedName name="시트">[4]!시트</definedName>
    <definedName name="시트선택11">#N/A</definedName>
    <definedName name="시트선택21">#N/A</definedName>
    <definedName name="신규" hidden="1">{#N/A,#N/A,FALSE,"UNIT";#N/A,#N/A,FALSE,"UNIT";#N/A,#N/A,FALSE,"계정"}</definedName>
    <definedName name="신규설정자">[4]!신규설정자</definedName>
    <definedName name="신동양산업">[2]INDEX!#REF!</definedName>
    <definedName name="신라정밀">[2]INDEX!#REF!</definedName>
    <definedName name="신보리스">#N/A</definedName>
    <definedName name="신보서브리스">#N/A</definedName>
    <definedName name="신보외화대출">#N/A</definedName>
    <definedName name="신부1">#N/A</definedName>
    <definedName name="신부2">#N/A</definedName>
    <definedName name="신비1">#N/A</definedName>
    <definedName name="신비2">#N/A</definedName>
    <definedName name="신성종합물산_주_대구지점">[2]INDEX!#REF!</definedName>
    <definedName name="신수1">#N/A</definedName>
    <definedName name="신수2">#N/A</definedName>
    <definedName name="신신자">#N/A</definedName>
    <definedName name="신자">#N/A</definedName>
    <definedName name="신자1">#N/A</definedName>
    <definedName name="신자2">#N/A</definedName>
    <definedName name="신주발행비">#N/A</definedName>
    <definedName name="신진로기계공업_주">[2]INDEX!#REF!</definedName>
    <definedName name="신한공구상사">[2]INDEX!#REF!</definedName>
    <definedName name="실1">'[2]3100'!#REF!</definedName>
    <definedName name="실1여기">'[2]3100'!#REF!</definedName>
    <definedName name="실2">#N/A</definedName>
    <definedName name="실2여기">#N/A</definedName>
    <definedName name="실3">'[2]2500'!#REF!</definedName>
    <definedName name="실3여기">'[2]2500'!#REF!</definedName>
    <definedName name="실5">[2]INDEX!#REF!</definedName>
    <definedName name="실5여기">[2]INDEX!#REF!</definedName>
    <definedName name="실6">'[2]3100'!#REF!</definedName>
    <definedName name="실6여기">'[2]3100'!#REF!</definedName>
    <definedName name="실적4월" hidden="1">{#N/A,#N/A,FALSE,"UNIT";#N/A,#N/A,FALSE,"UNIT";#N/A,#N/A,FALSE,"계정"}</definedName>
    <definedName name="실적6월" hidden="1">{#N/A,#N/A,FALSE,"UNIT";#N/A,#N/A,FALSE,"UNIT";#N/A,#N/A,FALSE,"계정"}</definedName>
    <definedName name="실제유지비계">'[2]2600'!#REF!</definedName>
    <definedName name="십이월">'[2]2500'!#REF!</definedName>
    <definedName name="쌍용엔지니어링">[2]INDEX!#REF!</definedName>
    <definedName name="씨스텍">[2]INDEX!#REF!</definedName>
    <definedName name="ㅇ">#N/A</definedName>
    <definedName name="ㅇADKFJDA" hidden="1">{#N/A,#N/A,FALSE,"을지 (4)";#N/A,#N/A,FALSE,"을지 (5)";#N/A,#N/A,FALSE,"을지 (6)"}</definedName>
    <definedName name="ㅇㄱ류">[4]!ㅇㄱ류</definedName>
    <definedName name="ㅇㄱㅍ">[4]!BlankMacro1</definedName>
    <definedName name="ㅇㄱ호">[4]!BlankMacro1</definedName>
    <definedName name="ㅇㄴ">BlankMacro1</definedName>
    <definedName name="ㅇㄴㅇㄹ">[4]!ㅇㄴㅇㄹ</definedName>
    <definedName name="ㅇㄴㅇㄹㅇ">[4]!ㅇㄴㅇㄹㅇ</definedName>
    <definedName name="ㅇㄴㅇㅇ" hidden="1">{#N/A,#N/A,FALSE,"UNIT";#N/A,#N/A,FALSE,"UNIT";#N/A,#N/A,FALSE,"계정"}</definedName>
    <definedName name="ㅇㄷㄷ">[4]!BlankMacro1</definedName>
    <definedName name="ㅇㄷㅇ">[4]!BlankMacro1</definedName>
    <definedName name="ㅇㄹ">#N/A</definedName>
    <definedName name="ㅇㄹ고ㅜ">[4]!BlankMacro1</definedName>
    <definedName name="ㅇㄹㄴ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ㄴ" hidden="1">[33]XREF!#REF!</definedName>
    <definedName name="ㅇㄹㅇㄹ">{#N/A,#N/A,FALSE,"UNIT";#N/A,#N/A,FALSE,"UNIT";#N/A,#N/A,FALSE,"계정"}</definedName>
    <definedName name="ㅇㄹㅇㄹㅇㄹㅇ" hidden="1">{#N/A,#N/A,FALSE,"UNIT";#N/A,#N/A,FALSE,"UNIT";#N/A,#N/A,FALSE,"계정"}</definedName>
    <definedName name="ㅇㄹㅇㄹㅇㄹㅇㄹㅇ">'[2]3100'!#REF!</definedName>
    <definedName name="ㅇㄹㅇㄹㅇㄹㅇㄹㅇㄹ">#N/A</definedName>
    <definedName name="ㅇ로">[4]!ㅇ로</definedName>
    <definedName name="ㅇㅁㅇㄹㅇㄴㅁㄹㅇㅁㄹㅇㄴㅁㄹㅇㄴㅁ">BlankMacro1</definedName>
    <definedName name="ㅇㅅ거ㅛ">[4]!ㅇㅅ거ㅛ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hidden="1">{#N/A,#N/A,FALSE,"UNIT";#N/A,#N/A,FALSE,"UNIT";#N/A,#N/A,FALSE,"계정"}</definedName>
    <definedName name="아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니오닫는다">#N/A</definedName>
    <definedName name="아니이게뭐야">BlankMacro1</definedName>
    <definedName name="아름다은" hidden="1">{#N/A,#N/A,FALSE,"BS";#N/A,#N/A,FALSE,"PL";#N/A,#N/A,FALSE,"처분";#N/A,#N/A,FALSE,"현금";#N/A,#N/A,FALSE,"매출";#N/A,#N/A,FALSE,"원가";#N/A,#N/A,FALSE,"경영"}</definedName>
    <definedName name="아아">#REF!</definedName>
    <definedName name="아이구">#N/A</definedName>
    <definedName name="아주철강_주">[2]INDEX!#REF!</definedName>
    <definedName name="아ㅏ아아아아아" hidden="1">{#N/A,#N/A,FALSE,"UNIT";#N/A,#N/A,FALSE,"UNIT";#N/A,#N/A,FALSE,"계정"}</definedName>
    <definedName name="악정">#N/A</definedName>
    <definedName name="애경씨엔피">[2]INDEX!#REF!</definedName>
    <definedName name="야" hidden="1">{#N/A,#N/A,FALSE,"UNIT";#N/A,#N/A,FALSE,"UNIT";#N/A,#N/A,FALSE,"계정"}</definedName>
    <definedName name="양" hidden="1">{#N/A,#N/A,FALSE,"UNIT";#N/A,#N/A,FALSE,"UNIT";#N/A,#N/A,FALSE,"계정"}</definedName>
    <definedName name="양산">#N/A</definedName>
    <definedName name="어">BlankMacro1</definedName>
    <definedName name="어렵네용">[4]!어렵네용</definedName>
    <definedName name="어서">[4]!어서</definedName>
    <definedName name="업_태">[35]회사정보!$C$12</definedName>
    <definedName name="엔">10.1287</definedName>
    <definedName name="엔화">9.9641</definedName>
    <definedName name="연간예상" hidden="1">{#N/A,#N/A,FALSE,"UNIT";#N/A,#N/A,FALSE,"UNIT";#N/A,#N/A,FALSE,"계정"}</definedName>
    <definedName name="연결정산표2" hidden="1">{#N/A,#N/A,FALSE,"Aging Summary";#N/A,#N/A,FALSE,"Ratio Analysis";#N/A,#N/A,FALSE,"Test 120 Day Accts";#N/A,#N/A,FALSE,"Tickmarks"}</definedName>
    <definedName name="연구보조금">'[2]1300'!#REF!</definedName>
    <definedName name="연구소계" hidden="1">{"'5국공정'!$A$1:$E$128"}</definedName>
    <definedName name="연리">#N/A</definedName>
    <definedName name="연말손익" hidden="1">{#N/A,#N/A,FALSE,"UNIT";#N/A,#N/A,FALSE,"UNIT";#N/A,#N/A,FALSE,"계정"}</definedName>
    <definedName name="연속">[4]!연속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111">#N/A</definedName>
    <definedName name="연습2">'[2]3100'!#REF!</definedName>
    <definedName name="연습습">#N/A</definedName>
    <definedName name="연습습습">[2]INDEX!#REF!</definedName>
    <definedName name="영남OA시스템">[2]INDEX!#REF!</definedName>
    <definedName name="영남케스트롤">[2]INDEX!#REF!</definedName>
    <definedName name="영업">[2]INDEX!#REF!</definedName>
    <definedName name="영업1">[2]INDEX!#REF!</definedName>
    <definedName name="영업2">[2]INDEX!#REF!</definedName>
    <definedName name="영업권">'[2]1300'!#REF!</definedName>
    <definedName name="영업권상각">'[2]1300'!#REF!</definedName>
    <definedName name="영업법인세">[2]INDEX!#REF!</definedName>
    <definedName name="영화정밀">[2]INDEX!#REF!</definedName>
    <definedName name="예정유지비계">'[2]2600'!#REF!</definedName>
    <definedName name="예치보증금">'[2]1300'!#REF!</definedName>
    <definedName name="오">#N/A</definedName>
    <definedName name="오." hidden="1">{#N/A,#N/A,FALSE,"UNIT";#N/A,#N/A,FALSE,"UNIT";#N/A,#N/A,FALSE,"계정"}</definedName>
    <definedName name="오.." hidden="1">{#N/A,#N/A,FALSE,"UNIT";#N/A,#N/A,FALSE,"UNIT";#N/A,#N/A,FALSE,"계정"}</definedName>
    <definedName name="옫">[4]!BlankMacro1</definedName>
    <definedName name="완성외경">[4]!완성외경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외상">[49]선급금!$A$8:$H$229</definedName>
    <definedName name="외상감소외화">#N/A</definedName>
    <definedName name="외상감소원화">#N/A</definedName>
    <definedName name="외상매출금">[50]대차대조표!$E$13:$M$14</definedName>
    <definedName name="외상매출대손충당금">'[2]1300'!#REF!</definedName>
    <definedName name="외상매출외화">#N/A</definedName>
    <definedName name="외상매출원화">#N/A</definedName>
    <definedName name="외상미출금rollback">[49]선급금!$E$7:$L$7</definedName>
    <definedName name="외상전기외화">#N/A</definedName>
    <definedName name="외상전기원화">#N/A</definedName>
    <definedName name="외상증가외화">#N/A</definedName>
    <definedName name="외상증가원화">#N/A</definedName>
    <definedName name="외주공사">#N/A</definedName>
    <definedName name="외화당좌">'[2]1300'!#REF!</definedName>
    <definedName name="외화매입">#N/A</definedName>
    <definedName name="외화외상증가">'[2]2600'!#REF!</definedName>
    <definedName name="요" hidden="1">{#N/A,#N/A,FALSE,"BS";#N/A,#N/A,FALSE,"PL";#N/A,#N/A,FALSE,"처분";#N/A,#N/A,FALSE,"현금";#N/A,#N/A,FALSE,"매출";#N/A,#N/A,FALSE,"원가";#N/A,#N/A,FALSE,"경영"}</definedName>
    <definedName name="요섟언">[4]!요섟언</definedName>
    <definedName name="요약" hidden="1">{#N/A,#N/A,FALSE,"BS";#N/A,#N/A,FALSE,"PL";#N/A,#N/A,FALSE,"처분";#N/A,#N/A,FALSE,"현금";#N/A,#N/A,FALSE,"매출";#N/A,#N/A,FALSE,"원가";#N/A,#N/A,FALSE,"경영"}</definedName>
    <definedName name="용산4F">#N/A</definedName>
    <definedName name="용성정밀">[2]INDEX!#REF!</definedName>
    <definedName name="용인">#N/A</definedName>
    <definedName name="우리">#N/A</definedName>
    <definedName name="우발채무">#N/A</definedName>
    <definedName name="우성산업사">[2]INDEX!#REF!</definedName>
    <definedName name="우성철강_주">[2]INDEX!#REF!</definedName>
    <definedName name="우성테크">[2]INDEX!#REF!</definedName>
    <definedName name="우영산업">[2]INDEX!#REF!</definedName>
    <definedName name="운반비9">[4]!운반비9</definedName>
    <definedName name="운송">'[2]3100'!#REF!</definedName>
    <definedName name="운송ㅁ">'[2]3100'!#REF!</definedName>
    <definedName name="운송명세">'[2]3100'!#REF!</definedName>
    <definedName name="운영개시일_송절고">#N/A</definedName>
    <definedName name="운영종료일_송절고">#N/A</definedName>
    <definedName name="원">[48]INPUT!$A$5:$BM$1819</definedName>
    <definedName name="원가분개">#N/A</definedName>
    <definedName name="원방주철_주">[2]INDEX!#REF!</definedName>
    <definedName name="원재료">[48]INPUT!$C$5:'[48]INPUT'!$BN$1819</definedName>
    <definedName name="원재료1">#REF!</definedName>
    <definedName name="월자금">[36]!BlankMacro1</definedName>
    <definedName name="유가증권처분손실">'[2]1300'!#REF!</definedName>
    <definedName name="유니패킹주식회사">[2]INDEX!#REF!</definedName>
    <definedName name="유동성장기부채">'[2]1300'!#REF!</definedName>
    <definedName name="유성정밀공업_주">[2]INDEX!#REF!</definedName>
    <definedName name="유형자산처분2차">[4]!BLCH</definedName>
    <definedName name="유효">[2]INDEX!#REF!</definedName>
    <definedName name="육">#N/A</definedName>
    <definedName name="윤기철">[4]!BlankMacro1</definedName>
    <definedName name="은진통상">[2]INDEX!#REF!</definedName>
    <definedName name="은행조회기준년">[37]은행!$B$59,[37]은행!$B$119,[37]은행!$B$178,[37]은행!$P$207,[37]은행!$B$238,[37]은행!$P$267,[37]은행!$B$298,[37]은행!$B$323,[37]은행!$B$358,[37]은행!$B$383,[37]은행!$Z$443,[37]은행!$Z$503</definedName>
    <definedName name="은행조회기준월">[37]은행!$E$59,[37]은행!$E$119,[37]은행!$E$178,[37]은행!$S$207,[37]은행!$E$238,[37]은행!$S$267,[37]은행!$E$298,[37]은행!$E$323,[37]은행!$E$358,[37]은행!$E$383,[37]은행!$AC$443,[37]은행!$AC$503</definedName>
    <definedName name="은행조회기준일">[37]은행!$G$59,[37]은행!$G$119,[37]은행!$G$178,[37]은행!$U$207,[37]은행!$G$238,[37]은행!$U$267,[37]은행!$G$298,[37]은행!$G$323,[37]은행!$G$358,[37]은행!$G$383,[37]은행!$AE$443,[37]은행!$AE$503</definedName>
    <definedName name="은행조회서번호">[37]은행!$AF$3,[37]은행!$AF$56,[37]은행!$AF$116,[37]은행!$AF$176,[37]은행!$AF$236,[37]은행!$AF$296,[37]은행!$AF$356,[37]은행!$AF$416,[37]은행!$AF$476</definedName>
    <definedName name="은행회사명">[37]은행!$K$59,[37]은행!$W$100,[37]은행!$K$119,[37]은행!$W$160,[37]은행!$K$178,[37]은행!$F$207,[37]은행!$K$238,[37]은행!$F$267,[37]은행!$K$298,[37]은행!$K$323,[37]은행!$K$358,[37]은행!$K$383,[37]은행!$B$418,[37]은행!$E$443,[37]은행!$B$478,[37]은행!$E$503</definedName>
    <definedName name="이" hidden="1">{#N/A,#N/A,FALSE,"BS";#N/A,#N/A,FALSE,"PL";#N/A,#N/A,FALSE,"처분";#N/A,#N/A,FALSE,"현금";#N/A,#N/A,FALSE,"매출";#N/A,#N/A,FALSE,"원가";#N/A,#N/A,FALSE,"경영"}</definedName>
    <definedName name="이노테크">[2]INDEX!#REF!</definedName>
    <definedName name="이동" hidden="1">{#N/A,#N/A,FALSE,"을지 (4)";#N/A,#N/A,FALSE,"을지 (5)";#N/A,#N/A,FALSE,"을지 (6)"}</definedName>
    <definedName name="이동MACRO.매출총이익율구하기MACRO">#N/A</definedName>
    <definedName name="이동평균12개월">ROUND(AVERAGE([2]INDEX!XFD1:XFD1048566),0)</definedName>
    <definedName name="이런" hidden="1">{"'보고양식'!$A$58:$K$111"}</definedName>
    <definedName name="이름">'[2]3100'!#REF!</definedName>
    <definedName name="이목공예센타">[2]INDEX!#REF!</definedName>
    <definedName name="이성일" hidden="1">{"'5국공정'!$A$1:$E$128"}</definedName>
    <definedName name="이어ㅣㅏ">#N/A</definedName>
    <definedName name="이연자산">'[2]1300'!#REF!</definedName>
    <definedName name="이우러">#REF!</definedName>
    <definedName name="이자보상비율">[2]INDEX!#REF!</definedName>
    <definedName name="이자비용">BlankMacro1</definedName>
    <definedName name="이자수익OVERALL">[4]!prt6bn252bt288</definedName>
    <definedName name="이재근">'[2]2500'!#REF!</definedName>
    <definedName name="이형관">#N/A</definedName>
    <definedName name="인건비1">#N/A</definedName>
    <definedName name="인니" hidden="1">{#N/A,#N/A,FALSE,"UNIT";#N/A,#N/A,FALSE,"UNIT";#N/A,#N/A,FALSE,"계정"}</definedName>
    <definedName name="인도네시아" hidden="1">{#N/A,#N/A,FALSE,"UNIT";#N/A,#N/A,FALSE,"UNIT";#N/A,#N/A,FALSE,"계정"}</definedName>
    <definedName name="인사">'[2]2500'!#REF!</definedName>
    <definedName name="인사1">'[2]2500'!#REF!</definedName>
    <definedName name="인사현황_연령_List">#N/A</definedName>
    <definedName name="인쇄01">#N/A</definedName>
    <definedName name="인쇄영역">[2]INDEX!$B$1:$F$18,[2]INDEX!#REF!,[2]INDEX!#REF!</definedName>
    <definedName name="인쇄제목">[1]IS!$A$5:$IV$5</definedName>
    <definedName name="인수">#N/A</definedName>
    <definedName name="인원">#N/A</definedName>
    <definedName name="인원계">#N/A</definedName>
    <definedName name="인천">#N/A</definedName>
    <definedName name="일">#N/A</definedName>
    <definedName name="일광정밀">[2]INDEX!#REF!</definedName>
    <definedName name="일년차">'[2]2500'!#REF!</definedName>
    <definedName name="일단끝">[2]INDEX!#REF!</definedName>
    <definedName name="일반">#N/A</definedName>
    <definedName name="일산100">'[2]1100'!#REF!</definedName>
    <definedName name="일심정밀">[2]INDEX!#REF!</definedName>
    <definedName name="일위" hidden="1">[2]INDEX!#REF!</definedName>
    <definedName name="임시">#N/A</definedName>
    <definedName name="입출고삭제">[51]!입출고삭제</definedName>
    <definedName name="잉여금정산표">#N/A</definedName>
    <definedName name="ㅈ">'[2]2500'!$I$383:$I$915,'[2]2500'!$I$925:$I$948</definedName>
    <definedName name="ㅈㄷㄱ" hidden="1">{#N/A,#N/A,FALSE,"BS";#N/A,#N/A,FALSE,"PL";#N/A,#N/A,FALSE,"처분";#N/A,#N/A,FALSE,"현금";#N/A,#N/A,FALSE,"매출";#N/A,#N/A,FALSE,"원가";#N/A,#N/A,FALSE,"경영"}</definedName>
    <definedName name="ㅈㄷㄱㄱㄱㄱ">#N/A</definedName>
    <definedName name="ㅈㅈ" hidden="1">{#N/A,#N/A,FALSE,"을지 (4)";#N/A,#N/A,FALSE,"을지 (5)";#N/A,#N/A,FALSE,"을지 (6)"}</definedName>
    <definedName name="ㅈㅈㄷ">[2]INDEX!#REF!</definedName>
    <definedName name="ㅈㅈㅈ" hidden="1">{#N/A,#N/A,FALSE,"BS";#N/A,#N/A,FALSE,"PL";#N/A,#N/A,FALSE,"처분";#N/A,#N/A,FALSE,"현금";#N/A,#N/A,FALSE,"매출";#N/A,#N/A,FALSE,"원가";#N/A,#N/A,FALSE,"경영"}</definedName>
    <definedName name="ㅈㅈㅈㅈ">'[2]2500'!#REF!</definedName>
    <definedName name="ㅈㅈㅈㅈㅈㅈㅈ">#N/A</definedName>
    <definedName name="ㅈㅈㅈㅈㅈㅈㅈㅈㅈ">[2]INDEX!#REF!</definedName>
    <definedName name="자" hidden="1">{#N/A,#N/A,FALSE,"BS";#N/A,#N/A,FALSE,"PL";#N/A,#N/A,FALSE,"처분";#N/A,#N/A,FALSE,"현금";#N/A,#N/A,FALSE,"매출";#N/A,#N/A,FALSE,"원가";#N/A,#N/A,FALSE,"경영"}</definedName>
    <definedName name="자." hidden="1">{#N/A,#N/A,FALSE,"UNIT";#N/A,#N/A,FALSE,"UNIT";#N/A,#N/A,FALSE,"계정"}</definedName>
    <definedName name="자.." hidden="1">{#N/A,#N/A,FALSE,"UNIT";#N/A,#N/A,FALSE,"UNIT";#N/A,#N/A,FALSE,"계정"}</definedName>
    <definedName name="자기자본율">'[2]3100'!#REF!</definedName>
    <definedName name="자동화" hidden="1">{#N/A,#N/A,FALSE,"UNIT";#N/A,#N/A,FALSE,"UNIT";#N/A,#N/A,FALSE,"계정"}</definedName>
    <definedName name="자료">OFFSET([2]INDEX!$A$10,0,0,COUNTA([2]INDEX!$A$1:$A$65536),COUNTA([2]INDEX!$A$10:$IV$10))</definedName>
    <definedName name="자료1">[4]!자료1</definedName>
    <definedName name="자료2">[4]!자료2</definedName>
    <definedName name="자본">[4]!자본</definedName>
    <definedName name="자본2">[4]!BlankMacro1</definedName>
    <definedName name="자본변동표3" hidden="1">{#N/A,#N/A,FALSE,"Aging Summary";#N/A,#N/A,FALSE,"Ratio Analysis";#N/A,#N/A,FALSE,"Test 120 Day Accts";#N/A,#N/A,FALSE,"Tickmarks"}</definedName>
    <definedName name="자본조정">'[2]1300'!#REF!</definedName>
    <definedName name="자산처분4차">[4]!BLCH</definedName>
    <definedName name="자산총계">'[2]3100'!A1048563+'[2]3100'!A1048567+'[2]3100'!A1048569+'[2]3100'!A1048575</definedName>
    <definedName name="잔존가액">'[2]2500'!#REF!</definedName>
    <definedName name="잔존년">'[2]2500'!#REF!</definedName>
    <definedName name="잡비">'[2]1300'!#REF!</definedName>
    <definedName name="잡손실">'[2]1300'!#REF!</definedName>
    <definedName name="장VP" hidden="1">{#N/A,#N/A,FALSE,"UNIT";#N/A,#N/A,FALSE,"UNIT";#N/A,#N/A,FALSE,"계정"}</definedName>
    <definedName name="장기금융상품">'[2]1300'!#REF!</definedName>
    <definedName name="장기미수금" hidden="1">{#N/A,#N/A,FALSE,"UNIT";#N/A,#N/A,FALSE,"UNIT";#N/A,#N/A,FALSE,"계정"}</definedName>
    <definedName name="장기환산평가">#N/A</definedName>
    <definedName name="장단기차입금">BlankMacro1</definedName>
    <definedName name="장부가액">#N/A</definedName>
    <definedName name="장부가액합계">#N/A</definedName>
    <definedName name="장산교">'[2]3100'!#REF!</definedName>
    <definedName name="재">'[2]2500'!#REF!</definedName>
    <definedName name="재경" hidden="1">{#N/A,#N/A,FALSE,"UNIT";#N/A,#N/A,FALSE,"UNIT";#N/A,#N/A,FALSE,"계정"}</definedName>
    <definedName name="재고아ㅏㅏ">'[2]3100'!#REF!</definedName>
    <definedName name="재고자산">[40]COBS!$G$19</definedName>
    <definedName name="재고자산평가손실">'[2]1300'!#REF!</definedName>
    <definedName name="재공">'[2]2600'!#REF!</definedName>
    <definedName name="재공품">#N/A</definedName>
    <definedName name="재료" hidden="1">{#N/A,#N/A,FALSE,"UNIT";#N/A,#N/A,FALSE,"UNIT";#N/A,#N/A,FALSE,"계정"}</definedName>
    <definedName name="재료비">'[2]3100'!#REF!</definedName>
    <definedName name="저장품">[4]!저장품</definedName>
    <definedName name="저저" hidden="1">{#N/A,#N/A,FALSE,"UNIT";#N/A,#N/A,FALSE,"UNIT";#N/A,#N/A,FALSE,"계정"}</definedName>
    <definedName name="전_화_번_호">[41]회사정보!$C$12</definedName>
    <definedName name="전기_CODE">#N/A</definedName>
    <definedName name="전기_취득금액">#N/A</definedName>
    <definedName name="전기오류수정손실">'[2]1300'!#REF!</definedName>
    <definedName name="전기이월결손금">'[2]1300'!#REF!</definedName>
    <definedName name="전력_사용금액계">#N/A</definedName>
    <definedName name="전력량">#N/A</definedName>
    <definedName name="전력사용량">#N/A</definedName>
    <definedName name="전산">[1]IS!$A$2:$J$92</definedName>
    <definedName name="전상각누계">'[2]2500'!#REF!</definedName>
    <definedName name="전상각잔액">'[2]2500'!#REF!</definedName>
    <definedName name="전신전화가입권">'[2]1300'!#REF!</definedName>
    <definedName name="전장DOM">[4]!전장DOM</definedName>
    <definedName name="전화번호">[35]회사정보!$C$14</definedName>
    <definedName name="절연두께">[4]!절연두께</definedName>
    <definedName name="정" hidden="1">{#N/A,#N/A,FALSE,"UNIT";#N/A,#N/A,FALSE,"UNIT";#N/A,#N/A,FALSE,"계정"}</definedName>
    <definedName name="정격용량">[1]IS!$A$4:$IV$4</definedName>
    <definedName name="정리">[4]!정리</definedName>
    <definedName name="정문" hidden="1">{#N/A,#N/A,FALSE,"UNIT";#N/A,#N/A,FALSE,"UNIT";#N/A,#N/A,FALSE,"계정"}</definedName>
    <definedName name="정문식" hidden="1">{#N/A,#N/A,FALSE,"UNIT";#N/A,#N/A,FALSE,"UNIT";#N/A,#N/A,FALSE,"계정"}</definedName>
    <definedName name="정부보조비율">'[2]3100'!#REF!</definedName>
    <definedName name="정상채권_CF">'[2]1400'!#REF!</definedName>
    <definedName name="정안철강_주">[2]INDEX!#REF!</definedName>
    <definedName name="젖">[2]INDEX!#REF!</definedName>
    <definedName name="제일연마">[2]INDEX!#REF!</definedName>
    <definedName name="제조">'[2]1300'!#REF!</definedName>
    <definedName name="제조1부문제">'[2]3100'!#REF!</definedName>
    <definedName name="제조수도광열비">'[2]1300'!#REF!</definedName>
    <definedName name="제품매출">'[2]1300'!#REF!</definedName>
    <definedName name="제품매출액">#N/A</definedName>
    <definedName name="제품번호">#N/A</definedName>
    <definedName name="제품별">#N/A</definedName>
    <definedName name="제품별사업전략" hidden="1">{#N/A,#N/A,FALSE,"UNIT";#N/A,#N/A,FALSE,"UNIT";#N/A,#N/A,FALSE,"계정"}</definedName>
    <definedName name="조" hidden="1">{#N/A,#N/A,FALSE,"BS";#N/A,#N/A,FALSE,"PL";#N/A,#N/A,FALSE,"처분";#N/A,#N/A,FALSE,"현금";#N/A,#N/A,FALSE,"매출";#N/A,#N/A,FALSE,"원가";#N/A,#N/A,FALSE,"경영"}</definedName>
    <definedName name="조기상환후변경만기일">#N/A</definedName>
    <definedName name="조사기준일">[2]INDEX!#REF!</definedName>
    <definedName name="조정" hidden="1">#REF!</definedName>
    <definedName name="조회금액">#REF!</definedName>
    <definedName name="조회번호">#REF!</definedName>
    <definedName name="조회서번호">#REF!</definedName>
    <definedName name="조회서인쇄범위">#REF!</definedName>
    <definedName name="조회인">#REF!</definedName>
    <definedName name="조회일자">#REF!</definedName>
    <definedName name="조회주화면">#N/A</definedName>
    <definedName name="종_목">[35]회사정보!$C$13</definedName>
    <definedName name="좆먹어">#N/A</definedName>
    <definedName name="주" hidden="1">{#N/A,#N/A,FALSE,"UNIT";#N/A,#N/A,FALSE,"UNIT";#N/A,#N/A,FALSE,"계정"}</definedName>
    <definedName name="주_경남기업">[2]INDEX!#REF!</definedName>
    <definedName name="주_국인산업">[2]INDEX!#REF!</definedName>
    <definedName name="주_국일종합상사">[2]INDEX!#REF!</definedName>
    <definedName name="주_금구산업">[2]INDEX!#REF!</definedName>
    <definedName name="주_기남상사">[2]INDEX!#REF!</definedName>
    <definedName name="주_대경특수산업">[2]INDEX!#REF!</definedName>
    <definedName name="주_대명">[2]INDEX!#REF!</definedName>
    <definedName name="주_대신특수강">[2]INDEX!#REF!</definedName>
    <definedName name="주_대우정밀">[2]INDEX!#REF!</definedName>
    <definedName name="주_동서엠티">[2]INDEX!#REF!</definedName>
    <definedName name="주_동아금속_김해">[2]INDEX!#REF!</definedName>
    <definedName name="주_동양특수강">[2]INDEX!#REF!</definedName>
    <definedName name="주_루보창원사무소">[2]INDEX!#REF!</definedName>
    <definedName name="주_미륭산업">[2]INDEX!#REF!</definedName>
    <definedName name="주_부성파이프">[2]INDEX!#REF!</definedName>
    <definedName name="주_부쉬코리아">[2]INDEX!#REF!</definedName>
    <definedName name="주_비엠금속">[2]INDEX!#REF!</definedName>
    <definedName name="주_삼도기업">[2]INDEX!#REF!</definedName>
    <definedName name="주_선명무역">[2]INDEX!#REF!</definedName>
    <definedName name="주_성진">[2]INDEX!#REF!</definedName>
    <definedName name="주_세교하이텍">[2]INDEX!#REF!</definedName>
    <definedName name="주_송림정보">[2]INDEX!#REF!</definedName>
    <definedName name="주_스틸카스피">[2]INDEX!#REF!</definedName>
    <definedName name="주_아세아스틸">[2]INDEX!#REF!</definedName>
    <definedName name="주_아세아철강">[2]INDEX!#REF!</definedName>
    <definedName name="주_연일금속">[2]INDEX!#REF!</definedName>
    <definedName name="주_용천정공">[2]INDEX!#REF!</definedName>
    <definedName name="주_월드테크">[2]INDEX!#REF!</definedName>
    <definedName name="주_율아">[2]INDEX!#REF!</definedName>
    <definedName name="주_조흥기전">[2]INDEX!#REF!</definedName>
    <definedName name="주_진전사">[2]INDEX!#REF!</definedName>
    <definedName name="주_태영화학">[2]INDEX!#REF!</definedName>
    <definedName name="주_태흥환경개발">[2]INDEX!#REF!</definedName>
    <definedName name="주_티피씨">[2]INDEX!#REF!</definedName>
    <definedName name="주_풍남상공">[2]INDEX!#REF!</definedName>
    <definedName name="주_풍성산업">[2]INDEX!#REF!</definedName>
    <definedName name="주_한국비철파주공장">[2]INDEX!#REF!</definedName>
    <definedName name="주_한국산업안전">[2]INDEX!#REF!</definedName>
    <definedName name="주_호성베아링">[2]INDEX!#REF!</definedName>
    <definedName name="주_화성다이케스팅">[2]INDEX!#REF!</definedName>
    <definedName name="주부신수익권증서_400">#N/A</definedName>
    <definedName name="주소">#REF!</definedName>
    <definedName name="주식발행초과금">[5]회사정보!#REF!</definedName>
    <definedName name="주임조">'[2]2600'!#REF!</definedName>
    <definedName name="주임종">'[2]1100'!#REF!</definedName>
    <definedName name="주임종1">'[2]2600'!#REF!</definedName>
    <definedName name="주임종1231">'[2]1100'!#REF!</definedName>
    <definedName name="주임종장기">'[2]2600'!#REF!</definedName>
    <definedName name="주임종장기대여금">'[2]2600'!#REF!</definedName>
    <definedName name="주재원" hidden="1">#REF!</definedName>
    <definedName name="주차계획" hidden="1">{#N/A,#N/A,FALSE,"UNIT";#N/A,#N/A,FALSE,"UNIT";#N/A,#N/A,FALSE,"계정"}</definedName>
    <definedName name="주택">#N/A</definedName>
    <definedName name="준비기간">[2]INDEX!#REF!</definedName>
    <definedName name="중간요약" hidden="1">{#N/A,#N/A,FALSE,"BS";#N/A,#N/A,FALSE,"PL";#N/A,#N/A,FALSE,"처분";#N/A,#N/A,FALSE,"현금";#N/A,#N/A,FALSE,"매출";#N/A,#N/A,FALSE,"원가";#N/A,#N/A,FALSE,"경영"}</definedName>
    <definedName name="중계정_누계_">'[2]2500'!#REF!</definedName>
    <definedName name="중계정_당월_">'[2]2500'!#REF!</definedName>
    <definedName name="중계젖_누계_">#N/A</definedName>
    <definedName name="중계젖_당월_">#N/A</definedName>
    <definedName name="중대한_비감사서비스를_제공할_예정인가?">'[39]1100A'!#REF!</definedName>
    <definedName name="중도정산기준일">#N/A</definedName>
    <definedName name="중산공업">[2]INDEX!#REF!</definedName>
    <definedName name="중소기업해당여부">[35]회사정보!$C$18</definedName>
    <definedName name="중앙" hidden="1">{#N/A,#N/A,FALSE,"단축1";#N/A,#N/A,FALSE,"단축2";#N/A,#N/A,FALSE,"단축3";#N/A,#N/A,FALSE,"장축";#N/A,#N/A,FALSE,"4WD"}</definedName>
    <definedName name="증감1">[1]BS!XFC1-[1]BS!XFA1</definedName>
    <definedName name="증감2">[1]BS!XFC1-[1]BS!XEZ1</definedName>
    <definedName name="증감구로">#N/A</definedName>
    <definedName name="증감본사누계">#N/A</definedName>
    <definedName name="증감부평">#N/A</definedName>
    <definedName name="증감서울">#N/A</definedName>
    <definedName name="증감율1">([1]BS!XFC1-[1]BS!XFA1)/[1]BS!XFA1*100</definedName>
    <definedName name="증감율2">([1]BS!XFC1-[1]BS!XEZ1)/[1]BS!XEZ1*100</definedName>
    <definedName name="증감창원">#N/A</definedName>
    <definedName name="증감표">#REF!</definedName>
    <definedName name="증빙">[4]!증빙</definedName>
    <definedName name="지급1">[2]INDEX!#REF!</definedName>
    <definedName name="지급10">[2]INDEX!#REF!</definedName>
    <definedName name="지급2">[2]INDEX!#REF!</definedName>
    <definedName name="지급3">[2]INDEX!#REF!</definedName>
    <definedName name="지급4">[2]INDEX!#REF!</definedName>
    <definedName name="지급5">[2]INDEX!#REF!</definedName>
    <definedName name="지급6">[2]INDEX!#REF!</definedName>
    <definedName name="지급7">[2]INDEX!#REF!</definedName>
    <definedName name="지급8">[2]INDEX!#REF!</definedName>
    <definedName name="지급9">[2]INDEX!#REF!</definedName>
    <definedName name="지급어음">'[2]1300'!#REF!</definedName>
    <definedName name="지보7">'[2]1400'!#REF!</definedName>
    <definedName name="지보약">'[2]1400'!#REF!</definedName>
    <definedName name="지불매크로4">#N/A</definedName>
    <definedName name="지역채권02_CF">#N/A</definedName>
    <definedName name="지역채권02_CFSum">#N/A</definedName>
    <definedName name="지자">#N/A</definedName>
    <definedName name="직접노무비">'[2]3100'!#REF!</definedName>
    <definedName name="진" hidden="1">{#N/A,#N/A,FALSE,"UNIT";#N/A,#N/A,FALSE,"UNIT";#N/A,#N/A,FALSE,"계정"}</definedName>
    <definedName name="진공열처리">[2]INDEX!#REF!</definedName>
    <definedName name="진양상사">[2]INDEX!#REF!</definedName>
    <definedName name="진영산업">[2]INDEX!#REF!</definedName>
    <definedName name="진영유공압">[2]INDEX!#REF!</definedName>
    <definedName name="진웅금속공업사">[2]INDEX!#REF!</definedName>
    <definedName name="진짜살림">#N/A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ㅊ1">'[2]2500'!#REF!</definedName>
    <definedName name="ㅊ3030">#N/A</definedName>
    <definedName name="ㅊㅊㅊㅊ">#N/A</definedName>
    <definedName name="ㅊㅊㅊㅊㅊ">[4]!ㅊㅊㅊㅊㅊ</definedName>
    <definedName name="차." hidden="1">{#N/A,#N/A,FALSE,"UNIT";#N/A,#N/A,FALSE,"UNIT";#N/A,#N/A,FALSE,"계정"}</definedName>
    <definedName name="차량" hidden="1">{#N/A,#N/A,FALSE,"UNIT";#N/A,#N/A,FALSE,"UNIT";#N/A,#N/A,FALSE,"계정"}</definedName>
    <definedName name="차량SVC" hidden="1">{#N/A,#N/A,FALSE,"UNIT";#N/A,#N/A,FALSE,"UNIT";#N/A,#N/A,FALSE,"계정"}</definedName>
    <definedName name="차량운반구" hidden="1">{"'손익현황'!$A$1:$J$29"}</definedName>
    <definedName name="차인잔액">'[2]2500'!#REF!</definedName>
    <definedName name="차입금">BlankMacro1</definedName>
    <definedName name="참고" hidden="1">{#N/A,#N/A,FALSE,"BS";#N/A,#N/A,FALSE,"PL";#N/A,#N/A,FALSE,"처분";#N/A,#N/A,FALSE,"현금";#N/A,#N/A,FALSE,"매출";#N/A,#N/A,FALSE,"원가";#N/A,#N/A,FALSE,"경영"}</definedName>
    <definedName name="참나">[4]!참나</definedName>
    <definedName name="참나나나나나난">[4]!참나나나나나난</definedName>
    <definedName name="참내">[4]!참내</definedName>
    <definedName name="창원">#N/A</definedName>
    <definedName name="채권">#N/A</definedName>
    <definedName name="채권Sampling">#REF!</definedName>
    <definedName name="채권sort">#REF!</definedName>
    <definedName name="채권계정과목">#REF!</definedName>
    <definedName name="채권금액">#REF!</definedName>
    <definedName name="채권범위">#REF!</definedName>
    <definedName name="채권전체">#N/A</definedName>
    <definedName name="채무sort">#REF!</definedName>
    <definedName name="채무계정과목">#REF!</definedName>
    <definedName name="채무금액">#REF!</definedName>
    <definedName name="채무범위">#REF!</definedName>
    <definedName name="채무제목">#REF!</definedName>
    <definedName name="처분">#REF!</definedName>
    <definedName name="처음">#N/A</definedName>
    <definedName name="천성정밀">[2]INDEX!#REF!</definedName>
    <definedName name="천안">#N/A</definedName>
    <definedName name="천안토공_토공_List">'[2]2500'!#REF!</definedName>
    <definedName name="천호공업사">[2]INDEX!#REF!</definedName>
    <definedName name="초고압" hidden="1">{#N/A,#N/A,FALSE,"UNIT";#N/A,#N/A,FALSE,"UNIT";#N/A,#N/A,FALSE,"계정"}</definedName>
    <definedName name="초기화면가기">#N/A</definedName>
    <definedName name="초사">#REF!</definedName>
    <definedName name="총괄">[4]!총괄</definedName>
    <definedName name="총괄1" hidden="1">{#N/A,#N/A,FALSE,"UNIT";#N/A,#N/A,FALSE,"UNIT";#N/A,#N/A,FALSE,"계정"}</definedName>
    <definedName name="총괄표">#REF!</definedName>
    <definedName name="총민간투자비">#REF!</definedName>
    <definedName name="총부여주식수">#N/A</definedName>
    <definedName name="총인원">#N/A</definedName>
    <definedName name="총인원1계">[2]INDEX!#REF!</definedName>
    <definedName name="총인원2계">[2]INDEX!#REF!</definedName>
    <definedName name="총인원계">#N/A</definedName>
    <definedName name="최종만기일">#N/A</definedName>
    <definedName name="최초">#N/A</definedName>
    <definedName name="쵭여해">[52]!don</definedName>
    <definedName name="추계합계">'[2]1400'!#REF!</definedName>
    <definedName name="출75">#N/A</definedName>
    <definedName name="충돌">'[2]2500'!#REF!</definedName>
    <definedName name="취득가액">#N/A</definedName>
    <definedName name="취소">#N/A</definedName>
    <definedName name="칠">#N/A</definedName>
    <definedName name="ㅋ" hidden="1">{#N/A,#N/A,FALSE,"UNIT";#N/A,#N/A,FALSE,"UNIT";#N/A,#N/A,FALSE,"계정"}</definedName>
    <definedName name="ㅋㅋㅋㅋ" hidden="1">'[2]2500'!#REF!</definedName>
    <definedName name="ㅋㅌㅊ퓨">[4]!ㅋㅌㅊ퓨</definedName>
    <definedName name="칷__?____?">[2]INDEX!#REF!</definedName>
    <definedName name="코레코통상">[2]INDEX!#REF!</definedName>
    <definedName name="큐ㅗㅅㄹ">[4]!큐ㅗㅅㄹ</definedName>
    <definedName name="키프코" hidden="1">{#N/A,#N/A,FALSE,"을지 (4)";#N/A,#N/A,FALSE,"을지 (5)";#N/A,#N/A,FALSE,"을지 (6)"}</definedName>
    <definedName name="ㅌ" hidden="1">{#N/A,#N/A,FALSE,"UNIT";#N/A,#N/A,FALSE,"UNIT";#N/A,#N/A,FALSE,"계정"}</definedName>
    <definedName name="ㅌㄴㄴ">[4]!ㅌㄴㄴ</definedName>
    <definedName name="ㅌㅌㅌ" hidden="1">{#N/A,#N/A,FALSE,"BS";#N/A,#N/A,FALSE,"PL";#N/A,#N/A,FALSE,"처분";#N/A,#N/A,FALSE,"현금";#N/A,#N/A,FALSE,"매출";#N/A,#N/A,FALSE,"원가";#N/A,#N/A,FALSE,"경영"}</definedName>
    <definedName name="탕감합계">[2]INDEX!#REF!</definedName>
    <definedName name="태1">[1]IS!$B$11</definedName>
    <definedName name="태10">[1]IS!$K$11</definedName>
    <definedName name="태2">[1]IS!$C$11</definedName>
    <definedName name="태3">[1]IS!$D$11</definedName>
    <definedName name="태4">[1]IS!$E$11</definedName>
    <definedName name="태5">[1]IS!$F$11</definedName>
    <definedName name="태6">[1]IS!$G$11</definedName>
    <definedName name="태7">[1]IS!$H$11</definedName>
    <definedName name="태8">[1]IS!$I$11</definedName>
    <definedName name="태9">[1]IS!$J$11</definedName>
    <definedName name="태경금재">[2]INDEX!#REF!</definedName>
    <definedName name="태극정밀">[2]INDEX!#REF!</definedName>
    <definedName name="태양금속공업_주">[2]INDEX!#REF!</definedName>
    <definedName name="태양금속열처리">[2]INDEX!#REF!</definedName>
    <definedName name="태진산업_주">[2]INDEX!#REF!</definedName>
    <definedName name="태형기공">[2]INDEX!#REF!</definedName>
    <definedName name="텃ㅌㅇ">[4]!텃ㅌㅇ</definedName>
    <definedName name="템플리트모듈1">[4]!BLCH</definedName>
    <definedName name="템플리트모듈2">[4]!BLCH</definedName>
    <definedName name="템플리트모듈3">[4]!BLCH</definedName>
    <definedName name="템플리트모듈4">[4]!BLCH</definedName>
    <definedName name="템플리트모듈5">[4]!BLCH</definedName>
    <definedName name="템플리트모듈6">[4]!BLCH</definedName>
    <definedName name="퇴">[4]!퇴</definedName>
    <definedName name="퇴직2000">#REF!</definedName>
    <definedName name="퇴직급여충당부채">[2]INDEX!#REF!</definedName>
    <definedName name="퇴충">#N/A</definedName>
    <definedName name="투본상계">#N/A</definedName>
    <definedName name="투자" hidden="1">{#N/A,#N/A,FALSE,"UNIT";#N/A,#N/A,FALSE,"UNIT";#N/A,#N/A,FALSE,"계정"}</definedName>
    <definedName name="투자계획" hidden="1">{#N/A,#N/A,FALSE,"UNIT";#N/A,#N/A,FALSE,"UNIT";#N/A,#N/A,FALSE,"계정"}</definedName>
    <definedName name="투자계획1" hidden="1">{#N/A,#N/A,FALSE,"UNIT";#N/A,#N/A,FALSE,"UNIT";#N/A,#N/A,FALSE,"계정"}</definedName>
    <definedName name="투자계획2" hidden="1">{#N/A,#N/A,FALSE,"UNIT";#N/A,#N/A,FALSE,"UNIT";#N/A,#N/A,FALSE,"계정"}</definedName>
    <definedName name="투자현황" hidden="1">{#N/A,#N/A,FALSE,"UNIT";#N/A,#N/A,FALSE,"UNIT";#N/A,#N/A,FALSE,"계정"}</definedName>
    <definedName name="특별손실">'[2]1300'!#REF!</definedName>
    <definedName name="특별이익">'[2]1300'!#REF!</definedName>
    <definedName name="특허권">'[2]1300'!#REF!</definedName>
    <definedName name="특허권상각">'[2]1300'!#REF!</definedName>
    <definedName name="팀pmd">#N/A</definedName>
    <definedName name="팀발주">#N/A</definedName>
    <definedName name="팀별계획" hidden="1">{#N/A,#N/A,FALSE,"UNIT";#N/A,#N/A,FALSE,"UNIT";#N/A,#N/A,FALSE,"계정"}</definedName>
    <definedName name="ㅍ" hidden="1">{#N/A,#N/A,FALSE,"UNIT";#N/A,#N/A,FALSE,"UNIT";#N/A,#N/A,FALSE,"계정"}</definedName>
    <definedName name="ㅍㄹㄷㅁㅁ" hidden="1">[2]INDEX!#REF!</definedName>
    <definedName name="ㅍㅍ">'[2]3100'!#REF!</definedName>
    <definedName name="ㅍㅍㅍㅍ" hidden="1">{#N/A,#N/A,FALSE,"UNIT";#N/A,#N/A,FALSE,"UNIT";#N/A,#N/A,FALSE,"계정"}</definedName>
    <definedName name="ㅍㅍㅍㅍㅍㅍ" hidden="1">[2]INDEX!#REF!</definedName>
    <definedName name="ㅍㅍㅍㅍㅍㅍㅍ">#N/A</definedName>
    <definedName name="파">[36]!BlankMacro1</definedName>
    <definedName name="판관비">[4]!판관비</definedName>
    <definedName name="판보">[4]!판보</definedName>
    <definedName name="팔">#N/A</definedName>
    <definedName name="편의점사업부">#N/A</definedName>
    <definedName name="평공">'[2]2600'!#REF!</definedName>
    <definedName name="평리금속">[2]INDEX!#REF!</definedName>
    <definedName name="평산정공">[2]INDEX!#REF!</definedName>
    <definedName name="포" hidden="1">{#N/A,#N/A,FALSE,"UNIT";#N/A,#N/A,FALSE,"UNIT";#N/A,#N/A,FALSE,"계정"}</definedName>
    <definedName name="표지">#N/A</definedName>
    <definedName name="표지1">BlankMacro1</definedName>
    <definedName name="풍구TECH">[2]INDEX!#REF!</definedName>
    <definedName name="프">#REF!</definedName>
    <definedName name="피곤">#N/A</definedName>
    <definedName name="피비씨">#REF!</definedName>
    <definedName name="피비씨리스트">#REF!</definedName>
    <definedName name="ㅎ" hidden="1">{#N/A,#N/A,FALSE,"을지 (4)";#N/A,#N/A,FALSE,"을지 (5)";#N/A,#N/A,FALSE,"을지 (6)"}</definedName>
    <definedName name="ㅎ4ㅎ">[4]!ㅎ4ㅎ</definedName>
    <definedName name="ㅎㄶㄴ">[4]!ㅎㄶㄴ</definedName>
    <definedName name="ㅎㄷ뮤">[4]!ㅎㄷ뮤</definedName>
    <definedName name="ㅎㄹㄹㄹ">#N/A</definedName>
    <definedName name="ㅎㄹㅇ">[4]!BlankMacro1</definedName>
    <definedName name="ㅎㄽ" hidden="1">{#N/A,#N/A,FALSE,"UNIT";#N/A,#N/A,FALSE,"UNIT";#N/A,#N/A,FALSE,"계정"}</definedName>
    <definedName name="ㅎㅀㅎ">[4]!BlankMacro1</definedName>
    <definedName name="ㅎㅇ">[4]!ㅎㅇ</definedName>
    <definedName name="ㅎㅇㄹ">[4]!ㅎㅇㄹ</definedName>
    <definedName name="ㅎㅍ">[4]!BlankMacro1</definedName>
    <definedName name="ㅎㅎ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ㅎㅎㄴ">[4]!BlankMacro1</definedName>
    <definedName name="ㅎㅎㅎ">[2]INDEX!#REF!</definedName>
    <definedName name="ㅎㅎㅎㅎ">[2]INDEX!#REF!</definedName>
    <definedName name="하반기">#N/A</definedName>
    <definedName name="하반예산여기여기">[2]INDEX!#REF!</definedName>
    <definedName name="하하" hidden="1">{#N/A,#N/A,FALSE,"BS";#N/A,#N/A,FALSE,"PL";#N/A,#N/A,FALSE,"처분";#N/A,#N/A,FALSE,"현금";#N/A,#N/A,FALSE,"매출";#N/A,#N/A,FALSE,"원가";#N/A,#N/A,FALSE,"경영"}</definedName>
    <definedName name="하하하">[53]회사정보!$C$8</definedName>
    <definedName name="한">#N/A</definedName>
    <definedName name="한국OSG_주">[2]INDEX!#REF!</definedName>
    <definedName name="한국금속공업_주">[2]INDEX!#REF!</definedName>
    <definedName name="한국신동공업_주__브레터사업부">[2]INDEX!#REF!</definedName>
    <definedName name="한국유공압">[2]INDEX!#REF!</definedName>
    <definedName name="한국종합상사">[2]INDEX!#REF!</definedName>
    <definedName name="한국훼스토_주">[2]INDEX!#REF!</definedName>
    <definedName name="한림스퀴즈캐스팅_주">[2]INDEX!#REF!</definedName>
    <definedName name="한미캐피탈">#N/A</definedName>
    <definedName name="한성상사">[2]INDEX!#REF!</definedName>
    <definedName name="한성정밀강관_주">[2]INDEX!#REF!</definedName>
    <definedName name="한신기공">[2]INDEX!#REF!</definedName>
    <definedName name="한양테크">[2]INDEX!#REF!</definedName>
    <definedName name="한융금속_주">[2]INDEX!#REF!</definedName>
    <definedName name="한총2" hidden="1">{#N/A,#N/A,FALSE,"을지 (4)";#N/A,#N/A,FALSE,"을지 (5)";#N/A,#N/A,FALSE,"을지 (6)"}</definedName>
    <definedName name="할인3">BlankMacro1</definedName>
    <definedName name="합___계">[1]IS!$B$12:$S$12</definedName>
    <definedName name="합잔">#N/A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목명과위치">[45]손익항목표!$C$2:$G$9</definedName>
    <definedName name="해외">#N/A</definedName>
    <definedName name="해외관계사대손설정">#N/A</definedName>
    <definedName name="향림정밀">[2]INDEX!#REF!</definedName>
    <definedName name="허ㅎㄹ">'[2]2500'!#REF!</definedName>
    <definedName name="헌">[2]INDEX!#REF!</definedName>
    <definedName name="혁신와이어">[2]INDEX!#REF!</definedName>
    <definedName name="현금23" hidden="1">{#N/A,#N/A,FALSE,"BS";#N/A,#N/A,FALSE,"PL";#N/A,#N/A,FALSE,"처분";#N/A,#N/A,FALSE,"현금";#N/A,#N/A,FALSE,"매출";#N/A,#N/A,FALSE,"원가";#N/A,#N/A,FALSE,"경영"}</definedName>
    <definedName name="현금등가물">'[2]1300'!#REF!</definedName>
    <definedName name="현금외화">#N/A</definedName>
    <definedName name="현금원화">#N/A</definedName>
    <definedName name="현금정산표">[1]BS!$A$1:$G$220</definedName>
    <definedName name="현금흐름">#N/A</definedName>
    <definedName name="현금흐름표">[2]INDEX!#REF!</definedName>
    <definedName name="현대고주파열처리">[2]INDEX!#REF!</definedName>
    <definedName name="현대엔지니어링">[2]INDEX!#REF!</definedName>
    <definedName name="現代綜合商事經由分">'[2]3100'!#REF!</definedName>
    <definedName name="현대철물">[2]INDEX!#REF!</definedName>
    <definedName name="협선도금">[2]INDEX!#REF!</definedName>
    <definedName name="형상">#N/A</definedName>
    <definedName name="형제기공사">[2]INDEX!#REF!</definedName>
    <definedName name="호" hidden="1">{#N/A,#N/A,FALSE,"UNIT";#N/A,#N/A,FALSE,"UNIT";#N/A,#N/A,FALSE,"계정"}</definedName>
    <definedName name="화성">'[2]3100'!#REF!</definedName>
    <definedName name="화성정공">[2]INDEX!#REF!</definedName>
    <definedName name="화원도정공장">[2]INDEX!#REF!</definedName>
    <definedName name="화진교역">[2]INDEX!#REF!</definedName>
    <definedName name="화천ENG">[2]INDEX!#REF!</definedName>
    <definedName name="확" hidden="1">{#N/A,#N/A,FALSE,"BS";#N/A,#N/A,FALSE,"PL";#N/A,#N/A,FALSE,"처분";#N/A,#N/A,FALSE,"현금";#N/A,#N/A,FALSE,"매출";#N/A,#N/A,FALSE,"원가";#N/A,#N/A,FALSE,"경영"}</definedName>
    <definedName name="확대3" hidden="1">{#N/A,#N/A,FALSE,"UNIT";#N/A,#N/A,FALSE,"UNIT";#N/A,#N/A,FALSE,"계정"}</definedName>
    <definedName name="환">1200.4</definedName>
    <definedName name="환경" hidden="1">{#N/A,#N/A,FALSE,"UNIT";#N/A,#N/A,FALSE,"UNIT";#N/A,#N/A,FALSE,"계정"}</definedName>
    <definedName name="환산">#N/A</definedName>
    <definedName name="환산손">[54]외환익!$A$4:$C$10</definedName>
    <definedName name="환율">1193.1</definedName>
    <definedName name="환율1">#N/A</definedName>
    <definedName name="환율2">[1]BS!$K$2</definedName>
    <definedName name="환율sp95">[1]IS!#REF!</definedName>
    <definedName name="환율적용MACRO">#N/A</definedName>
    <definedName name="회사명">#REF!</definedName>
    <definedName name="회사의개황">#N/A</definedName>
    <definedName name="회사코드">#N/A</definedName>
    <definedName name="효성전기">[2]INDEX!#REF!</definedName>
    <definedName name="효창산업사">[2]INDEX!#REF!</definedName>
    <definedName name="흎">[4]!흎</definedName>
    <definedName name="힘내">'[2]2500'!#REF!</definedName>
    <definedName name="ㅏ95">#N/A</definedName>
    <definedName name="ㅏㅅ">[4]!BlankMacro1</definedName>
    <definedName name="ㅏㅏ교">[4]!ㅏㅏ교</definedName>
    <definedName name="ㅏㅏㅏ">'[2]2500'!#REF!</definedName>
    <definedName name="ㅏㅐㅏㅔㅐㅣ" hidden="1">{#N/A,#N/A,FALSE,"UNIT";#N/A,#N/A,FALSE,"UNIT";#N/A,#N/A,FALSE,"계정"}</definedName>
    <definedName name="ㅏㅣㅏㅣ">#N/A</definedName>
    <definedName name="ㅐ">#N/A</definedName>
    <definedName name="ㅐㅐ" hidden="1">{#N/A,#N/A,FALSE,"을지 (4)";#N/A,#N/A,FALSE,"을지 (5)";#N/A,#N/A,FALSE,"을지 (6)"}</definedName>
    <definedName name="ㅑ" hidden="1">{#N/A,#N/A,FALSE,"Aging Summary";#N/A,#N/A,FALSE,"Ratio Analysis";#N/A,#N/A,FALSE,"Test 120 Day Accts";#N/A,#N/A,FALSE,"Tickmarks"}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hidden="1">{#N/A,#N/A,FALSE,"BS";#N/A,#N/A,FALSE,"PL";#N/A,#N/A,FALSE,"처분";#N/A,#N/A,FALSE,"현금";#N/A,#N/A,FALSE,"매출";#N/A,#N/A,FALSE,"원가";#N/A,#N/A,FALSE,"경영"}</definedName>
    <definedName name="ㅓㄱㄱㄱ">[4]!ㅓㄱㄱㄱ</definedName>
    <definedName name="ㅓㄱㄷ">[4]!ㅓㄱㄷ</definedName>
    <definedName name="ㅓㄴㄱㄴㄱ">[4]!ㅓㄴㄱㄴㄱ</definedName>
    <definedName name="ㅓㄴ교ㅓ">[4]!ㅓㄴ교ㅓ</definedName>
    <definedName name="ㅓㄴㄴ뇨ㅓ">[4]!ㅓㄴㄴ뇨ㅓ</definedName>
    <definedName name="ㅓㄴ서">[4]!ㅓㄴ서</definedName>
    <definedName name="ㅓㅅ">[4]!ㅓㅅ</definedName>
    <definedName name="ㅓㅅㄱㅇㄴ쇼ㅓ">[4]!ㅓㅅㄱㅇㄴ쇼ㅓ</definedName>
    <definedName name="ㅓㅇ섯">[4]!ㅓㅇ섯</definedName>
    <definedName name="ㅓㅇ쇼ㅓㄴ">[4]!ㅓㅇ쇼ㅓㄴ</definedName>
    <definedName name="ㅓ요선ㅇ">[4]!ㅓ요선ㅇ</definedName>
    <definedName name="ㅓㅏ">[4]!ㅓㅏ</definedName>
    <definedName name="ㅓㅏ리앙" hidden="1">{#N/A,#N/A,FALSE,"UNIT";#N/A,#N/A,FALSE,"UNIT";#N/A,#N/A,FALSE,"계정"}</definedName>
    <definedName name="ㅓㅓㅓ">#N/A</definedName>
    <definedName name="ㅓㅛㄴㅇ교ㅓ">[4]!ㅓㅛㄴㅇ교ㅓ</definedName>
    <definedName name="ㅓㅛㅅ">[4]!ㅓㅛㅅ</definedName>
    <definedName name="ㅓㅛㅅ언">[4]!ㅓㅛㅅ언</definedName>
    <definedName name="ㅓㅛㅅ엉ㅅ">[4]!ㅓㅛㅅ엉ㅅ</definedName>
    <definedName name="ㅓㅛㅇ서">[4]!ㅓㅛㅇ서</definedName>
    <definedName name="ㅓㅣ">[4]!ㅓㅣ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hidden="1">{#N/A,#N/A,FALSE,"BS";#N/A,#N/A,FALSE,"PL";#N/A,#N/A,FALSE,"처분";#N/A,#N/A,FALSE,"현금";#N/A,#N/A,FALSE,"매출";#N/A,#N/A,FALSE,"원가";#N/A,#N/A,FALSE,"경영"}</definedName>
    <definedName name="ㅕㅕㅕ" hidden="1">{#N/A,#N/A,FALSE,"을지 (4)";#N/A,#N/A,FALSE,"을지 (5)";#N/A,#N/A,FALSE,"을지 (6)"}</definedName>
    <definedName name="ㅗ" hidden="1">{#N/A,#N/A,FALSE,"BS";#N/A,#N/A,FALSE,"PL";#N/A,#N/A,FALSE,"처분";#N/A,#N/A,FALSE,"현금";#N/A,#N/A,FALSE,"매출";#N/A,#N/A,FALSE,"원가";#N/A,#N/A,FALSE,"경영"}</definedName>
    <definedName name="ㅗ6">#N/A</definedName>
    <definedName name="ㅗㄱㄴ">[4]!ㅗㄱㄴ</definedName>
    <definedName name="ㅗㄱㄴㄴㄱ속ㄴ">[4]!ㅗㄱㄴㄴㄱ속ㄴ</definedName>
    <definedName name="ㅗㄱㄴ속ㄴ">[4]!ㅗㄱㄴ속ㄴ</definedName>
    <definedName name="ㅗㄱㄴ손">[4]!ㅗㄱㄴ손</definedName>
    <definedName name="ㅗㄱ녹ㄴ">[4]!ㅗㄱ녹ㄴ</definedName>
    <definedName name="ㅗㄱㄷ">[4]!ㅗㄱㄷ</definedName>
    <definedName name="ㅗㄱ소">[4]!ㅗㄱ소</definedName>
    <definedName name="ㅗㄳㄷ곧ㄴ">[4]!ㅗㄳㄷ곧ㄴ</definedName>
    <definedName name="ㅗㄴㄱ소">[4]!ㅗㄴㄱ소</definedName>
    <definedName name="ㅗㄴㄱ손">[4]!ㅗㄴㄱ손</definedName>
    <definedName name="ㅗㄴㄱ손ㄱ">[4]!ㅗㄴㄱ손ㄱ</definedName>
    <definedName name="ㅗㄴㄱ솟ㄱㄴ">[4]!ㅗㄴㄱ솟ㄱㄴ</definedName>
    <definedName name="ㅗㄴ곤">[4]!ㅗㄴ곤</definedName>
    <definedName name="ㅗㄴㄳ">[4]!ㅗㄴㄳ</definedName>
    <definedName name="ㅗㄷ손">[4]!ㅗㄷ손</definedName>
    <definedName name="ㅗㄹㅇ">[4]!BlankMacro1</definedName>
    <definedName name="ㅗㅀ">[4]!ㅗㅀ</definedName>
    <definedName name="ㅗㅅㄱ노ㅠㅍ">[4]!ㅗㅅㄱ노ㅠㅍ</definedName>
    <definedName name="ㅗㅅㄱ논">[4]!ㅗㅅㄱ논</definedName>
    <definedName name="ㅗㅅ곤">[4]!ㅗㅅ곤</definedName>
    <definedName name="ㅗㅅㄴ곤고">[4]!ㅗㅅㄴ곤고</definedName>
    <definedName name="ㅗㅈ4">[4]!ㅗㅈ4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ㅘ">[4]!ㅘ</definedName>
    <definedName name="ㅛ" hidden="1">{#N/A,#N/A,FALSE,"BS";#N/A,#N/A,FALSE,"PL";#N/A,#N/A,FALSE,"처분";#N/A,#N/A,FALSE,"현금";#N/A,#N/A,FALSE,"매출";#N/A,#N/A,FALSE,"원가";#N/A,#N/A,FALSE,"경영"}</definedName>
    <definedName name="ㅛ걱">[4]!ㅛ걱</definedName>
    <definedName name="ㅛ건">[4]!ㅛ건</definedName>
    <definedName name="ㅛㅇㅅ겅ㅅ">[4]!ㅛㅇㅅ겅ㅅ</definedName>
    <definedName name="ㅛㅓ">[4]!ㅛㅓ</definedName>
    <definedName name="ㅛㅓㄴ">[4]!ㅛㅓㄴ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ㅜ">'[2]2500'!#REF!</definedName>
    <definedName name="ㅠ" hidden="1">{#N/A,#N/A,FALSE,"UNIT";#N/A,#N/A,FALSE,"UNIT";#N/A,#N/A,FALSE,"계정"}</definedName>
    <definedName name="ㅠㄱㄴㄳ">[4]!ㅠㄱㄴㄳ</definedName>
    <definedName name="ㅠㄷㅁ">[4]!ㅠㄷㅁ</definedName>
    <definedName name="ㅠㅅ귷">[4]!ㅠㅅ귷</definedName>
    <definedName name="ㅠㅠㅠ">[4]!ㅠㅠㅠ</definedName>
    <definedName name="ㅠㅠㅠㅠㅠㅠ">[4]!ㅠㅠㅠㅠㅠㅠ</definedName>
    <definedName name="ㅣ">#N/A</definedName>
    <definedName name="ㅣㅏ">[4]!ㅣㅏ</definedName>
    <definedName name="ㅣㅏㅣ">#N/A</definedName>
    <definedName name="ㅣㅣ" hidden="1">{#N/A,#N/A,FALSE,"을지 (4)";#N/A,#N/A,FALSE,"을지 (5)";#N/A,#N/A,FALSE,"을지 (6)"}</definedName>
    <definedName name="ㅣㅣㅣ">#N/A</definedName>
    <definedName name="ㅣㅣㅣㅣㅣㅣㅣㄹㄹㄹㄹㄹㄹㄹ">[4]!ㅣㅣㅣㅣㅣㅣㅣㄹㄹㄹㄹㄹㄹㄹ</definedName>
  </definedNames>
  <calcPr calcId="162913"/>
</workbook>
</file>

<file path=xl/calcChain.xml><?xml version="1.0" encoding="utf-8"?>
<calcChain xmlns="http://schemas.openxmlformats.org/spreadsheetml/2006/main">
  <c r="E86" i="7" l="1"/>
  <c r="D86" i="7"/>
  <c r="E77" i="7"/>
  <c r="D77" i="7"/>
  <c r="F75" i="7"/>
  <c r="F76" i="7" s="1"/>
  <c r="D74" i="7"/>
  <c r="E73" i="7"/>
  <c r="E76" i="7" s="1"/>
  <c r="E94" i="7" s="1"/>
  <c r="E96" i="7" s="1"/>
  <c r="D73" i="7"/>
  <c r="D76" i="7" s="1"/>
  <c r="D94" i="7" s="1"/>
  <c r="D96" i="7" s="1"/>
  <c r="F72" i="7"/>
  <c r="G72" i="7" s="1"/>
  <c r="F71" i="7"/>
  <c r="F73" i="7" s="1"/>
  <c r="G73" i="7" s="1"/>
  <c r="D64" i="7"/>
  <c r="D65" i="7" s="1"/>
  <c r="F63" i="7"/>
  <c r="G63" i="7" s="1"/>
  <c r="G62" i="7"/>
  <c r="F62" i="7"/>
  <c r="F61" i="7"/>
  <c r="G61" i="7" s="1"/>
  <c r="F60" i="7"/>
  <c r="G60" i="7" s="1"/>
  <c r="E60" i="7"/>
  <c r="D60" i="7"/>
  <c r="G59" i="7"/>
  <c r="F59" i="7"/>
  <c r="F58" i="7"/>
  <c r="G58" i="7" s="1"/>
  <c r="F57" i="7"/>
  <c r="G57" i="7" s="1"/>
  <c r="E56" i="7"/>
  <c r="F56" i="7" s="1"/>
  <c r="G56" i="7" s="1"/>
  <c r="D56" i="7"/>
  <c r="F55" i="7"/>
  <c r="G55" i="7" s="1"/>
  <c r="F54" i="7"/>
  <c r="G54" i="7" s="1"/>
  <c r="E53" i="7"/>
  <c r="F53" i="7" s="1"/>
  <c r="G53" i="7" s="1"/>
  <c r="D53" i="7"/>
  <c r="F52" i="7"/>
  <c r="G52" i="7" s="1"/>
  <c r="F51" i="7"/>
  <c r="G51" i="7" s="1"/>
  <c r="E50" i="7"/>
  <c r="F50" i="7" s="1"/>
  <c r="G50" i="7" s="1"/>
  <c r="D50" i="7"/>
  <c r="F49" i="7"/>
  <c r="G49" i="7" s="1"/>
  <c r="G47" i="7"/>
  <c r="F47" i="7"/>
  <c r="F46" i="7"/>
  <c r="G46" i="7" s="1"/>
  <c r="F45" i="7"/>
  <c r="G45" i="7" s="1"/>
  <c r="F44" i="7"/>
  <c r="G44" i="7" s="1"/>
  <c r="G43" i="7"/>
  <c r="F43" i="7"/>
  <c r="F42" i="7"/>
  <c r="G42" i="7" s="1"/>
  <c r="F41" i="7"/>
  <c r="G41" i="7" s="1"/>
  <c r="E41" i="7"/>
  <c r="E48" i="7" s="1"/>
  <c r="F48" i="7" s="1"/>
  <c r="G48" i="7" s="1"/>
  <c r="D41" i="7"/>
  <c r="D48" i="7" s="1"/>
  <c r="G40" i="7"/>
  <c r="F40" i="7"/>
  <c r="F39" i="7"/>
  <c r="G39" i="7" s="1"/>
  <c r="F38" i="7"/>
  <c r="G38" i="7" s="1"/>
  <c r="F37" i="7"/>
  <c r="G37" i="7" s="1"/>
  <c r="G36" i="7"/>
  <c r="F36" i="7"/>
  <c r="F35" i="7"/>
  <c r="G35" i="7" s="1"/>
  <c r="F34" i="7"/>
  <c r="G34" i="7" s="1"/>
  <c r="E33" i="7"/>
  <c r="F33" i="7" s="1"/>
  <c r="G33" i="7" s="1"/>
  <c r="D33" i="7"/>
  <c r="F31" i="7"/>
  <c r="G31" i="7" s="1"/>
  <c r="G30" i="7"/>
  <c r="F30" i="7"/>
  <c r="F29" i="7"/>
  <c r="G29" i="7" s="1"/>
  <c r="F28" i="7"/>
  <c r="G28" i="7" s="1"/>
  <c r="F27" i="7"/>
  <c r="G27" i="7" s="1"/>
  <c r="G26" i="7"/>
  <c r="F26" i="7"/>
  <c r="E25" i="7"/>
  <c r="F25" i="7" s="1"/>
  <c r="G25" i="7" s="1"/>
  <c r="D25" i="7"/>
  <c r="D24" i="7" s="1"/>
  <c r="E24" i="7"/>
  <c r="F24" i="7" s="1"/>
  <c r="G24" i="7" s="1"/>
  <c r="F23" i="7"/>
  <c r="G23" i="7" s="1"/>
  <c r="F22" i="7"/>
  <c r="G22" i="7" s="1"/>
  <c r="F21" i="7"/>
  <c r="G21" i="7" s="1"/>
  <c r="G20" i="7"/>
  <c r="F20" i="7"/>
  <c r="F19" i="7"/>
  <c r="G19" i="7" s="1"/>
  <c r="F18" i="7"/>
  <c r="G18" i="7" s="1"/>
  <c r="E18" i="7"/>
  <c r="E17" i="7" s="1"/>
  <c r="D18" i="7"/>
  <c r="D17" i="7" s="1"/>
  <c r="D32" i="7" s="1"/>
  <c r="G76" i="7" l="1"/>
  <c r="F17" i="7"/>
  <c r="G17" i="7" s="1"/>
  <c r="E32" i="7"/>
  <c r="F32" i="7" s="1"/>
  <c r="G32" i="7" s="1"/>
  <c r="E64" i="7"/>
  <c r="G71" i="7"/>
  <c r="E74" i="7"/>
  <c r="F77" i="7"/>
  <c r="F78" i="7" s="1"/>
  <c r="G75" i="7"/>
  <c r="G78" i="7" l="1"/>
  <c r="E65" i="7"/>
  <c r="F65" i="7" s="1"/>
  <c r="G65" i="7" s="1"/>
  <c r="F64" i="7"/>
  <c r="G64" i="7" s="1"/>
  <c r="F79" i="7"/>
  <c r="G77" i="7"/>
  <c r="G79" i="7" l="1"/>
  <c r="F80" i="7"/>
  <c r="G80" i="7" l="1"/>
  <c r="F81" i="7"/>
  <c r="G81" i="7" l="1"/>
  <c r="F82" i="7"/>
  <c r="G82" i="7" l="1"/>
  <c r="F83" i="7"/>
  <c r="G83" i="7" l="1"/>
  <c r="F84" i="7"/>
  <c r="G84" i="7" l="1"/>
  <c r="F85" i="7"/>
  <c r="G85" i="7" l="1"/>
  <c r="F86" i="7"/>
  <c r="G86" i="7" l="1"/>
  <c r="F87" i="7"/>
  <c r="G87" i="7" l="1"/>
  <c r="F88" i="7"/>
  <c r="F90" i="7" l="1"/>
  <c r="G88" i="7"/>
  <c r="F89" i="7"/>
  <c r="G90" i="7" l="1"/>
  <c r="G89" i="7"/>
  <c r="F91" i="7"/>
  <c r="F93" i="7" l="1"/>
  <c r="G91" i="7"/>
  <c r="F92" i="7"/>
  <c r="G93" i="7" l="1"/>
  <c r="G92" i="7"/>
  <c r="F94" i="7"/>
  <c r="G94" i="7" l="1"/>
  <c r="F95" i="7"/>
  <c r="G95" i="7" s="1"/>
  <c r="F96" i="7" l="1"/>
  <c r="G96" i="7" s="1"/>
</calcChain>
</file>

<file path=xl/sharedStrings.xml><?xml version="1.0" encoding="utf-8"?>
<sst xmlns="http://schemas.openxmlformats.org/spreadsheetml/2006/main" count="114" uniqueCount="96">
  <si>
    <t>Gross margin</t>
  </si>
  <si>
    <t>No</t>
  </si>
  <si>
    <t>Yes</t>
  </si>
  <si>
    <t>%</t>
  </si>
  <si>
    <t>12/31/201X</t>
  </si>
  <si>
    <t>Variance</t>
  </si>
  <si>
    <t>회사명</t>
    <phoneticPr fontId="3" type="noConversion"/>
  </si>
  <si>
    <t>일자</t>
    <phoneticPr fontId="3" type="noConversion"/>
  </si>
  <si>
    <t xml:space="preserve">결산일 </t>
    <phoneticPr fontId="3" type="noConversion"/>
  </si>
  <si>
    <t>12/31/201Y</t>
    <phoneticPr fontId="2" type="noConversion"/>
  </si>
  <si>
    <t>설명 또는 검토한 조서의 번호/링크</t>
    <phoneticPr fontId="3" type="noConversion"/>
  </si>
  <si>
    <t>재무상태표</t>
    <phoneticPr fontId="3" type="noConversion"/>
  </si>
  <si>
    <t>유동자산</t>
    <phoneticPr fontId="3" type="noConversion"/>
  </si>
  <si>
    <t>당좌자산</t>
    <phoneticPr fontId="3" type="noConversion"/>
  </si>
  <si>
    <t>현금및현금성자산</t>
    <phoneticPr fontId="3" type="noConversion"/>
  </si>
  <si>
    <t>단기투자자산</t>
    <phoneticPr fontId="3" type="noConversion"/>
  </si>
  <si>
    <t>매출채권</t>
    <phoneticPr fontId="3" type="noConversion"/>
  </si>
  <si>
    <t>기타</t>
    <phoneticPr fontId="3" type="noConversion"/>
  </si>
  <si>
    <t>재고자산</t>
    <phoneticPr fontId="3" type="noConversion"/>
  </si>
  <si>
    <t>비유동자산</t>
    <phoneticPr fontId="3" type="noConversion"/>
  </si>
  <si>
    <t>투자자산</t>
    <phoneticPr fontId="3" type="noConversion"/>
  </si>
  <si>
    <t>장기투자자산</t>
    <phoneticPr fontId="3" type="noConversion"/>
  </si>
  <si>
    <t>지분법적용투자주식</t>
    <phoneticPr fontId="3" type="noConversion"/>
  </si>
  <si>
    <t>유형자산</t>
    <phoneticPr fontId="3" type="noConversion"/>
  </si>
  <si>
    <t>무형자산</t>
    <phoneticPr fontId="3" type="noConversion"/>
  </si>
  <si>
    <t>기타비유동자산</t>
    <phoneticPr fontId="3" type="noConversion"/>
  </si>
  <si>
    <t>자산총계</t>
    <phoneticPr fontId="3" type="noConversion"/>
  </si>
  <si>
    <t>유동부채</t>
    <phoneticPr fontId="3" type="noConversion"/>
  </si>
  <si>
    <t>단기차입금</t>
    <phoneticPr fontId="3" type="noConversion"/>
  </si>
  <si>
    <t>매입채무</t>
    <phoneticPr fontId="3" type="noConversion"/>
  </si>
  <si>
    <t>미지급법인세</t>
    <phoneticPr fontId="3" type="noConversion"/>
  </si>
  <si>
    <t>이연법인세부채</t>
    <phoneticPr fontId="3" type="noConversion"/>
  </si>
  <si>
    <t>유동성장기부채</t>
    <phoneticPr fontId="3" type="noConversion"/>
  </si>
  <si>
    <t>연차수당부채</t>
    <phoneticPr fontId="3" type="noConversion"/>
  </si>
  <si>
    <t>비유동부채</t>
    <phoneticPr fontId="3" type="noConversion"/>
  </si>
  <si>
    <t>사채</t>
    <phoneticPr fontId="3" type="noConversion"/>
  </si>
  <si>
    <t>장기차입금</t>
    <phoneticPr fontId="3" type="noConversion"/>
  </si>
  <si>
    <t>퇴직급여충당부채</t>
    <phoneticPr fontId="3" type="noConversion"/>
  </si>
  <si>
    <t>충당부채</t>
    <phoneticPr fontId="3" type="noConversion"/>
  </si>
  <si>
    <t>부채총계</t>
    <phoneticPr fontId="3" type="noConversion"/>
  </si>
  <si>
    <t>자본금</t>
    <phoneticPr fontId="3" type="noConversion"/>
  </si>
  <si>
    <t>자본잉여금</t>
    <phoneticPr fontId="3" type="noConversion"/>
  </si>
  <si>
    <t>주식발행초과금</t>
    <phoneticPr fontId="3" type="noConversion"/>
  </si>
  <si>
    <t>기타자본잉여금</t>
    <phoneticPr fontId="3" type="noConversion"/>
  </si>
  <si>
    <t>자본조정</t>
    <phoneticPr fontId="3" type="noConversion"/>
  </si>
  <si>
    <t>자기주식</t>
    <phoneticPr fontId="3" type="noConversion"/>
  </si>
  <si>
    <t>기타자본조정</t>
    <phoneticPr fontId="3" type="noConversion"/>
  </si>
  <si>
    <t>기타포괄손익누게액</t>
    <phoneticPr fontId="3" type="noConversion"/>
  </si>
  <si>
    <t>장기투자증권평가이익</t>
    <phoneticPr fontId="3" type="noConversion"/>
  </si>
  <si>
    <t>지분법자본변동</t>
    <phoneticPr fontId="3" type="noConversion"/>
  </si>
  <si>
    <t>이익잉여금</t>
    <phoneticPr fontId="3" type="noConversion"/>
  </si>
  <si>
    <t>법정적립금</t>
    <phoneticPr fontId="3" type="noConversion"/>
  </si>
  <si>
    <t>임의적립금</t>
    <phoneticPr fontId="3" type="noConversion"/>
  </si>
  <si>
    <t>미처분이익잉여금</t>
    <phoneticPr fontId="3" type="noConversion"/>
  </si>
  <si>
    <t>자본총계</t>
    <phoneticPr fontId="3" type="noConversion"/>
  </si>
  <si>
    <t>부채와자본총계</t>
    <phoneticPr fontId="3" type="noConversion"/>
  </si>
  <si>
    <t>전기</t>
    <phoneticPr fontId="3" type="noConversion"/>
  </si>
  <si>
    <t>당기</t>
    <phoneticPr fontId="3" type="noConversion"/>
  </si>
  <si>
    <t>불일치 또는</t>
    <phoneticPr fontId="3" type="noConversion"/>
  </si>
  <si>
    <t>설명</t>
    <phoneticPr fontId="3" type="noConversion"/>
  </si>
  <si>
    <t>유의적인 금액 차이?</t>
    <phoneticPr fontId="3" type="noConversion"/>
  </si>
  <si>
    <t>금액</t>
    <phoneticPr fontId="3" type="noConversion"/>
  </si>
  <si>
    <t>손익계산서</t>
    <phoneticPr fontId="3" type="noConversion"/>
  </si>
  <si>
    <t>매출액</t>
    <phoneticPr fontId="3" type="noConversion"/>
  </si>
  <si>
    <t>매출원가</t>
    <phoneticPr fontId="3" type="noConversion"/>
  </si>
  <si>
    <t>매출총이익</t>
    <phoneticPr fontId="3" type="noConversion"/>
  </si>
  <si>
    <t>매출총이익률</t>
    <phoneticPr fontId="3" type="noConversion"/>
  </si>
  <si>
    <t>판매비와관리비</t>
    <phoneticPr fontId="3" type="noConversion"/>
  </si>
  <si>
    <t>영업이익</t>
    <phoneticPr fontId="3" type="noConversion"/>
  </si>
  <si>
    <t>영업외수익</t>
    <phoneticPr fontId="3" type="noConversion"/>
  </si>
  <si>
    <t>이자수익</t>
    <phoneticPr fontId="3" type="noConversion"/>
  </si>
  <si>
    <t>배당금수익</t>
    <phoneticPr fontId="3" type="noConversion"/>
  </si>
  <si>
    <t>단기투자자산처분이익</t>
    <phoneticPr fontId="3" type="noConversion"/>
  </si>
  <si>
    <t>단기투자자산평가이익</t>
    <phoneticPr fontId="3" type="noConversion"/>
  </si>
  <si>
    <t>장기투자자산처분이익</t>
    <phoneticPr fontId="3" type="noConversion"/>
  </si>
  <si>
    <t>지분법이익</t>
    <phoneticPr fontId="3" type="noConversion"/>
  </si>
  <si>
    <t>유형자산처분이익</t>
    <phoneticPr fontId="3" type="noConversion"/>
  </si>
  <si>
    <t>영업외비용</t>
    <phoneticPr fontId="3" type="noConversion"/>
  </si>
  <si>
    <t>이자비용</t>
    <phoneticPr fontId="3" type="noConversion"/>
  </si>
  <si>
    <t>단기투자자산처분손실</t>
    <phoneticPr fontId="3" type="noConversion"/>
  </si>
  <si>
    <t>단기투자자산평가손실</t>
    <phoneticPr fontId="3" type="noConversion"/>
  </si>
  <si>
    <t>장기투자자산손상차손</t>
    <phoneticPr fontId="3" type="noConversion"/>
  </si>
  <si>
    <t>유무형자산손상차손</t>
    <phoneticPr fontId="3" type="noConversion"/>
  </si>
  <si>
    <t>지분법손실</t>
    <phoneticPr fontId="3" type="noConversion"/>
  </si>
  <si>
    <t>법인세비용차감전순이익</t>
    <phoneticPr fontId="3" type="noConversion"/>
  </si>
  <si>
    <t>법인세비용</t>
    <phoneticPr fontId="3" type="noConversion"/>
  </si>
  <si>
    <t>당기순이익</t>
    <phoneticPr fontId="3" type="noConversion"/>
  </si>
  <si>
    <t>주당손익</t>
    <phoneticPr fontId="3" type="noConversion"/>
  </si>
  <si>
    <t>기본주당손익</t>
    <phoneticPr fontId="3" type="noConversion"/>
  </si>
  <si>
    <t>전반적인 결론을 위한 분석적절차에 따른 결론:</t>
    <phoneticPr fontId="3" type="noConversion"/>
  </si>
  <si>
    <t>8110A 전반적인 결론을 위한 분석적절차  (기준서 520)</t>
    <phoneticPr fontId="3" type="noConversion"/>
  </si>
  <si>
    <r>
      <t>※</t>
    </r>
    <r>
      <rPr>
        <sz val="12"/>
        <color theme="1"/>
        <rFont val="HY신명조"/>
        <family val="1"/>
        <charset val="129"/>
      </rPr>
      <t xml:space="preserve"> </t>
    </r>
    <r>
      <rPr>
        <sz val="12"/>
        <rFont val="HY신명조"/>
        <family val="1"/>
        <charset val="129"/>
      </rPr>
      <t>작성</t>
    </r>
    <r>
      <rPr>
        <sz val="12"/>
        <color theme="1"/>
        <rFont val="HY신명조"/>
        <family val="1"/>
        <charset val="129"/>
      </rPr>
      <t xml:space="preserve"> </t>
    </r>
    <r>
      <rPr>
        <sz val="12"/>
        <rFont val="HY신명조"/>
        <family val="1"/>
        <charset val="129"/>
      </rPr>
      <t>요령</t>
    </r>
    <r>
      <rPr>
        <sz val="12"/>
        <color theme="1"/>
        <rFont val="HY신명조"/>
        <family val="1"/>
        <charset val="129"/>
      </rPr>
      <t>:</t>
    </r>
    <phoneticPr fontId="3" type="noConversion"/>
  </si>
  <si>
    <r>
      <t>현금흐름위험회피</t>
    </r>
    <r>
      <rPr>
        <sz val="12"/>
        <color theme="1"/>
        <rFont val="HY신명조"/>
        <family val="1"/>
        <charset val="129"/>
      </rPr>
      <t xml:space="preserve"> </t>
    </r>
    <r>
      <rPr>
        <sz val="12"/>
        <rFont val="HY신명조"/>
        <family val="1"/>
        <charset val="129"/>
      </rPr>
      <t>파생상품평가손익</t>
    </r>
    <phoneticPr fontId="3" type="noConversion"/>
  </si>
  <si>
    <t>작성자</t>
    <phoneticPr fontId="2" type="noConversion"/>
  </si>
  <si>
    <t>검토자</t>
    <phoneticPr fontId="2" type="noConversion"/>
  </si>
  <si>
    <t>1. 전반적인 결론을 위한 분석적절차는 이미 수행된 감사업무 결과를 기대치로 형성하고 재무제표 전체적인 관점에서 다른 관련 정보와 불일치하거나 예상치와 유의적인 금액으로 차이가 있는 잔액이나 변동을 식별하는 데 초점이 있다. 따라서, 전반적인 결론을 위한 분석적 절차를 수행할 때, 이미 수행된 감사업무를 고려하여 재무제표의 표시에 대해서 적절한 결론을 도출했는지에 대해 평가한다. 
2. 당기 금액은 최종 회사제시 재무제표의 금액을 사용한다.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</si>
</sst>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yyyy&quot;년&quot;\ m&quot;월&quot;\ d&quot;일&quot;;@"/>
    <numFmt numFmtId="177" formatCode="_(* #,##0_);_(* \(#,##0\);_(* &quot;-&quot;_);_(@_)"/>
    <numFmt numFmtId="178" formatCode="_(&quot;$&quot;* #,##0_);_(&quot;$&quot;* \(#,##0\);_(&quot;$&quot;* &quot;-&quot;_);_(@_)"/>
    <numFmt numFmtId="179" formatCode="#,##0_);[Red]\(#,##0\)"/>
    <numFmt numFmtId="180" formatCode="#,##0_);\(#,##0\)"/>
  </numFmts>
  <fonts count="3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b/>
      <sz val="14"/>
      <color rgb="FF000000"/>
      <name val="HY신명조"/>
      <family val="1"/>
      <charset val="129"/>
    </font>
    <font>
      <sz val="11"/>
      <color theme="1"/>
      <name val="HY신명조"/>
      <family val="1"/>
      <charset val="129"/>
    </font>
    <font>
      <sz val="12"/>
      <color rgb="FF000000"/>
      <name val="HY신명조"/>
      <family val="1"/>
      <charset val="129"/>
    </font>
    <font>
      <sz val="12"/>
      <color indexed="8"/>
      <name val="HY신명조"/>
      <family val="1"/>
      <charset val="129"/>
    </font>
    <font>
      <sz val="12"/>
      <color theme="1"/>
      <name val="HY신명조"/>
      <family val="1"/>
      <charset val="129"/>
    </font>
    <font>
      <u/>
      <sz val="12"/>
      <color rgb="FF000000"/>
      <name val="HY신명조"/>
      <family val="1"/>
      <charset val="129"/>
    </font>
    <font>
      <b/>
      <sz val="12"/>
      <color indexed="12"/>
      <name val="HY신명조"/>
      <family val="1"/>
      <charset val="129"/>
    </font>
    <font>
      <b/>
      <sz val="10"/>
      <name val="HY신명조"/>
      <family val="1"/>
      <charset val="129"/>
    </font>
    <font>
      <sz val="12"/>
      <name val="HY신명조"/>
      <family val="1"/>
      <charset val="129"/>
    </font>
    <font>
      <sz val="12"/>
      <color indexed="9"/>
      <name val="HY신명조"/>
      <family val="1"/>
      <charset val="129"/>
    </font>
    <font>
      <sz val="14"/>
      <name val="HY신명조"/>
      <family val="1"/>
      <charset val="129"/>
    </font>
    <font>
      <sz val="10"/>
      <name val="HY신명조"/>
      <family val="1"/>
      <charset val="129"/>
    </font>
    <font>
      <sz val="12"/>
      <color theme="0"/>
      <name val="HY신명조"/>
      <family val="1"/>
      <charset val="129"/>
    </font>
    <font>
      <b/>
      <sz val="10"/>
      <color theme="0"/>
      <name val="HY신명조"/>
      <family val="1"/>
      <charset val="129"/>
    </font>
    <font>
      <sz val="10"/>
      <color theme="0"/>
      <name val="HY신명조"/>
      <family val="1"/>
      <charset val="129"/>
    </font>
    <font>
      <b/>
      <sz val="12"/>
      <color theme="0"/>
      <name val="HY신명조"/>
      <family val="1"/>
      <charset val="129"/>
    </font>
    <font>
      <b/>
      <sz val="12"/>
      <name val="HY신명조"/>
      <family val="1"/>
      <charset val="129"/>
    </font>
    <font>
      <b/>
      <i/>
      <sz val="12"/>
      <name val="HY신명조"/>
      <family val="1"/>
      <charset val="129"/>
    </font>
    <font>
      <b/>
      <i/>
      <sz val="10"/>
      <name val="HY신명조"/>
      <family val="1"/>
      <charset val="129"/>
    </font>
    <font>
      <i/>
      <sz val="12"/>
      <name val="HY신명조"/>
      <family val="1"/>
      <charset val="129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-0.249977111117893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A32020"/>
      </left>
      <right style="thin">
        <color theme="3" tint="-0.24994659260841701"/>
      </right>
      <top/>
      <bottom style="thin">
        <color theme="3" tint="-0.24994659260841701"/>
      </bottom>
      <diagonal/>
    </border>
    <border>
      <left style="thin">
        <color rgb="FFA32020"/>
      </left>
      <right style="thin">
        <color rgb="FFA32020"/>
      </right>
      <top/>
      <bottom style="thin">
        <color theme="3" tint="-0.24994659260841701"/>
      </bottom>
      <diagonal/>
    </border>
    <border>
      <left/>
      <right style="thin">
        <color theme="3" tint="-0.24994659260841701"/>
      </right>
      <top/>
      <bottom style="thin">
        <color theme="3" tint="-0.24994659260841701"/>
      </bottom>
      <diagonal/>
    </border>
    <border>
      <left/>
      <right/>
      <top/>
      <bottom style="thin">
        <color theme="3" tint="-0.24994659260841701"/>
      </bottom>
      <diagonal/>
    </border>
    <border>
      <left style="thin">
        <color theme="3" tint="-0.24994659260841701"/>
      </left>
      <right/>
      <top/>
      <bottom style="thin">
        <color theme="3" tint="-0.24994659260841701"/>
      </bottom>
      <diagonal/>
    </border>
    <border>
      <left style="thin">
        <color rgb="FFA32020"/>
      </left>
      <right style="thin">
        <color theme="3" tint="-0.24994659260841701"/>
      </right>
      <top style="thin">
        <color theme="3" tint="-0.24994659260841701"/>
      </top>
      <bottom/>
      <diagonal/>
    </border>
    <border>
      <left style="thin">
        <color rgb="FFA32020"/>
      </left>
      <right style="thin">
        <color rgb="FFA32020"/>
      </right>
      <top style="thin">
        <color theme="3" tint="-0.24994659260841701"/>
      </top>
      <bottom/>
      <diagonal/>
    </border>
    <border>
      <left/>
      <right style="thin">
        <color theme="3" tint="-0.24994659260841701"/>
      </right>
      <top style="thin">
        <color theme="3" tint="-0.24994659260841701"/>
      </top>
      <bottom/>
      <diagonal/>
    </border>
    <border>
      <left/>
      <right/>
      <top style="thin">
        <color theme="3" tint="-0.24994659260841701"/>
      </top>
      <bottom/>
      <diagonal/>
    </border>
    <border>
      <left style="thin">
        <color theme="3" tint="-0.24994659260841701"/>
      </left>
      <right/>
      <top style="thin">
        <color theme="3" tint="-0.24994659260841701"/>
      </top>
      <bottom/>
      <diagonal/>
    </border>
    <border>
      <left/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/>
      <right/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-0.24994659260841701"/>
      </left>
      <right/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-0.24994659260841701"/>
      </left>
      <right style="thin">
        <color theme="3" tint="-0.24994659260841701"/>
      </right>
      <top/>
      <bottom style="thin">
        <color theme="3" tint="-0.24994659260841701"/>
      </bottom>
      <diagonal/>
    </border>
    <border>
      <left style="thin">
        <color theme="3" tint="-0.24994659260841701"/>
      </left>
      <right style="thin">
        <color theme="3" tint="-0.24994659260841701"/>
      </right>
      <top/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3">
    <xf numFmtId="0" fontId="0" fillId="0" borderId="0">
      <alignment vertical="center"/>
    </xf>
    <xf numFmtId="0" fontId="1" fillId="0" borderId="0">
      <alignment vertical="center"/>
    </xf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4" fillId="0" borderId="0"/>
    <xf numFmtId="0" fontId="6" fillId="0" borderId="0">
      <alignment vertical="center"/>
    </xf>
    <xf numFmtId="0" fontId="5" fillId="0" borderId="0"/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</cellStyleXfs>
  <cellXfs count="93">
    <xf numFmtId="0" fontId="0" fillId="0" borderId="0" xfId="0">
      <alignment vertical="center"/>
    </xf>
    <xf numFmtId="41" fontId="14" fillId="0" borderId="2" xfId="11" applyNumberFormat="1" applyFont="1" applyBorder="1" applyAlignment="1">
      <alignment horizontal="center" vertical="center" wrapText="1"/>
    </xf>
    <xf numFmtId="0" fontId="18" fillId="0" borderId="1" xfId="19" applyFont="1" applyBorder="1" applyAlignment="1">
      <alignment horizontal="center" vertical="center"/>
    </xf>
    <xf numFmtId="176" fontId="18" fillId="0" borderId="27" xfId="19" applyNumberFormat="1" applyFont="1" applyBorder="1" applyAlignment="1">
      <alignment horizontal="center" vertical="center"/>
    </xf>
    <xf numFmtId="0" fontId="19" fillId="0" borderId="0" xfId="12" applyFont="1"/>
    <xf numFmtId="0" fontId="17" fillId="0" borderId="0" xfId="12" applyFont="1" applyAlignment="1">
      <alignment horizontal="left" readingOrder="1"/>
    </xf>
    <xf numFmtId="0" fontId="20" fillId="0" borderId="0" xfId="12" applyFont="1"/>
    <xf numFmtId="0" fontId="15" fillId="0" borderId="0" xfId="10" applyFont="1" applyBorder="1" applyAlignment="1">
      <alignment horizontal="center"/>
    </xf>
    <xf numFmtId="0" fontId="20" fillId="0" borderId="0" xfId="10" applyFont="1" applyBorder="1" applyAlignment="1">
      <alignment horizontal="right"/>
    </xf>
    <xf numFmtId="0" fontId="15" fillId="0" borderId="0" xfId="10" applyFont="1" applyBorder="1" applyAlignment="1">
      <alignment horizontal="right"/>
    </xf>
    <xf numFmtId="176" fontId="20" fillId="0" borderId="1" xfId="10" applyNumberFormat="1" applyFont="1" applyBorder="1" applyAlignment="1">
      <alignment horizontal="right"/>
    </xf>
    <xf numFmtId="0" fontId="20" fillId="0" borderId="0" xfId="10" applyFont="1">
      <alignment vertical="center"/>
    </xf>
    <xf numFmtId="176" fontId="21" fillId="0" borderId="1" xfId="10" applyNumberFormat="1" applyFont="1" applyBorder="1" applyAlignment="1">
      <alignment horizontal="right"/>
    </xf>
    <xf numFmtId="0" fontId="22" fillId="0" borderId="0" xfId="12" applyFont="1"/>
    <xf numFmtId="180" fontId="22" fillId="0" borderId="0" xfId="10" applyNumberFormat="1" applyFont="1" applyAlignment="1">
      <alignment horizontal="right" vertical="center"/>
    </xf>
    <xf numFmtId="0" fontId="22" fillId="0" borderId="0" xfId="10" applyFont="1">
      <alignment vertical="center"/>
    </xf>
    <xf numFmtId="0" fontId="23" fillId="0" borderId="0" xfId="12" applyFont="1"/>
    <xf numFmtId="177" fontId="24" fillId="4" borderId="14" xfId="12" applyNumberFormat="1" applyFont="1" applyFill="1" applyBorder="1" applyAlignment="1">
      <alignment vertical="top"/>
    </xf>
    <xf numFmtId="177" fontId="24" fillId="4" borderId="14" xfId="12" applyNumberFormat="1" applyFont="1" applyFill="1" applyBorder="1" applyAlignment="1">
      <alignment horizontal="left" vertical="top"/>
    </xf>
    <xf numFmtId="14" fontId="25" fillId="4" borderId="14" xfId="12" applyNumberFormat="1" applyFont="1" applyFill="1" applyBorder="1" applyAlignment="1">
      <alignment horizontal="center" vertical="top"/>
    </xf>
    <xf numFmtId="177" fontId="26" fillId="4" borderId="14" xfId="12" applyNumberFormat="1" applyFont="1" applyFill="1" applyBorder="1" applyAlignment="1">
      <alignment horizontal="center" vertical="top"/>
    </xf>
    <xf numFmtId="9" fontId="25" fillId="4" borderId="14" xfId="2" applyFont="1" applyFill="1" applyBorder="1" applyAlignment="1">
      <alignment horizontal="center" vertical="top"/>
    </xf>
    <xf numFmtId="177" fontId="25" fillId="4" borderId="14" xfId="12" applyNumberFormat="1" applyFont="1" applyFill="1" applyBorder="1" applyAlignment="1">
      <alignment horizontal="center" vertical="top"/>
    </xf>
    <xf numFmtId="177" fontId="27" fillId="3" borderId="16" xfId="12" applyNumberFormat="1" applyFont="1" applyFill="1" applyBorder="1" applyAlignment="1">
      <alignment vertical="top"/>
    </xf>
    <xf numFmtId="177" fontId="27" fillId="3" borderId="15" xfId="12" applyNumberFormat="1" applyFont="1" applyFill="1" applyBorder="1" applyAlignment="1">
      <alignment vertical="top"/>
    </xf>
    <xf numFmtId="177" fontId="25" fillId="3" borderId="15" xfId="12" applyNumberFormat="1" applyFont="1" applyFill="1" applyBorder="1" applyAlignment="1">
      <alignment horizontal="center" vertical="top"/>
    </xf>
    <xf numFmtId="9" fontId="25" fillId="3" borderId="15" xfId="2" applyFont="1" applyFill="1" applyBorder="1" applyAlignment="1">
      <alignment horizontal="center" vertical="top"/>
    </xf>
    <xf numFmtId="0" fontId="25" fillId="3" borderId="13" xfId="12" applyNumberFormat="1" applyFont="1" applyFill="1" applyBorder="1" applyAlignment="1">
      <alignment horizontal="center" vertical="top" wrapText="1"/>
    </xf>
    <xf numFmtId="177" fontId="20" fillId="2" borderId="16" xfId="12" applyNumberFormat="1" applyFont="1" applyFill="1" applyBorder="1" applyAlignment="1">
      <alignment vertical="top"/>
    </xf>
    <xf numFmtId="177" fontId="20" fillId="2" borderId="15" xfId="12" applyNumberFormat="1" applyFont="1" applyFill="1" applyBorder="1" applyAlignment="1">
      <alignment vertical="top"/>
    </xf>
    <xf numFmtId="177" fontId="20" fillId="2" borderId="13" xfId="12" applyNumberFormat="1" applyFont="1" applyFill="1" applyBorder="1" applyAlignment="1">
      <alignment vertical="top"/>
    </xf>
    <xf numFmtId="179" fontId="23" fillId="0" borderId="13" xfId="12" applyNumberFormat="1" applyFont="1" applyFill="1" applyBorder="1" applyAlignment="1">
      <alignment vertical="top"/>
    </xf>
    <xf numFmtId="9" fontId="13" fillId="0" borderId="13" xfId="2" applyFont="1" applyFill="1" applyBorder="1" applyAlignment="1">
      <alignment vertical="top"/>
    </xf>
    <xf numFmtId="177" fontId="23" fillId="0" borderId="13" xfId="12" applyNumberFormat="1" applyFont="1" applyFill="1" applyBorder="1" applyAlignment="1">
      <alignment horizontal="center" vertical="top"/>
    </xf>
    <xf numFmtId="178" fontId="23" fillId="0" borderId="13" xfId="12" applyNumberFormat="1" applyFont="1" applyFill="1" applyBorder="1" applyAlignment="1">
      <alignment horizontal="center" vertical="top"/>
    </xf>
    <xf numFmtId="0" fontId="23" fillId="0" borderId="13" xfId="12" applyNumberFormat="1" applyFont="1" applyFill="1" applyBorder="1" applyAlignment="1">
      <alignment vertical="top" wrapText="1"/>
    </xf>
    <xf numFmtId="177" fontId="28" fillId="2" borderId="16" xfId="12" applyNumberFormat="1" applyFont="1" applyFill="1" applyBorder="1" applyAlignment="1">
      <alignment vertical="top"/>
    </xf>
    <xf numFmtId="177" fontId="28" fillId="2" borderId="15" xfId="12" applyNumberFormat="1" applyFont="1" applyFill="1" applyBorder="1" applyAlignment="1">
      <alignment vertical="top"/>
    </xf>
    <xf numFmtId="177" fontId="29" fillId="2" borderId="13" xfId="12" applyNumberFormat="1" applyFont="1" applyFill="1" applyBorder="1" applyAlignment="1">
      <alignment vertical="top"/>
    </xf>
    <xf numFmtId="179" fontId="30" fillId="0" borderId="13" xfId="12" applyNumberFormat="1" applyFont="1" applyFill="1" applyBorder="1" applyAlignment="1">
      <alignment vertical="top"/>
    </xf>
    <xf numFmtId="179" fontId="19" fillId="0" borderId="13" xfId="12" applyNumberFormat="1" applyFont="1" applyFill="1" applyBorder="1" applyAlignment="1">
      <alignment vertical="top"/>
    </xf>
    <xf numFmtId="9" fontId="30" fillId="0" borderId="13" xfId="2" applyFont="1" applyFill="1" applyBorder="1" applyAlignment="1">
      <alignment vertical="top"/>
    </xf>
    <xf numFmtId="177" fontId="30" fillId="0" borderId="13" xfId="12" applyNumberFormat="1" applyFont="1" applyFill="1" applyBorder="1" applyAlignment="1">
      <alignment horizontal="center" vertical="top"/>
    </xf>
    <xf numFmtId="178" fontId="30" fillId="0" borderId="13" xfId="12" applyNumberFormat="1" applyFont="1" applyFill="1" applyBorder="1" applyAlignment="1">
      <alignment horizontal="center" vertical="top"/>
    </xf>
    <xf numFmtId="0" fontId="30" fillId="0" borderId="13" xfId="12" applyNumberFormat="1" applyFont="1" applyFill="1" applyBorder="1" applyAlignment="1">
      <alignment vertical="top" wrapText="1"/>
    </xf>
    <xf numFmtId="177" fontId="31" fillId="2" borderId="13" xfId="12" applyNumberFormat="1" applyFont="1" applyFill="1" applyBorder="1" applyAlignment="1">
      <alignment vertical="top"/>
    </xf>
    <xf numFmtId="9" fontId="19" fillId="0" borderId="13" xfId="2" applyFont="1" applyFill="1" applyBorder="1" applyAlignment="1">
      <alignment vertical="top"/>
    </xf>
    <xf numFmtId="177" fontId="20" fillId="0" borderId="0" xfId="12" applyNumberFormat="1" applyFont="1" applyFill="1" applyBorder="1" applyAlignment="1">
      <alignment vertical="top"/>
    </xf>
    <xf numFmtId="178" fontId="23" fillId="0" borderId="0" xfId="12" applyNumberFormat="1" applyFont="1" applyFill="1" applyBorder="1" applyAlignment="1">
      <alignment vertical="top"/>
    </xf>
    <xf numFmtId="9" fontId="13" fillId="0" borderId="0" xfId="2" applyFont="1" applyFill="1" applyBorder="1" applyAlignment="1">
      <alignment vertical="top"/>
    </xf>
    <xf numFmtId="177" fontId="23" fillId="0" borderId="0" xfId="12" applyNumberFormat="1" applyFont="1" applyFill="1" applyBorder="1" applyAlignment="1">
      <alignment horizontal="center" vertical="top"/>
    </xf>
    <xf numFmtId="178" fontId="23" fillId="0" borderId="0" xfId="12" applyNumberFormat="1" applyFont="1" applyFill="1" applyBorder="1" applyAlignment="1">
      <alignment horizontal="center" vertical="top"/>
    </xf>
    <xf numFmtId="0" fontId="23" fillId="0" borderId="0" xfId="12" applyNumberFormat="1" applyFont="1" applyFill="1" applyBorder="1" applyAlignment="1">
      <alignment vertical="top" wrapText="1"/>
    </xf>
    <xf numFmtId="177" fontId="27" fillId="3" borderId="15" xfId="12" applyNumberFormat="1" applyFont="1" applyFill="1" applyBorder="1" applyAlignment="1">
      <alignment horizontal="left" vertical="top"/>
    </xf>
    <xf numFmtId="14" fontId="25" fillId="3" borderId="15" xfId="12" applyNumberFormat="1" applyFont="1" applyFill="1" applyBorder="1" applyAlignment="1">
      <alignment horizontal="left" vertical="top"/>
    </xf>
    <xf numFmtId="177" fontId="26" fillId="3" borderId="15" xfId="12" applyNumberFormat="1" applyFont="1" applyFill="1" applyBorder="1" applyAlignment="1">
      <alignment horizontal="left" vertical="top"/>
    </xf>
    <xf numFmtId="9" fontId="26" fillId="3" borderId="15" xfId="2" applyFont="1" applyFill="1" applyBorder="1" applyAlignment="1">
      <alignment horizontal="left" vertical="top"/>
    </xf>
    <xf numFmtId="0" fontId="26" fillId="3" borderId="13" xfId="12" applyNumberFormat="1" applyFont="1" applyFill="1" applyBorder="1" applyAlignment="1">
      <alignment horizontal="left" vertical="top" wrapText="1"/>
    </xf>
    <xf numFmtId="177" fontId="23" fillId="0" borderId="14" xfId="12" applyNumberFormat="1" applyFont="1" applyFill="1" applyBorder="1" applyAlignment="1">
      <alignment horizontal="center" vertical="top"/>
    </xf>
    <xf numFmtId="0" fontId="23" fillId="0" borderId="13" xfId="12" applyNumberFormat="1" applyFont="1" applyFill="1" applyBorder="1" applyAlignment="1">
      <alignment horizontal="left" vertical="top" wrapText="1"/>
    </xf>
    <xf numFmtId="179" fontId="13" fillId="0" borderId="13" xfId="2" applyNumberFormat="1" applyFont="1" applyFill="1" applyBorder="1" applyAlignment="1">
      <alignment vertical="top"/>
    </xf>
    <xf numFmtId="178" fontId="23" fillId="0" borderId="14" xfId="12" applyNumberFormat="1" applyFont="1" applyFill="1" applyBorder="1" applyAlignment="1">
      <alignment horizontal="center" vertical="top"/>
    </xf>
    <xf numFmtId="177" fontId="23" fillId="0" borderId="0" xfId="12" applyNumberFormat="1" applyFont="1" applyFill="1" applyBorder="1" applyAlignment="1">
      <alignment vertical="top"/>
    </xf>
    <xf numFmtId="177" fontId="28" fillId="2" borderId="12" xfId="12" applyNumberFormat="1" applyFont="1" applyFill="1" applyBorder="1" applyAlignment="1">
      <alignment horizontal="left" vertical="center" wrapText="1"/>
    </xf>
    <xf numFmtId="177" fontId="28" fillId="2" borderId="11" xfId="12" applyNumberFormat="1" applyFont="1" applyFill="1" applyBorder="1" applyAlignment="1">
      <alignment horizontal="left" vertical="center" wrapText="1"/>
    </xf>
    <xf numFmtId="177" fontId="28" fillId="2" borderId="10" xfId="12" applyNumberFormat="1" applyFont="1" applyFill="1" applyBorder="1" applyAlignment="1">
      <alignment horizontal="left" vertical="center" wrapText="1"/>
    </xf>
    <xf numFmtId="177" fontId="28" fillId="2" borderId="7" xfId="12" applyNumberFormat="1" applyFont="1" applyFill="1" applyBorder="1" applyAlignment="1">
      <alignment horizontal="left" vertical="center" wrapText="1"/>
    </xf>
    <xf numFmtId="177" fontId="28" fillId="2" borderId="6" xfId="12" applyNumberFormat="1" applyFont="1" applyFill="1" applyBorder="1" applyAlignment="1">
      <alignment horizontal="left" vertical="center" wrapText="1"/>
    </xf>
    <xf numFmtId="177" fontId="28" fillId="2" borderId="5" xfId="12" applyNumberFormat="1" applyFont="1" applyFill="1" applyBorder="1" applyAlignment="1">
      <alignment horizontal="left" vertical="center" wrapText="1"/>
    </xf>
    <xf numFmtId="177" fontId="23" fillId="0" borderId="9" xfId="12" applyNumberFormat="1" applyFont="1" applyFill="1" applyBorder="1" applyAlignment="1">
      <alignment vertical="top" wrapText="1"/>
    </xf>
    <xf numFmtId="177" fontId="23" fillId="0" borderId="8" xfId="12" applyNumberFormat="1" applyFont="1" applyFill="1" applyBorder="1" applyAlignment="1">
      <alignment vertical="top" wrapText="1"/>
    </xf>
    <xf numFmtId="177" fontId="23" fillId="0" borderId="4" xfId="12" applyNumberFormat="1" applyFont="1" applyFill="1" applyBorder="1" applyAlignment="1">
      <alignment vertical="top" wrapText="1"/>
    </xf>
    <xf numFmtId="177" fontId="23" fillId="0" borderId="3" xfId="12" applyNumberFormat="1" applyFont="1" applyFill="1" applyBorder="1" applyAlignment="1">
      <alignment vertical="top" wrapText="1"/>
    </xf>
    <xf numFmtId="177" fontId="25" fillId="4" borderId="19" xfId="12" applyNumberFormat="1" applyFont="1" applyFill="1" applyBorder="1" applyAlignment="1">
      <alignment horizontal="center" vertical="center"/>
    </xf>
    <xf numFmtId="177" fontId="25" fillId="4" borderId="17" xfId="12" applyNumberFormat="1" applyFont="1" applyFill="1" applyBorder="1" applyAlignment="1">
      <alignment horizontal="center" vertical="center"/>
    </xf>
    <xf numFmtId="177" fontId="25" fillId="4" borderId="12" xfId="12" applyNumberFormat="1" applyFont="1" applyFill="1" applyBorder="1" applyAlignment="1">
      <alignment horizontal="center" vertical="center"/>
    </xf>
    <xf numFmtId="177" fontId="25" fillId="4" borderId="10" xfId="12" applyNumberFormat="1" applyFont="1" applyFill="1" applyBorder="1" applyAlignment="1">
      <alignment horizontal="center" vertical="center"/>
    </xf>
    <xf numFmtId="177" fontId="25" fillId="4" borderId="7" xfId="12" applyNumberFormat="1" applyFont="1" applyFill="1" applyBorder="1" applyAlignment="1">
      <alignment horizontal="center" vertical="center"/>
    </xf>
    <xf numFmtId="177" fontId="25" fillId="4" borderId="5" xfId="12" applyNumberFormat="1" applyFont="1" applyFill="1" applyBorder="1" applyAlignment="1">
      <alignment horizontal="center" vertical="center"/>
    </xf>
    <xf numFmtId="177" fontId="25" fillId="4" borderId="14" xfId="12" applyNumberFormat="1" applyFont="1" applyFill="1" applyBorder="1" applyAlignment="1">
      <alignment horizontal="center" vertical="top"/>
    </xf>
    <xf numFmtId="0" fontId="25" fillId="4" borderId="19" xfId="12" applyNumberFormat="1" applyFont="1" applyFill="1" applyBorder="1" applyAlignment="1">
      <alignment horizontal="center" vertical="center" wrapText="1"/>
    </xf>
    <xf numFmtId="0" fontId="25" fillId="4" borderId="18" xfId="12" applyNumberFormat="1" applyFont="1" applyFill="1" applyBorder="1" applyAlignment="1">
      <alignment horizontal="center" vertical="center" wrapText="1"/>
    </xf>
    <xf numFmtId="0" fontId="25" fillId="4" borderId="17" xfId="12" applyNumberFormat="1" applyFont="1" applyFill="1" applyBorder="1" applyAlignment="1">
      <alignment horizontal="center" vertical="center" wrapText="1"/>
    </xf>
    <xf numFmtId="0" fontId="12" fillId="0" borderId="0" xfId="12" applyFont="1" applyAlignment="1">
      <alignment horizontal="center"/>
    </xf>
    <xf numFmtId="0" fontId="20" fillId="0" borderId="26" xfId="12" applyFont="1" applyBorder="1" applyAlignment="1">
      <alignment vertical="center" wrapText="1"/>
    </xf>
    <xf numFmtId="0" fontId="20" fillId="0" borderId="25" xfId="12" applyFont="1" applyBorder="1" applyAlignment="1">
      <alignment vertical="center" wrapText="1"/>
    </xf>
    <xf numFmtId="0" fontId="20" fillId="0" borderId="24" xfId="12" applyFont="1" applyBorder="1" applyAlignment="1">
      <alignment vertical="center" wrapText="1"/>
    </xf>
    <xf numFmtId="0" fontId="20" fillId="0" borderId="23" xfId="12" applyFont="1" applyBorder="1" applyAlignment="1">
      <alignment vertical="center" wrapText="1"/>
    </xf>
    <xf numFmtId="0" fontId="20" fillId="0" borderId="0" xfId="12" applyFont="1" applyBorder="1" applyAlignment="1">
      <alignment vertical="center" wrapText="1"/>
    </xf>
    <xf numFmtId="0" fontId="20" fillId="0" borderId="22" xfId="12" applyFont="1" applyBorder="1" applyAlignment="1">
      <alignment vertical="center" wrapText="1"/>
    </xf>
    <xf numFmtId="0" fontId="20" fillId="0" borderId="21" xfId="12" applyFont="1" applyBorder="1" applyAlignment="1">
      <alignment vertical="center" wrapText="1"/>
    </xf>
    <xf numFmtId="0" fontId="20" fillId="0" borderId="1" xfId="12" applyFont="1" applyBorder="1" applyAlignment="1">
      <alignment vertical="center" wrapText="1"/>
    </xf>
    <xf numFmtId="0" fontId="20" fillId="0" borderId="20" xfId="12" applyFont="1" applyBorder="1" applyAlignment="1">
      <alignment vertical="center" wrapText="1"/>
    </xf>
  </cellXfs>
  <cellStyles count="23">
    <cellStyle name="Normal" xfId="0" builtinId="0"/>
    <cellStyle name="백분율 2" xfId="2" xr:uid="{00000000-0005-0000-0000-000000000000}"/>
    <cellStyle name="백분율 3" xfId="3" xr:uid="{00000000-0005-0000-0000-000001000000}"/>
    <cellStyle name="쉼표 [0] 2" xfId="4" xr:uid="{00000000-0005-0000-0000-000002000000}"/>
    <cellStyle name="쉼표 [0] 2 2" xfId="5" xr:uid="{00000000-0005-0000-0000-000003000000}"/>
    <cellStyle name="쉼표 [0] 3" xfId="6" xr:uid="{00000000-0005-0000-0000-000004000000}"/>
    <cellStyle name="쉼표 [0] 3 2" xfId="7" xr:uid="{00000000-0005-0000-0000-000005000000}"/>
    <cellStyle name="표준 2" xfId="8" xr:uid="{00000000-0005-0000-0000-000007000000}"/>
    <cellStyle name="표준 2 2" xfId="9" xr:uid="{00000000-0005-0000-0000-000008000000}"/>
    <cellStyle name="표준 2 2 3" xfId="10" xr:uid="{00000000-0005-0000-0000-000009000000}"/>
    <cellStyle name="표준 2 3" xfId="11" xr:uid="{00000000-0005-0000-0000-00000A000000}"/>
    <cellStyle name="표준 3" xfId="12" xr:uid="{00000000-0005-0000-0000-00000B000000}"/>
    <cellStyle name="표준 3 3" xfId="13" xr:uid="{00000000-0005-0000-0000-00000C000000}"/>
    <cellStyle name="표준 4" xfId="14" xr:uid="{00000000-0005-0000-0000-00000D000000}"/>
    <cellStyle name="표준 5" xfId="1" xr:uid="{00000000-0005-0000-0000-00000E000000}"/>
    <cellStyle name="표준 6" xfId="15" xr:uid="{00000000-0005-0000-0000-00000F000000}"/>
    <cellStyle name="표준 7" xfId="16" xr:uid="{00000000-0005-0000-0000-000010000000}"/>
    <cellStyle name="표준 8" xfId="17" xr:uid="{00000000-0005-0000-0000-000011000000}"/>
    <cellStyle name="표준 8 2" xfId="18" xr:uid="{00000000-0005-0000-0000-000012000000}"/>
    <cellStyle name="표준_일반조서파일" xfId="19" xr:uid="{00000000-0005-0000-0000-000013000000}"/>
    <cellStyle name="하이퍼링크 2" xfId="20" xr:uid="{00000000-0005-0000-0000-000014000000}"/>
    <cellStyle name="하이퍼링크 3" xfId="21" xr:uid="{00000000-0005-0000-0000-000015000000}"/>
    <cellStyle name="하이퍼링크 4" xfId="22" xr:uid="{00000000-0005-0000-0000-00001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theme" Target="theme/theme1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3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%20&#51221;&#49328;&#54364;_20120130_v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&#51473;&#50836;&#49457;&#44592;&#51456;(new)%20(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dministrator\My%20Documents\&#51076;&#45824;&#52264;\2001&#45380;&#51076;&#45824;&#52264;\2001083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44053;&#44592;&#52285;1\Desktop\template%20manager\kicpa\&#44277;&#49884;&#49324;&#54637;&#51216;&#44160;&#54364;%20-kicp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sserver\f&amp;c\C\DBPLUS2000\save\&#49464;&#44221;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aejkim\AppData\Local\Aura\4.0\Files\19\AF\bd16e6d9-770b-4aa0-a69b-d18e04952113000000000000000000076040\79b2395e-ee2a-4ff3-8c9e-2561046133f8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\&#51221;&#48372;&#53685;&#49888;\&#54620;&#44397;&#44221;&#51228;\03&#45380;\&#44592;&#47568;&#44048;&#49324;\&#51312;&#49436;\FXDE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iheechoi\Desktop\20130627%20-%20Test%20of%20Controls%20-%20Generic%20TL%20&amp;%20DELCs_KR_0809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1611%20Perform%20Preliminary%20Analytical%20Procedures%20Workbook&#51032;%20&#50892;&#53356;&#49884;&#53944;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IPOS\MAIL\TEMP\207NEW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%20Documents\&#44048;&#49324;\&#45824;&#51652;&#54868;&#54617;\&#45824;&#51652;04&#44048;&#49324;\My%20Documents\&#44048;&#49324;\&#47532;&#54840;\&#47532;&#54840;01&#44048;&#49324;\&#47532;&#54840;01&#44592;&#47568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wlim\Documents\&#50629;&#47924;&#54028;&#51068;\&#44048;&#49324;&#54952;&#50984;&#54868;\&#47588;&#52636;&#44288;&#47144;\&#52280;&#44256;&#51312;&#49436;\&#50500;&#47784;&#47112;&#54140;&#49884;&#54589;_ToD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qc\iso\&#44160;&#53664;&#50756;&#47308;\&#44160;&#49324;&#50629;&#47924;\&#44160;&#49324;&#50629;&#47924;%20&#44228;&#52769;&#44592;&#44288;&#47532;%20&#48512;&#51201;&#54633;&#51228;&#54408;&#44288;&#47532;\FILE\WIP\11&#50900;\11&#50900;05&#51068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50857;&#51652;\C\My%20Documents\48&#44592;&#44208;&#49328;\9&#50900;\&#44208;&#49328;&#47749;&#49464;&#49436;\&#47805;&#46405;1\&#48512;&#52292;\KSW\&#50689;&#50629;&#44288;&#47532;\&#51217;&#45824;&#44592;&#50504;\44&#44592;&#51217;&#45824;\&#44228;&#50557;10&#51068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.samil.com/samilportal/filebox/dbs/24Q7111746.nsf/0/B3AA3A2879E6A87349257A7A002FF6C6/$file/(0915&#50756;&#47308;)001%20-%20Cash_&#48149;&#49464;&#55148;_0828.xlsm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cheon\Documents\1.&#51089;&#50629;\&#54620;&#44277;&#54924;&#50857;&#50669;\&#52280;&#44256;\sia\&#50976;&#54805;.xlsm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8100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8110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8200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8300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8500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8600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0980;&#55141;&#44540;\98&#44208;&#49328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49436;&#51648;&#54840;\Desktop\&#50629;&#47924;&#44288;&#47144;(2018)\&#44048;&#49324;&#51312;&#49436;&#49436;&#49885;&#44060;&#51221;\2018&#45380;\(&#48537;&#51076;1)2016_&#44048;&#49324;&#51312;&#49436;&#49436;&#49885;(&#50696;&#49884;)_(&#50641;&#49472;&#54028;&#51068;)\1.%20KIFRS(excel)\(&#51068;&#48152;-excel)%202000%20&#50948;&#54744;&#54217;&#44032;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(C)%205631%20Property_Substantive%20Test&#51032;%20&#50892;&#53356;&#49884;&#53944;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duser\Desktop\2009_Audit\7-&#54185;&#53944;&#47200;\2-&#54924;&#49324;&#51228;&#49884;&#51088;&#47308;_2009&#44592;&#47568;&#44048;&#49324;\&#52572;&#51333;DCS%20WTB%200111-jjw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Temp\_AZTMP14_\Exec\&#48176;&#49457;&#54984;CPA\&#44608;&#54252;&#51221;&#49328;FS_110212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juhkim\Desktop\&#44221;&#44592;&#52992;&#51060;&#48660;&#45348;&#53944;&#50892;&#53356;\03&#44592;&#47568;\&#44221;&#44592;&#52992;&#51060;&#48660;&#45348;&#53944;&#50892;&#53356;\kcn&#51452;&#49437;&#46321;\&#52380;&#50504;&#48169;&#49569;&#50976;&#54805;&#51088;&#49328;&#47560;&#51648;&#47561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juhkim\Desktop\&#44221;&#44592;&#52992;&#51060;&#48660;&#45348;&#53944;&#50892;&#53356;\03&#44592;&#47568;\&#48372;&#44256;&#49436;\2262%20WTB,&#51064;&#49604;&#50857;&#51116;&#47924;&#51228;&#54364;(&#51652;&#51676;&#52572;&#51333;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juhkim\Desktop\&#44221;&#44592;&#52992;&#51060;&#48660;&#45348;&#53944;&#50892;&#53356;\03&#44592;&#47568;\&#44221;&#44592;&#52992;&#51060;&#48660;&#45348;&#53944;&#50892;&#53356;\kcn&#51452;&#49437;&#46321;\&#50976;&#54805;&#51088;&#49328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&#51068;&#48152;&#51312;&#49436;_3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61%20&#49884;&#49328;&#54364;(2321Financial%20Statement%20Review%20&#48143;%202233&#51116;&#47924;&#51228;&#54364;%20&#54252;&#54632;)&#51032;%20&#50892;&#53356;&#49884;&#53944;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(C)%205631%20&#50976;&#54805;&#51088;&#49328;&#51032;%20&#50892;&#53356;&#49884;&#53944;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0896;&#54840;\MY%20DOCUMENTS\My%20Documents\&#49900;&#44284;&#51109;&#45784;\&#48512;&#44032;&#49464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064;&#49688;\&#44221;&#47532;&#48512;\Documents%20and%20Settings\&#49436;&#45824;&#49457;\My%20Documents\2003&#45380;\&#44208;&#49328;&#51088;&#47308;\&#49464;&#47924;&#51312;&#51221;\&#48277;&#51064;1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nrp096006\&#48148;&#53461;%20&#54868;&#47732;\&#47749;&#49464;&#49436;\3&#48516;&#44592;&#47749;&#49464;&#49436;\OK\&#50976;&#47924;&#54805;&#51088;&#49328;&#47749;&#49464;&#49436;(2011.09)(ok)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BU4%20PI2\&#49464;&#50896;&#49472;&#47200;&#53581;\18\&#44228;&#51221;&#47749;&#49464;&#49436;\07%20&#52572;&#51333;&#49345;&#48152;&#44592;%20&#50689;&#50629;&#44208;&#49328;&#49436;\Documents%20and%20Settings\&#48149;&#44148;&#49688;\&#48148;&#53461;%20&#54868;&#47732;\'00&#44552;&#50997;&#44592;&#44288;&#51312;&#54924;&#49436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473;&#50521;&#44148;&#49444;\DATA\&#44208;&#49328;\97&#45380;\97&#44592;&#49457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49436;&#51648;&#54840;\Desktop\&#50629;&#47924;&#44288;&#47144;(2018)\&#44048;&#49324;&#51312;&#49436;&#49436;&#49885;&#44060;&#51221;\2018&#45380;\(&#48537;&#51076;1)2016_&#44048;&#49324;&#51312;&#49436;&#49436;&#49885;(&#50696;&#49884;)_(&#50641;&#49472;&#54028;&#51068;)\1.%20KIFRS(excel)\(&#51068;&#48152;-excel)%201000%20&#44048;&#49324;&#44228;&#50557;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lient\Lightron\My%20Documents\Client\Work%20Paper\TRW%20C&amp;F\A-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064;&#49688;\&#44221;&#47532;&#48512;\INTAX\save\&#51312;&#53945;&#49464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0896;&#54840;\MY%20DOCUMENTS\&#44048;&#44032;&#49345;&#44033;\99.&#49464;&#47924;&#51312;&#51221;\99.&#48277;&#51064;&#49464;%20&#51473;&#44036;&#50696;&#45225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048;&#49324;\02&#45380;%20&#44048;&#49324;\&#47000;&#47564;\&#44592;&#47568;\WINDOWS\&#48148;&#53461;%20&#54868;&#47732;\&#44552;&#49457;&#48169;&#51116;\&#50980;&#55141;&#44540;\98&#44208;&#49328;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896;&#46041;&#54785;\C\My%20Documents\&#44208;&#49328;&#51088;&#47308;\2)&#44048;&#44032;&#49345;&#44033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ABAS\&#44048;&#49324;&#51312;&#49436;\2007&#45380;%20&#51312;&#49436;\&#50500;&#47784;&#47112;&#54140;&#49884;&#54589;\2007%20&#44592;&#47568;&#44048;&#49324;\&#47588;&#52636;&#50529;%20&#48372;&#44256;&#49436;\&#48169;&#54032;%20&#47588;&#52636;&#50529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4788;&#51452;\C\My%20Documents\&#49457;&#51652;1999\99&#44208;&#49328;\&#47448;&#44480;&#52384;\2)&#44048;&#44032;&#49345;&#44033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064;&#49688;\&#44221;&#47532;&#48512;\WINDOWS\Favorites\&#48149;&#53468;&#54872;\&#44048;&#44032;&#49345;&#44033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51068;&#48152;&#51312;&#49436;&#54028;&#51068;(&#54364;&#51456;)_&#49688;&#51221;_&#51060;&#51648;&#48124;_20120119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RollForward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ntong22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qc\iso\&#44160;&#53664;&#50756;&#47308;\&#44160;&#49324;&#50629;&#47924;\&#44160;&#49324;&#50629;&#47924;%20&#44228;&#52769;&#44592;&#44288;&#47532;%20&#48512;&#51201;&#54633;&#51228;&#54408;&#44288;&#47532;\FILE\LOT&#47560;&#44048;\104A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92;&#49345;&#54788;\&#54728;&#51061;\KSW\&#50689;&#50629;&#44288;&#47532;\&#51217;&#45824;&#44592;&#50504;\44&#44592;&#51217;&#45824;\&#44228;&#50557;10&#51068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4788;&#51452;\C\My%20Documents\&#49457;&#51652;1999\&#45824;&#49457;&#44208;&#49328;\2)&#44048;&#44032;&#49345;&#44033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%20Documents\&#44048;&#49324;\&#47532;&#54840;\&#47532;&#54840;04&#44048;&#49324;\&#47532;&#54840;04&#44592;&#4756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(회사제시)"/>
      <sheetName val="IS(회사제시)"/>
      <sheetName val="정산표"/>
      <sheetName val="BS"/>
      <sheetName val="IS"/>
      <sheetName val="CF"/>
      <sheetName val="자본변동표"/>
      <sheetName val="현금흐름표정산표"/>
      <sheetName val="pending"/>
      <sheetName val="A"/>
      <sheetName val="D"/>
      <sheetName val="D100"/>
      <sheetName val="유동자산(원장)"/>
      <sheetName val="G"/>
      <sheetName val="G100"/>
      <sheetName val="유형자산(원장)"/>
      <sheetName val="H"/>
      <sheetName val="무형자산(원장)"/>
      <sheetName val="CC"/>
      <sheetName val="CC100"/>
      <sheetName val="기타유동부채(원장)"/>
      <sheetName val="DD"/>
      <sheetName val="장기차입금(원장)"/>
      <sheetName val="R"/>
      <sheetName val="판관비(원장)"/>
      <sheetName val="S"/>
      <sheetName val="영업외손익(원장)"/>
    </sheetNames>
    <sheetDataSet>
      <sheetData sheetId="0"/>
      <sheetData sheetId="1"/>
      <sheetData sheetId="2"/>
      <sheetData sheetId="3">
        <row r="14">
          <cell r="C14">
            <v>0</v>
          </cell>
          <cell r="E14">
            <v>358830</v>
          </cell>
        </row>
        <row r="15">
          <cell r="C15">
            <v>794984791</v>
          </cell>
          <cell r="E15">
            <v>671031559</v>
          </cell>
        </row>
        <row r="16">
          <cell r="C16">
            <v>0</v>
          </cell>
          <cell r="E16">
            <v>1675000</v>
          </cell>
        </row>
        <row r="17">
          <cell r="C17">
            <v>0</v>
          </cell>
          <cell r="E17">
            <v>219874</v>
          </cell>
        </row>
        <row r="19">
          <cell r="C19">
            <v>106326419</v>
          </cell>
          <cell r="E19">
            <v>100232138</v>
          </cell>
        </row>
        <row r="20">
          <cell r="C20">
            <v>0</v>
          </cell>
          <cell r="E20">
            <v>19477610</v>
          </cell>
        </row>
        <row r="21">
          <cell r="C21">
            <v>130580</v>
          </cell>
          <cell r="E21">
            <v>44691228</v>
          </cell>
        </row>
        <row r="24">
          <cell r="C24">
            <v>2140737757</v>
          </cell>
          <cell r="E24">
            <v>2247064176</v>
          </cell>
        </row>
        <row r="28">
          <cell r="D28">
            <v>6500000</v>
          </cell>
        </row>
        <row r="29">
          <cell r="D29">
            <v>-6020483</v>
          </cell>
        </row>
        <row r="30">
          <cell r="B30">
            <v>23858418</v>
          </cell>
          <cell r="D30">
            <v>23858418</v>
          </cell>
        </row>
        <row r="31">
          <cell r="B31">
            <v>-20984583</v>
          </cell>
          <cell r="D31">
            <v>-18595038</v>
          </cell>
        </row>
        <row r="32">
          <cell r="C32">
            <v>7095442173</v>
          </cell>
          <cell r="E32">
            <v>7602259473</v>
          </cell>
        </row>
        <row r="36">
          <cell r="C36">
            <v>20000000</v>
          </cell>
          <cell r="E36">
            <v>20000000</v>
          </cell>
        </row>
        <row r="41">
          <cell r="C41">
            <v>127437200</v>
          </cell>
          <cell r="E41">
            <v>64571100</v>
          </cell>
        </row>
        <row r="42">
          <cell r="C42">
            <v>44594346</v>
          </cell>
          <cell r="E42">
            <v>51278000</v>
          </cell>
        </row>
        <row r="43">
          <cell r="C43">
            <v>145916212</v>
          </cell>
          <cell r="E43">
            <v>147659523</v>
          </cell>
        </row>
        <row r="44">
          <cell r="C44">
            <v>192428000</v>
          </cell>
          <cell r="E44">
            <v>128288000</v>
          </cell>
        </row>
        <row r="46">
          <cell r="C46">
            <v>10545357830</v>
          </cell>
          <cell r="E46">
            <v>10737785830</v>
          </cell>
        </row>
        <row r="52">
          <cell r="C52">
            <v>817600000</v>
          </cell>
          <cell r="E52">
            <v>817600000</v>
          </cell>
        </row>
        <row r="57">
          <cell r="C57">
            <v>-1712838033</v>
          </cell>
          <cell r="E57">
            <v>-1234429668</v>
          </cell>
        </row>
      </sheetData>
      <sheetData sheetId="4">
        <row r="9">
          <cell r="C9">
            <v>2567172909</v>
          </cell>
          <cell r="E9">
            <v>2469562000</v>
          </cell>
        </row>
        <row r="11">
          <cell r="C11">
            <v>1625008300</v>
          </cell>
          <cell r="E11">
            <v>1346147299</v>
          </cell>
        </row>
        <row r="14">
          <cell r="C14">
            <v>41867155</v>
          </cell>
          <cell r="E14">
            <v>1096249085</v>
          </cell>
        </row>
        <row r="30">
          <cell r="C30">
            <v>296315148</v>
          </cell>
          <cell r="E30">
            <v>170707341</v>
          </cell>
        </row>
        <row r="35">
          <cell r="C35">
            <v>1675020967</v>
          </cell>
          <cell r="E35">
            <v>1420929133</v>
          </cell>
        </row>
        <row r="41">
          <cell r="C41">
            <v>-478408365</v>
          </cell>
          <cell r="E41">
            <v>-1419169045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감사"/>
      <sheetName val="INPUT"/>
      <sheetName val="INDEX"/>
      <sheetName val="1100"/>
      <sheetName val="1200"/>
      <sheetName val="1300"/>
      <sheetName val="1320사전중요성"/>
      <sheetName val="1400"/>
      <sheetName val="1600"/>
      <sheetName val="2100"/>
      <sheetName val="2200"/>
      <sheetName val="2300"/>
      <sheetName val="2400"/>
      <sheetName val="2410"/>
      <sheetName val="2500"/>
      <sheetName val="2600"/>
      <sheetName val="3100"/>
      <sheetName val="3120사후중요성"/>
      <sheetName val="3150"/>
      <sheetName val="3200"/>
      <sheetName val="3250"/>
      <sheetName val="3300"/>
      <sheetName val="3400"/>
      <sheetName val="3700"/>
      <sheetName val="3710"/>
      <sheetName val="372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</sheetNames>
    <sheetDataSet>
      <sheetData sheetId="0" refreshError="1"/>
      <sheetData sheetId="1"/>
      <sheetData sheetId="2">
        <row r="1">
          <cell r="A1" t="str">
            <v>일반조서목록(General File Index)</v>
          </cell>
        </row>
        <row r="3">
          <cell r="A3" t="str">
            <v>회 사 명 :</v>
          </cell>
          <cell r="B3" t="str">
            <v>공주환경주식회사</v>
          </cell>
        </row>
        <row r="4">
          <cell r="A4" t="str">
            <v>사업년도 :</v>
          </cell>
          <cell r="B4" t="str">
            <v>제10기 2011. 1. 1 ~ 2011. 12. 31</v>
          </cell>
        </row>
        <row r="7">
          <cell r="A7" t="str">
            <v>일반조서</v>
          </cell>
          <cell r="C7" t="str">
            <v xml:space="preserve">비고 </v>
          </cell>
          <cell r="D7" t="str">
            <v>징구 또는 기록여부</v>
          </cell>
        </row>
        <row r="8">
          <cell r="A8" t="str">
            <v xml:space="preserve"> 1100 일반기업회계기준 독립성 준수 검토 및 확인서</v>
          </cell>
          <cell r="C8" t="str">
            <v xml:space="preserve">감사계약착수전, 감사계약서와 함께 심리실의 sign </v>
          </cell>
          <cell r="D8" t="str">
            <v>√</v>
          </cell>
        </row>
        <row r="9">
          <cell r="A9" t="str">
            <v xml:space="preserve"> 1200 회사의 사업에 대한 이해</v>
          </cell>
          <cell r="C9" t="str">
            <v>감사계약착수전</v>
          </cell>
          <cell r="D9" t="str">
            <v>√</v>
          </cell>
        </row>
        <row r="10">
          <cell r="A10" t="str">
            <v xml:space="preserve"> 1300 전반감사계획서</v>
          </cell>
          <cell r="C10" t="str">
            <v xml:space="preserve">감사 계약 착수, 중간감사전 </v>
          </cell>
          <cell r="D10" t="str">
            <v>√</v>
          </cell>
        </row>
        <row r="11">
          <cell r="A11" t="str">
            <v xml:space="preserve"> 1400  감사업무시간 집계표</v>
          </cell>
          <cell r="C11" t="str">
            <v xml:space="preserve">감사 계약 착수, 중간감사전 </v>
          </cell>
          <cell r="D11" t="str">
            <v>√</v>
          </cell>
        </row>
        <row r="12">
          <cell r="A12" t="str">
            <v xml:space="preserve"> 1600 분석적 검토지침</v>
          </cell>
          <cell r="C12" t="str">
            <v xml:space="preserve">감사계약직후 </v>
          </cell>
          <cell r="D12" t="str">
            <v>√</v>
          </cell>
        </row>
        <row r="13">
          <cell r="A13" t="str">
            <v xml:space="preserve"> 1700 경영자 확인서</v>
          </cell>
          <cell r="C13" t="str">
            <v xml:space="preserve">감사종료후 field 철수시까지 징구 (아래아 한글 file) </v>
          </cell>
          <cell r="D13" t="str">
            <v>√</v>
          </cell>
        </row>
        <row r="14">
          <cell r="A14" t="str">
            <v xml:space="preserve"> 1800 변호사 조회서</v>
          </cell>
          <cell r="C14" t="str">
            <v xml:space="preserve">감사종료후 field 철수시까지 징구 (아래아한글 file) </v>
          </cell>
          <cell r="D14" t="str">
            <v>√</v>
          </cell>
        </row>
        <row r="15">
          <cell r="A15" t="str">
            <v xml:space="preserve"> 1900 날인된 재무제표(주석포함)</v>
          </cell>
          <cell r="C15" t="str">
            <v xml:space="preserve">감사종료후 field 철수시까지 징구 </v>
          </cell>
          <cell r="D15" t="str">
            <v>√</v>
          </cell>
        </row>
        <row r="16">
          <cell r="A16" t="str">
            <v xml:space="preserve"> 1910 회사결산공고문 사본</v>
          </cell>
          <cell r="D16" t="str">
            <v>해당사항 없음</v>
          </cell>
        </row>
        <row r="17">
          <cell r="A17" t="str">
            <v xml:space="preserve">1110.client acceptance form </v>
          </cell>
          <cell r="C17" t="str">
            <v>감사계약착수전, 감사계약서와 함께 심리실의 sign (word file)</v>
          </cell>
          <cell r="D17" t="str">
            <v>√</v>
          </cell>
        </row>
        <row r="19">
          <cell r="A19" t="str">
            <v>내부통제조서</v>
          </cell>
        </row>
        <row r="20">
          <cell r="A20" t="str">
            <v xml:space="preserve"> 2100 고유위험의 평가표</v>
          </cell>
        </row>
        <row r="21">
          <cell r="A21" t="str">
            <v xml:space="preserve"> 2200 회계제도와 내부통제제도 이해</v>
          </cell>
        </row>
        <row r="22">
          <cell r="A22" t="str">
            <v xml:space="preserve"> 2300 통제환경 평가조서</v>
          </cell>
        </row>
        <row r="23">
          <cell r="A23" t="str">
            <v xml:space="preserve"> 2400 통제위험의 평가표</v>
          </cell>
        </row>
        <row r="24">
          <cell r="A24" t="str">
            <v xml:space="preserve"> 2410 내부통제제도 평가절차 및 평가서</v>
          </cell>
        </row>
        <row r="25">
          <cell r="A25" t="str">
            <v xml:space="preserve"> 2500 정보시스템 내부통제질문서</v>
          </cell>
        </row>
        <row r="26">
          <cell r="A26" t="str">
            <v xml:space="preserve"> 2600 내부회계관리제도 검토절차</v>
          </cell>
        </row>
        <row r="28">
          <cell r="A28" t="str">
            <v>감사완결조서</v>
          </cell>
        </row>
        <row r="29">
          <cell r="A29" t="str">
            <v xml:space="preserve"> 3100 감사완결조서</v>
          </cell>
        </row>
        <row r="30">
          <cell r="A30" t="str">
            <v xml:space="preserve"> 3150 회계감사심리점검표</v>
          </cell>
        </row>
        <row r="31">
          <cell r="A31" t="str">
            <v xml:space="preserve"> 3200 감사보고서 문안 및 공시사항 점검표</v>
          </cell>
        </row>
        <row r="32">
          <cell r="A32" t="str">
            <v xml:space="preserve"> 3250 감사수정사항 집계표</v>
          </cell>
        </row>
        <row r="33">
          <cell r="A33" t="str">
            <v xml:space="preserve"> 3300 감사업무수행점검표</v>
          </cell>
          <cell r="C33" t="str">
            <v>감사계약시부터 보고서 전달까지 계속</v>
          </cell>
        </row>
        <row r="34">
          <cell r="A34" t="str">
            <v xml:space="preserve"> 3350 감사보고서의 최종본</v>
          </cell>
          <cell r="C34" t="str">
            <v>원시 draft 와 수정된 page 및 최종분 보관</v>
          </cell>
        </row>
        <row r="35">
          <cell r="A35" t="str">
            <v xml:space="preserve"> 3400 재무제표 등에 대한 분석적절차</v>
          </cell>
        </row>
        <row r="36">
          <cell r="A36" t="str">
            <v xml:space="preserve"> 3500 정산재무상태표</v>
          </cell>
        </row>
        <row r="37">
          <cell r="A37" t="str">
            <v xml:space="preserve"> 3510 정산손익계산서</v>
          </cell>
        </row>
        <row r="38">
          <cell r="A38" t="str">
            <v xml:space="preserve"> 3520 시산표</v>
          </cell>
        </row>
        <row r="39">
          <cell r="A39" t="str">
            <v xml:space="preserve"> 3530 현금흐름표 검토조서</v>
          </cell>
        </row>
        <row r="40">
          <cell r="A40" t="str">
            <v xml:space="preserve"> 3700 보고기간종료일후 발생한 사건의 검토</v>
          </cell>
        </row>
        <row r="41">
          <cell r="A41" t="str">
            <v xml:space="preserve"> 3710 부정과 오류 및 법규 불이행사항에 대한 검토</v>
          </cell>
        </row>
        <row r="42">
          <cell r="A42" t="str">
            <v xml:space="preserve"> 3720 특수관계자와의 거래에 대한 검토</v>
          </cell>
        </row>
        <row r="43">
          <cell r="A43" t="str">
            <v xml:space="preserve"> 3730 계속기업 존속여부에 대한 검토</v>
          </cell>
        </row>
        <row r="44">
          <cell r="A44" t="str">
            <v xml:space="preserve"> 3740 기초잔액 검토절차</v>
          </cell>
        </row>
        <row r="45">
          <cell r="A45" t="str">
            <v xml:space="preserve"> 3800 내부감시기구와의 협의</v>
          </cell>
        </row>
      </sheetData>
      <sheetData sheetId="3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 refreshError="1"/>
      <sheetData sheetId="18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경영회의"/>
      <sheetName val="2001.8.31"/>
      <sheetName val="미회수보증금"/>
      <sheetName val="임대"/>
      <sheetName val="전세보조금"/>
      <sheetName val="소유부동현황"/>
      <sheetName val="SAP미상2"/>
      <sheetName val="SAP미상"/>
      <sheetName val="직판이관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400"/>
      <sheetName val="공시사항점검표 -kicpa"/>
    </sheetNames>
    <definedNames>
      <definedName name="_KDX3" refersTo="#REF!"/>
      <definedName name="aaaa" refersTo="#REF!"/>
      <definedName name="aaaaa" refersTo="#REF!"/>
      <definedName name="aaaaaa" refersTo="#REF!"/>
      <definedName name="ASAS" refersTo="#REF!"/>
      <definedName name="asd" refersTo="#REF!"/>
      <definedName name="asdf" refersTo="#REF!"/>
      <definedName name="asdfg" refersTo="#REF!"/>
      <definedName name="asxz" refersTo="#REF!"/>
      <definedName name="audit_button2_click" refersTo="#REF!"/>
      <definedName name="BackTo" refersTo="#REF!"/>
      <definedName name="BB" refersTo="#REF!"/>
      <definedName name="bbbb" refersTo="#REF!"/>
      <definedName name="bbbbb" refersTo="#REF!"/>
      <definedName name="BlankMacro1"/>
      <definedName name="BLCH"/>
      <definedName name="book" refersTo="#REF!"/>
      <definedName name="book2" refersTo="#REF!"/>
      <definedName name="book3" refersTo="#REF!"/>
      <definedName name="bsNote" refersTo="#REF!"/>
      <definedName name="btn" refersTo="#REF!"/>
      <definedName name="btnClose" refersTo="#REF!"/>
      <definedName name="btnFootNoting" refersTo="#REF!"/>
      <definedName name="btnNext" refersTo="#REF!"/>
      <definedName name="btnnnnn" refersTo="#REF!"/>
      <definedName name="btnOK" refersTo="#REF!"/>
      <definedName name="btnPrevious" refersTo="#REF!"/>
      <definedName name="btnr" refersTo="#REF!"/>
      <definedName name="btnReturn" refersTo="#REF!"/>
      <definedName name="cash" refersTo="#REF!"/>
      <definedName name="cash1" refersTo="#REF!"/>
      <definedName name="CashFlow_Button1_Click" refersTo="#REF!"/>
      <definedName name="cashIndex" refersTo="#REF!"/>
      <definedName name="CASHM" refersTo="#REF!"/>
      <definedName name="cc" refersTo="#REF!"/>
      <definedName name="cccccccccccccccccccccc" refersTo="#REF!"/>
      <definedName name="DayFix" refersTo="#REF!"/>
      <definedName name="DayFix1" refersTo="#REF!"/>
      <definedName name="ddd" refersTo="#REF!"/>
      <definedName name="DKD" refersTo="#REF!"/>
      <definedName name="DOM" refersTo="#REF!"/>
      <definedName name="DOMUSAGER" refersTo="#REF!"/>
      <definedName name="DOMUSA저장" refersTo="#REF!"/>
      <definedName name="DOM전장" refersTo="#REF!"/>
      <definedName name="DSFDSF" refersTo="#REF!"/>
      <definedName name="erre" refersTo="#REF!"/>
      <definedName name="F_123" refersTo="#REF!"/>
      <definedName name="fa" refersTo="#REF!"/>
      <definedName name="faf" refersTo="#REF!"/>
      <definedName name="fafa" refersTo="#REF!"/>
      <definedName name="fffffff" refersTo="#REF!"/>
      <definedName name="fghgfjk" refersTo="#REF!"/>
      <definedName name="FINAL_FS" refersTo="#REF!"/>
      <definedName name="finalReport" refersTo="#REF!"/>
      <definedName name="gaa" refersTo="#REF!"/>
      <definedName name="gdfh" refersTo="#REF!"/>
      <definedName name="ge" refersTo="#REF!"/>
      <definedName name="GELALL" refersTo="#REF!"/>
      <definedName name="GELALL전장2" refersTo="#REF!"/>
      <definedName name="GER" refersTo="#REF!"/>
      <definedName name="GER전장" refersTo="#REF!"/>
      <definedName name="gfgfgf" refersTo="#REF!"/>
      <definedName name="gfhn" refersTo="#REF!"/>
      <definedName name="ggg" refersTo="#REF!"/>
      <definedName name="GHJ" refersTo="#REF!"/>
      <definedName name="gjer" refersTo="#REF!"/>
      <definedName name="GO" refersTo="#REF!"/>
      <definedName name="GoAssetChart" refersTo="#REF!"/>
      <definedName name="GoBack" refersTo="#REF!"/>
      <definedName name="GoBalanceSheet" refersTo="#REF!"/>
      <definedName name="GoCashFlow" refersTo="#REF!"/>
      <definedName name="GoData" refersTo="#REF!"/>
      <definedName name="GoIncomeChart" refersTo="#REF!"/>
      <definedName name="GotoMainSheet" refersTo="#REF!"/>
      <definedName name="gqg" refersTo="#REF!"/>
      <definedName name="gw" refersTo="#REF!"/>
      <definedName name="han" refersTo="#REF!"/>
      <definedName name="hg" refersTo="#REF!"/>
      <definedName name="hghghghghghkf" refersTo="#REF!"/>
      <definedName name="hhh" refersTo="#REF!"/>
      <definedName name="hhhhhhh" refersTo="#REF!"/>
      <definedName name="hhhhhhhhhhhhhhhh" refersTo="#REF!"/>
      <definedName name="hhhjj" refersTo="#REF!"/>
      <definedName name="hjgs" refersTo="#REF!"/>
      <definedName name="hrjjsa" refersTo="#REF!"/>
      <definedName name="hserh" refersTo="#REF!"/>
      <definedName name="HSㅅㄱ" refersTo="#REF!"/>
      <definedName name="htgj" refersTo="#REF!"/>
      <definedName name="hwhrh" refersTo="#REF!"/>
      <definedName name="iii" refersTo="#REF!"/>
      <definedName name="ini_button_Click" refersTo="#REF!"/>
      <definedName name="iuiuiuiu" refersTo="#REF!"/>
      <definedName name="iuiuiuiuiuiu" refersTo="#REF!"/>
      <definedName name="IUUIUIUIU" refersTo="#REF!"/>
      <definedName name="jfg" refersTo="#REF!"/>
      <definedName name="jhjhjhjjhjh" refersTo="#REF!"/>
      <definedName name="job_run" refersTo="#REF!"/>
      <definedName name="khhjguyftdy" refersTo="#REF!"/>
      <definedName name="KIM" refersTo="#REF!"/>
      <definedName name="kjh" refersTo="#REF!"/>
      <definedName name="kkk" refersTo="#REF!"/>
      <definedName name="kkkkkkkkkkkkkkkkkkkkkkkkkk" refersTo="#REF!"/>
      <definedName name="LC3차서" refersTo="#REF!"/>
      <definedName name="lkiolki9olkiol" refersTo="#REF!"/>
      <definedName name="lkjgh" refersTo="#REF!"/>
      <definedName name="lkjhgfbnm" refersTo="#REF!"/>
      <definedName name="lkjhghfd" refersTo="#REF!"/>
      <definedName name="lkjhghyufy" refersTo="#REF!"/>
      <definedName name="lkjkj" refersTo="#REF!"/>
      <definedName name="LKKLKKK" refersTo="#REF!"/>
      <definedName name="lkkllkkllkkl" refersTo="#REF!"/>
      <definedName name="lklklklk" refersTo="#REF!"/>
      <definedName name="lllllll" refersTo="#REF!"/>
      <definedName name="menu_button_Click" refersTo="#REF!"/>
      <definedName name="MIPX3" refersTo="#REF!"/>
      <definedName name="mmm" refersTo="#REF!"/>
      <definedName name="mncvxjzshdffadsfcvdsfcs" refersTo="#REF!"/>
      <definedName name="NEW" refersTo="#REF!"/>
      <definedName name="NextCell" refersTo="#REF!"/>
      <definedName name="nn" refersTo="#REF!"/>
      <definedName name="nnn" refersTo="#REF!"/>
      <definedName name="oiioioi" refersTo="#REF!"/>
      <definedName name="OIIOIOIOI" refersTo="#REF!"/>
      <definedName name="OptionButton21_Click" refersTo="#REF!"/>
      <definedName name="plNote" refersTo="#REF!"/>
      <definedName name="poiuytrewq" refersTo="#REF!"/>
      <definedName name="poopop" refersTo="#REF!"/>
      <definedName name="PRT6AL5AR40" refersTo="#REF!"/>
      <definedName name="PRT6AU5BA41" refersTo="#REF!"/>
      <definedName name="PRT6B5H25" refersTo="#REF!"/>
      <definedName name="PRT6BD5BK32" refersTo="#REF!"/>
      <definedName name="prt6bn252bt288" refersTo="#REF!"/>
      <definedName name="prt6bn46bt82" refersTo="#REF!"/>
      <definedName name="PRT6BN5BT41" refersTo="#REF!"/>
      <definedName name="prt6bv7cc30" refersTo="#REF!"/>
      <definedName name="prt6cf5cl37" refersTo="#REF!"/>
      <definedName name="prt6co5cs41" refersTo="#REF!"/>
      <definedName name="prt6cv5dg33" refersTo="#REF!"/>
      <definedName name="PRT6K31U52" refersTo="#REF!"/>
      <definedName name="PRT6K4U25" refersTo="#REF!"/>
      <definedName name="PRT6K57W79" refersTo="#REF!"/>
      <definedName name="PRT6K85U107" refersTo="#REF!"/>
      <definedName name="PRT6X4AI25" refersTo="#REF!"/>
      <definedName name="PY" refersTo="#REF!"/>
      <definedName name="qqqq" refersTo="#REF!"/>
      <definedName name="QQQQQQWWWWWWW" refersTo="#REF!"/>
      <definedName name="quit_button_Click" refersTo="#REF!"/>
      <definedName name="qwe" refersTo="#REF!"/>
      <definedName name="reportP2" refersTo="#REF!"/>
      <definedName name="reportPl" refersTo="#REF!"/>
      <definedName name="RERER" refersTo="#REF!"/>
      <definedName name="RRRRR" refersTo="#REF!"/>
      <definedName name="sdds" refersTo="#REF!"/>
      <definedName name="sss" refersTo="#REF!"/>
      <definedName name="SW가능" refersTo="#REF!"/>
      <definedName name="sw사용가능2" refersTo="#REF!"/>
      <definedName name="TM" refersTo="#REF!"/>
      <definedName name="treg" refersTo="#REF!"/>
      <definedName name="u" refersTo="#REF!"/>
      <definedName name="vbhfhfg" refersTo="#REF!"/>
      <definedName name="vv" refersTo="#REF!"/>
      <definedName name="vvvvvvvvvvvvvvvvvvvvvvvvvvvv" refersTo="#REF!"/>
      <definedName name="WriteIntoMainSheet" refersTo="#REF!"/>
      <definedName name="WWWWWPPPPPPP" refersTo="#REF!"/>
      <definedName name="xxxxxxxxxxxxxxxx" refersTo="#REF!"/>
      <definedName name="ytty" refersTo="#REF!"/>
      <definedName name="yyy" refersTo="#REF!"/>
      <definedName name="zxcv" refersTo="#REF!"/>
      <definedName name="ZZ" refersTo="#REF!"/>
      <definedName name="zzz" refersTo="#REF!"/>
      <definedName name="zzzz" refersTo="#REF!"/>
      <definedName name="zzzzzzzzzzzzzzz" refersTo="#REF!"/>
      <definedName name="ㄱ가ㅓ" refersTo="#REF!"/>
      <definedName name="ㄱ노" refersTo="#REF!"/>
      <definedName name="ㄱ녹ㄴ소" refersTo="#REF!"/>
      <definedName name="ㄱㄷㄷ2ㄱ2ㄱ2ㄱ2" refersTo="#REF!"/>
      <definedName name="ㄱ듀" refersTo="#REF!"/>
      <definedName name="ㄱ소ㅠ" refersTo="#REF!"/>
      <definedName name="ㄱ솏" refersTo="#REF!"/>
      <definedName name="ㄱ슈곡ㄴ" refersTo="#REF!"/>
      <definedName name="가공비" refersTo="#REF!"/>
      <definedName name="거" refersTo="#REF!"/>
      <definedName name="건물" refersTo="#REF!"/>
      <definedName name="결재요약" refersTo="#REF!"/>
      <definedName name="계획" refersTo="#REF!"/>
      <definedName name="곣논" refersTo="#REF!"/>
      <definedName name="곣놈ㄴㅋ" refersTo="#REF!"/>
      <definedName name="곤ㄱㄴ속ㄴ" refersTo="#REF!"/>
      <definedName name="교너더ㅛ" refersTo="#REF!"/>
      <definedName name="교ㅓㄳ넌" refersTo="#REF!"/>
      <definedName name="교ㅓ허" refersTo="#REF!"/>
      <definedName name="기계장치" refersTo="#REF!"/>
      <definedName name="김심선" refersTo="#REF!"/>
      <definedName name="ㄳㄱㄴ" refersTo="#REF!"/>
      <definedName name="ㄴㄱ" refersTo="#REF!"/>
      <definedName name="ㄴㄱ속ㄴ" refersTo="#REF!"/>
      <definedName name="ㄴ거ㅜ" refersTo="#REF!"/>
      <definedName name="ㄴ곡노" refersTo="#REF!"/>
      <definedName name="ㄴ곤ㄱㅁ" refersTo="#REF!"/>
      <definedName name="ㄴ곧ㄴ" refersTo="#REF!"/>
      <definedName name="ㄴ곳ㄱ노" refersTo="#REF!"/>
      <definedName name="ㄴ굔ㄱ" refersTo="#REF!"/>
      <definedName name="ㄴㄷㄹ" refersTo="#REF!"/>
      <definedName name="ㄴㄹㄷㄷㅇㄷ" refersTo="#REF!"/>
      <definedName name="ㄴㄹㅇ호ㅓㅗㄱ" refersTo="#REF!"/>
      <definedName name="ㄴㅇ" refersTo="#REF!"/>
      <definedName name="ㄴㅇㄹ홓" refersTo="#REF!"/>
      <definedName name="ㄴㅇ텃" refersTo="#REF!"/>
      <definedName name="ㄴㅇㅎㄶ" refersTo="#REF!"/>
      <definedName name="너ㅛㄴㄳ" refersTo="#REF!"/>
      <definedName name="노고" refersTo="#REF!"/>
      <definedName name="논ㄱ" refersTo="#REF!"/>
      <definedName name="놈" refersTo="#REF!"/>
      <definedName name="뇨고노" refersTo="#REF!"/>
      <definedName name="뇨ㅓㄱㄴ요" refersTo="#REF!"/>
      <definedName name="ㄶㄴ" refersTo="#REF!"/>
      <definedName name="ㄷ" refersTo="#REF!"/>
      <definedName name="ㄷㄱ" refersTo="#REF!"/>
      <definedName name="ㄷㄳㅇㅀㅊ" refersTo="#REF!"/>
      <definedName name="ㄷ더" refersTo="#REF!"/>
      <definedName name="ㄷㅎ" refersTo="#REF!"/>
      <definedName name="ㄷ흇ㅇㄹㅊ" refersTo="#REF!"/>
      <definedName name="ㄹㄶ" refersTo="#REF!"/>
      <definedName name="ㄹㄹㄴ" refersTo="#REF!"/>
      <definedName name="ㄹㄹㅇ" refersTo="#REF!"/>
      <definedName name="ㄹㅇㄴㅁㅁㅁ" refersTo="#REF!"/>
      <definedName name="ㄹㅇㄴㅇㅇ" refersTo="#REF!"/>
      <definedName name="ㄹㅇㄴ호" refersTo="#REF!"/>
      <definedName name="ㄹㅇㅇㄴ" refersTo="#REF!"/>
      <definedName name="ㄹㅇㅇㅇㄴ" refersTo="#REF!"/>
      <definedName name="ㄹㅇㅎㅀㄹ" refersTo="#REF!"/>
      <definedName name="러" refersTo="#REF!"/>
      <definedName name="롯데기공" refersTo="#REF!"/>
      <definedName name="ㅀㅇㄴ" refersTo="#REF!"/>
      <definedName name="ㅁㄴㅇㅁㄻㄹㄹ" refersTo="#REF!"/>
      <definedName name="ㅁㄷㅀ" refersTo="#REF!"/>
      <definedName name="매출1" refersTo="#REF!"/>
      <definedName name="매출2" refersTo="#REF!"/>
      <definedName name="매출원" refersTo="#REF!"/>
      <definedName name="매출원6" refersTo="#REF!"/>
      <definedName name="매출원가사본" refersTo="#REF!"/>
      <definedName name="ㅂㅂㅂ" refersTo="#REF!"/>
      <definedName name="법" refersTo="#REF!"/>
      <definedName name="법닌" refersTo="#REF!"/>
      <definedName name="법인세" refersTo="#REF!"/>
      <definedName name="ㅅㄱ" refersTo="#REF!"/>
      <definedName name="ㅅㄱㄴ곤" refersTo="#REF!"/>
      <definedName name="ㅅ건거" refersTo="#REF!"/>
      <definedName name="ㅅ곳ㄷㄴ" refersTo="#REF!"/>
      <definedName name="ㅅㄹ" refersTo="#REF!"/>
      <definedName name="ㅅ언" refersTo="#REF!"/>
      <definedName name="ㅅ엇ㅇ" refersTo="#REF!"/>
      <definedName name="사외" refersTo="#REF!"/>
      <definedName name="설치누계" refersTo="#REF!"/>
      <definedName name="세부사항3" refersTo="#REF!"/>
      <definedName name="소선경" refersTo="#REF!"/>
      <definedName name="손익계산서" refersTo="#REF!"/>
      <definedName name="쇼ㅓㅇㄱ셔ㅓ" refersTo="#REF!"/>
      <definedName name="쇼ㅓㅇㅅ" refersTo="#REF!"/>
      <definedName name="슛" refersTo="#REF!"/>
      <definedName name="시스두께" refersTo="#REF!"/>
      <definedName name="시트" refersTo="#REF!"/>
      <definedName name="신규설정자" refersTo="#REF!"/>
      <definedName name="ㅇㄱ류" refersTo="#REF!"/>
      <definedName name="ㅇㄴㅇㄹ" refersTo="#REF!"/>
      <definedName name="ㅇㄴㅇㄹㅇ" refersTo="#REF!"/>
      <definedName name="ㅇ로" refersTo="#REF!"/>
      <definedName name="ㅇㅅ거ㅛ" refersTo="#REF!"/>
      <definedName name="어렵네용" refersTo="#REF!"/>
      <definedName name="어서" refersTo="#REF!"/>
      <definedName name="연속" refersTo="#REF!"/>
      <definedName name="완성외경" refersTo="#REF!"/>
      <definedName name="요섟언" refersTo="#REF!"/>
      <definedName name="운반비9" refersTo="#REF!"/>
      <definedName name="자료1" refersTo="#REF!"/>
      <definedName name="자료2" refersTo="#REF!"/>
      <definedName name="자본" refersTo="#REF!"/>
      <definedName name="저장품" refersTo="#REF!"/>
      <definedName name="전장DOM" refersTo="#REF!"/>
      <definedName name="절연두께" refersTo="#REF!"/>
      <definedName name="정리" refersTo="#REF!"/>
      <definedName name="증빙" refersTo="#REF!"/>
      <definedName name="ㅊㅊㅊㅊㅊ" refersTo="#REF!"/>
      <definedName name="참나" refersTo="#REF!"/>
      <definedName name="참나나나나나난" refersTo="#REF!"/>
      <definedName name="참내" refersTo="#REF!"/>
      <definedName name="총괄" refersTo="#REF!"/>
      <definedName name="ㅋㅌㅊ퓨" refersTo="#REF!"/>
      <definedName name="큐ㅗㅅㄹ" refersTo="#REF!"/>
      <definedName name="ㅌㄴㄴ" refersTo="#REF!"/>
      <definedName name="텃ㅌㅇ" refersTo="#REF!"/>
      <definedName name="퇴" refersTo="#REF!"/>
      <definedName name="판관비" refersTo="#REF!"/>
      <definedName name="판보" refersTo="#REF!"/>
      <definedName name="ㅎ4ㅎ" refersTo="#REF!"/>
      <definedName name="ㅎㄶㄴ" refersTo="#REF!"/>
      <definedName name="ㅎㄷ뮤" refersTo="#REF!"/>
      <definedName name="ㅎㅇ" refersTo="#REF!"/>
      <definedName name="ㅎㅇㄹ" refersTo="#REF!"/>
      <definedName name="흎" refersTo="#REF!"/>
      <definedName name="ㅏㅏ교" refersTo="#REF!"/>
      <definedName name="ㅓㄱㄱㄱ" refersTo="#REF!"/>
      <definedName name="ㅓㄱㄷ" refersTo="#REF!"/>
      <definedName name="ㅓㄴㄱㄴㄱ" refersTo="#REF!"/>
      <definedName name="ㅓㄴ교ㅓ" refersTo="#REF!"/>
      <definedName name="ㅓㄴㄴ뇨ㅓ" refersTo="#REF!"/>
      <definedName name="ㅓㄴ서" refersTo="#REF!"/>
      <definedName name="ㅓㅅ" refersTo="#REF!"/>
      <definedName name="ㅓㅅㄱㅇㄴ쇼ㅓ" refersTo="#REF!"/>
      <definedName name="ㅓㅇ섯" refersTo="#REF!"/>
      <definedName name="ㅓㅇ쇼ㅓㄴ" refersTo="#REF!"/>
      <definedName name="ㅓ요선ㅇ" refersTo="#REF!"/>
      <definedName name="ㅓㅏ" refersTo="#REF!"/>
      <definedName name="ㅓㅛㄴㅇ교ㅓ" refersTo="#REF!"/>
      <definedName name="ㅓㅛㅅ" refersTo="#REF!"/>
      <definedName name="ㅓㅛㅅ언" refersTo="#REF!"/>
      <definedName name="ㅓㅛㅅ엉ㅅ" refersTo="#REF!"/>
      <definedName name="ㅓㅛㅇ서" refersTo="#REF!"/>
      <definedName name="ㅓㅣ" refersTo="#REF!"/>
      <definedName name="ㅗㄱㄴ" refersTo="#REF!"/>
      <definedName name="ㅗㄱㄴㄴㄱ속ㄴ" refersTo="#REF!"/>
      <definedName name="ㅗㄱㄴ속ㄴ" refersTo="#REF!"/>
      <definedName name="ㅗㄱㄴ손" refersTo="#REF!"/>
      <definedName name="ㅗㄱ녹ㄴ" refersTo="#REF!"/>
      <definedName name="ㅗㄱㄷ" refersTo="#REF!"/>
      <definedName name="ㅗㄱ소" refersTo="#REF!"/>
      <definedName name="ㅗㄳㄷ곧ㄴ" refersTo="#REF!"/>
      <definedName name="ㅗㄴㄱ소" refersTo="#REF!"/>
      <definedName name="ㅗㄴㄱ손" refersTo="#REF!"/>
      <definedName name="ㅗㄴㄱ손ㄱ" refersTo="#REF!"/>
      <definedName name="ㅗㄴㄱ솟ㄱㄴ" refersTo="#REF!"/>
      <definedName name="ㅗㄴ곤" refersTo="#REF!"/>
      <definedName name="ㅗㄴㄳ" refersTo="#REF!"/>
      <definedName name="ㅗㄷ손" refersTo="#REF!"/>
      <definedName name="ㅗㅀ" refersTo="#REF!"/>
      <definedName name="ㅗㅅㄱ노ㅠㅍ" refersTo="#REF!"/>
      <definedName name="ㅗㅅㄱ논" refersTo="#REF!"/>
      <definedName name="ㅗㅅ곤" refersTo="#REF!"/>
      <definedName name="ㅗㅅㄴ곤고" refersTo="#REF!"/>
      <definedName name="ㅗㅈ4" refersTo="#REF!"/>
      <definedName name="ㅘ" refersTo="#REF!"/>
      <definedName name="ㅛ걱" refersTo="#REF!"/>
      <definedName name="ㅛ건" refersTo="#REF!"/>
      <definedName name="ㅛㅇㅅ겅ㅅ" refersTo="#REF!"/>
      <definedName name="ㅛㅓ" refersTo="#REF!"/>
      <definedName name="ㅛㅓㄴ" refersTo="#REF!"/>
      <definedName name="ㅠㄱㄴㄳ" refersTo="#REF!"/>
      <definedName name="ㅠㄷㅁ" refersTo="#REF!"/>
      <definedName name="ㅠㅅ귷" refersTo="#REF!"/>
      <definedName name="ㅠㅠㅠ" refersTo="#REF!"/>
      <definedName name="ㅠㅠㅠㅠㅠㅠ" refersTo="#REF!"/>
      <definedName name="ㅣㅏ" refersTo="#REF!"/>
      <definedName name="ㅣㅣㅣㅣㅣㅣㅣㄹㄹㄹㄹㄹㄹㄹ" refersTo="#REF!"/>
    </definedNames>
    <sheetDataSet>
      <sheetData sheetId="0" refreshError="1"/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15호부표1"/>
      <sheetName val="15호부표2"/>
      <sheetName val="16호"/>
      <sheetName val="23호(갑)"/>
      <sheetName val="23호(을)"/>
      <sheetName val="23호(병)"/>
      <sheetName val="17호"/>
      <sheetName val="18호"/>
      <sheetName val="19호(갑)"/>
      <sheetName val="19호(을)"/>
      <sheetName val="20호(1)"/>
      <sheetName val="20호(2)"/>
      <sheetName val="20호(3)"/>
      <sheetName val="24호"/>
      <sheetName val="40호(갑)"/>
      <sheetName val="40호(을)"/>
      <sheetName val="41호"/>
      <sheetName val="63호"/>
      <sheetName val="64호"/>
    </sheetNames>
    <sheetDataSet>
      <sheetData sheetId="0">
        <row r="6">
          <cell r="C6" t="str">
            <v>㈜세경멀티뱅크</v>
          </cell>
        </row>
        <row r="9">
          <cell r="C9" t="str">
            <v>11111-251457</v>
          </cell>
        </row>
        <row r="15">
          <cell r="C15">
            <v>36526</v>
          </cell>
        </row>
      </sheetData>
      <sheetData sheetId="1"/>
      <sheetData sheetId="2"/>
      <sheetData sheetId="3" refreshError="1"/>
      <sheetData sheetId="4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oping"/>
      <sheetName val="Master Review Procedures"/>
      <sheetName val="First Test Plan"/>
      <sheetName val="Master Test Plan"/>
      <sheetName val="Control Activity-1"/>
      <sheetName val="Control Activity-2"/>
      <sheetName val="Master Control Activity"/>
      <sheetName val="Master Follow-Up Items"/>
      <sheetName val="Master Testing Table Review"/>
      <sheetName val="Master Procedures"/>
      <sheetName val="Library Procedures"/>
      <sheetName val="Master ToC Template"/>
      <sheetName val="ToC Template"/>
      <sheetName val="Master ToC Template US"/>
      <sheetName val="Master Testing Table"/>
      <sheetName val="Testing Table"/>
      <sheetName val="Master Testing Table US"/>
      <sheetName val="Master Update"/>
      <sheetName val="Master PAE_Manual"/>
      <sheetName val="Master PAE_Automated"/>
      <sheetName val="Master PAE_Benchmark"/>
      <sheetName val="Drop down"/>
    </sheetNames>
    <sheetDataSet>
      <sheetData sheetId="0">
        <row r="6">
          <cell r="M6" t="b">
            <v>1</v>
          </cell>
        </row>
        <row r="9">
          <cell r="M9" t="b">
            <v>0</v>
          </cell>
        </row>
        <row r="11">
          <cell r="M11" t="b">
            <v>0</v>
          </cell>
        </row>
        <row r="12">
          <cell r="M12" t="b">
            <v>0</v>
          </cell>
        </row>
        <row r="14">
          <cell r="M14" t="b">
            <v>1</v>
          </cell>
        </row>
        <row r="15">
          <cell r="M15" t="b">
            <v>0</v>
          </cell>
        </row>
        <row r="16">
          <cell r="M16" t="b">
            <v>0</v>
          </cell>
        </row>
        <row r="17">
          <cell r="M17" t="b">
            <v>1</v>
          </cell>
        </row>
        <row r="20">
          <cell r="M20" t="b">
            <v>1</v>
          </cell>
        </row>
        <row r="22">
          <cell r="M22" t="b">
            <v>0</v>
          </cell>
        </row>
        <row r="23">
          <cell r="M23" t="b">
            <v>1</v>
          </cell>
        </row>
        <row r="25">
          <cell r="M25" t="b">
            <v>1</v>
          </cell>
        </row>
        <row r="32">
          <cell r="M32" t="b">
            <v>0</v>
          </cell>
        </row>
        <row r="38">
          <cell r="M38" t="b">
            <v>0</v>
          </cell>
        </row>
        <row r="40">
          <cell r="M40" t="b">
            <v>1</v>
          </cell>
        </row>
        <row r="42">
          <cell r="M42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6">
          <cell r="Q6" t="str">
            <v>No</v>
          </cell>
        </row>
        <row r="7">
          <cell r="C7" t="str">
            <v>Multiple times a day</v>
          </cell>
          <cell r="G7" t="str">
            <v>N/A, no exception</v>
          </cell>
          <cell r="I7" t="str">
            <v>Low</v>
          </cell>
          <cell r="K7" t="str">
            <v>Observation</v>
          </cell>
          <cell r="Q7" t="str">
            <v>Yes</v>
          </cell>
        </row>
        <row r="8">
          <cell r="C8" t="str">
            <v>Daily</v>
          </cell>
          <cell r="G8" t="str">
            <v>Yes, CD/W created</v>
          </cell>
          <cell r="I8" t="str">
            <v>Moderate</v>
          </cell>
          <cell r="K8" t="str">
            <v>Inspection</v>
          </cell>
        </row>
        <row r="9">
          <cell r="C9" t="str">
            <v>Weekly</v>
          </cell>
          <cell r="G9" t="str">
            <v>No</v>
          </cell>
          <cell r="I9" t="str">
            <v>High</v>
          </cell>
          <cell r="K9" t="str">
            <v>Reperformance</v>
          </cell>
        </row>
        <row r="10">
          <cell r="C10" t="str">
            <v>Monthly</v>
          </cell>
        </row>
        <row r="11">
          <cell r="C11" t="str">
            <v>Quarterly</v>
          </cell>
        </row>
        <row r="12">
          <cell r="C12" t="str">
            <v>Annually</v>
          </cell>
        </row>
        <row r="13">
          <cell r="C13" t="str">
            <v>As needed or Other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XDEAL"/>
    </sheetNames>
    <definedNames>
      <definedName name="Chart_Draw"/>
    </defined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oping"/>
      <sheetName val="Master Review Procedures"/>
      <sheetName val="First Test Plan"/>
      <sheetName val="Master Test Plan"/>
      <sheetName val="Control Activity-1"/>
      <sheetName val="Control Activity-2"/>
      <sheetName val="Master Control Activity"/>
      <sheetName val="Master Follow-Up Items"/>
      <sheetName val="Master Testing Table Review"/>
      <sheetName val="Master Procedures (1)"/>
      <sheetName val="Master Procedures (2)"/>
      <sheetName val="Master Procedures (3)"/>
      <sheetName val="Master Procedures (4)"/>
      <sheetName val="Master Procedures (5)"/>
      <sheetName val="Master Procedures (6)"/>
      <sheetName val="Master Procedures (7)"/>
      <sheetName val="Master Procedures (8)"/>
      <sheetName val="Master Procedures (9)"/>
      <sheetName val="Library Procedures"/>
      <sheetName val="Master Procedures (10)"/>
      <sheetName val="Master Procedures (11)"/>
      <sheetName val="Master Procedures (12)"/>
      <sheetName val="Master Procedures (13)"/>
      <sheetName val="Master Procedures (14)"/>
      <sheetName val="Master Procedures (15)"/>
      <sheetName val="Master Procedures (16)"/>
      <sheetName val="Master Procedures (17)"/>
      <sheetName val="Master Procedures (18)"/>
      <sheetName val="Master Procedures (19)"/>
      <sheetName val="Master Procedures (CUST)"/>
      <sheetName val="Master Procedures (CUST_PCAOB)"/>
      <sheetName val="Master ToC Template"/>
      <sheetName val="Master ToC Template US"/>
      <sheetName val="ToC Template"/>
      <sheetName val="Master Testing Table"/>
      <sheetName val="Master Testing Table US"/>
      <sheetName val="Testing Table"/>
      <sheetName val="Master Update"/>
      <sheetName val="Master PAE_Manual"/>
      <sheetName val="Master PAE_Automated"/>
      <sheetName val="Master PAE_Benchmark"/>
      <sheetName val="Drop down"/>
    </sheetNames>
    <sheetDataSet>
      <sheetData sheetId="0">
        <row r="25">
          <cell r="M25" t="b">
            <v>0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Balance Sheet"/>
      <sheetName val="Income Statement"/>
      <sheetName val="Liquidity"/>
      <sheetName val="Profitability"/>
      <sheetName val="Leverage"/>
      <sheetName val="Other Analytical Proc."/>
      <sheetName val="Tickmarks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7NEW"/>
    </sheetNames>
    <definedNames>
      <definedName name="Data_Process"/>
    </defined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조정"/>
      <sheetName val="현"/>
      <sheetName val="대"/>
      <sheetName val="손"/>
      <sheetName val="제"/>
      <sheetName val="원가명세서"/>
      <sheetName val="수정"/>
      <sheetName val="현금흐름표"/>
      <sheetName val="잉여금"/>
      <sheetName val="제조원가"/>
      <sheetName val="손익"/>
      <sheetName val="대차"/>
      <sheetName val="주석"/>
      <sheetName val="경영지표"/>
      <sheetName val="조회"/>
      <sheetName val="현금과예금"/>
      <sheetName val="유가증권"/>
      <sheetName val="매출채권"/>
      <sheetName val="매출"/>
      <sheetName val="VAT대조"/>
      <sheetName val="투자"/>
      <sheetName val="차입금"/>
      <sheetName val="자본"/>
      <sheetName val="어음수불"/>
      <sheetName val="미회수어음"/>
      <sheetName val="판관비"/>
      <sheetName val="이자비용"/>
      <sheetName val="이자수익"/>
      <sheetName val="영업외손익"/>
      <sheetName val="법인세"/>
      <sheetName val="매출채권처분"/>
      <sheetName val="이자비용 (2)"/>
      <sheetName val="기타당좌"/>
      <sheetName val="재고"/>
      <sheetName val="재고2"/>
      <sheetName val="재고3"/>
      <sheetName val="매출원가"/>
      <sheetName val="매입채무"/>
      <sheetName val="기타유동"/>
      <sheetName val="기타고정"/>
      <sheetName val="퇴직급여"/>
      <sheetName val="급여"/>
      <sheetName val="특별손익"/>
      <sheetName val="무형"/>
      <sheetName val="유형"/>
      <sheetName val="비율분석"/>
      <sheetName val="환율"/>
      <sheetName val="2"/>
      <sheetName val="이자율검토"/>
      <sheetName val="이자수익 (2)"/>
      <sheetName val="경영분석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>
        <row r="1">
          <cell r="A1" t="str">
            <v>TITLE</v>
          </cell>
          <cell r="B1" t="str">
            <v>TAG</v>
          </cell>
          <cell r="C1" t="str">
            <v>JKUM</v>
          </cell>
          <cell r="D1" t="str">
            <v>A01</v>
          </cell>
          <cell r="E1" t="str">
            <v>A02</v>
          </cell>
          <cell r="F1" t="str">
            <v>A03</v>
          </cell>
          <cell r="G1" t="str">
            <v>A04</v>
          </cell>
          <cell r="H1" t="str">
            <v>A05</v>
          </cell>
          <cell r="I1" t="str">
            <v>A06</v>
          </cell>
          <cell r="J1" t="str">
            <v>A07</v>
          </cell>
          <cell r="K1" t="str">
            <v>A08</v>
          </cell>
          <cell r="L1" t="str">
            <v>A09</v>
          </cell>
          <cell r="M1" t="str">
            <v>A10</v>
          </cell>
          <cell r="N1" t="str">
            <v>A11</v>
          </cell>
          <cell r="O1" t="str">
            <v>A12</v>
          </cell>
          <cell r="P1" t="str">
            <v>MONTOT</v>
          </cell>
        </row>
        <row r="2">
          <cell r="A2" t="str">
            <v>이  자  비  용</v>
          </cell>
          <cell r="B2" t="str">
            <v>차</v>
          </cell>
          <cell r="D2">
            <v>11372950</v>
          </cell>
          <cell r="E2">
            <v>6198546</v>
          </cell>
          <cell r="F2">
            <v>57788556</v>
          </cell>
          <cell r="G2">
            <v>18795349</v>
          </cell>
          <cell r="H2">
            <v>11307354</v>
          </cell>
          <cell r="I2">
            <v>46074325</v>
          </cell>
          <cell r="J2">
            <v>18941757</v>
          </cell>
          <cell r="K2">
            <v>19210375</v>
          </cell>
          <cell r="L2">
            <v>53487369</v>
          </cell>
          <cell r="M2">
            <v>21867731</v>
          </cell>
          <cell r="N2">
            <v>23080575</v>
          </cell>
          <cell r="O2">
            <v>48643006</v>
          </cell>
          <cell r="P2">
            <v>336767893</v>
          </cell>
        </row>
        <row r="3">
          <cell r="A3" t="str">
            <v>합    계</v>
          </cell>
          <cell r="B3" t="str">
            <v>차</v>
          </cell>
          <cell r="C3">
            <v>0</v>
          </cell>
          <cell r="D3">
            <v>11372950</v>
          </cell>
          <cell r="E3">
            <v>6198546</v>
          </cell>
          <cell r="F3">
            <v>57788556</v>
          </cell>
          <cell r="G3">
            <v>18795349</v>
          </cell>
          <cell r="H3">
            <v>11307354</v>
          </cell>
          <cell r="I3">
            <v>46074325</v>
          </cell>
          <cell r="J3">
            <v>18941757</v>
          </cell>
          <cell r="K3">
            <v>19210375</v>
          </cell>
          <cell r="L3">
            <v>53487369</v>
          </cell>
          <cell r="M3">
            <v>21867731</v>
          </cell>
          <cell r="N3">
            <v>23080575</v>
          </cell>
          <cell r="O3">
            <v>48643006</v>
          </cell>
          <cell r="P3">
            <v>336767893</v>
          </cell>
        </row>
      </sheetData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Samp"/>
      <sheetName val="Check_Spell"/>
      <sheetName val="2001Non-Statistical Sampling-1"/>
      <sheetName val="Targeted Testing"/>
      <sheetName val="Non-Statistical Sampling"/>
      <sheetName val="Accept Reject"/>
      <sheetName val="AR Drop Downs"/>
      <sheetName val="ARLU"/>
      <sheetName val="Instructions"/>
      <sheetName val="First Sample Results"/>
      <sheetName val="DropDown"/>
      <sheetName val="Currency"/>
      <sheetName val="sample"/>
      <sheetName val="2000 기중거래test"/>
      <sheetName val="모집단의 선정"/>
      <sheetName val="증빙확인"/>
      <sheetName val="Sheet7"/>
    </sheetNames>
    <sheetDataSet>
      <sheetData sheetId="0"/>
      <sheetData sheetId="1"/>
      <sheetData sheetId="2"/>
      <sheetData sheetId="3"/>
      <sheetData sheetId="4">
        <row r="5">
          <cell r="AR5" t="b">
            <v>0</v>
          </cell>
        </row>
        <row r="6">
          <cell r="AR6" t="b">
            <v>0</v>
          </cell>
        </row>
        <row r="12">
          <cell r="AR12" t="str">
            <v/>
          </cell>
        </row>
        <row r="15">
          <cell r="AK15" t="str">
            <v/>
          </cell>
        </row>
        <row r="20">
          <cell r="Y20" t="str">
            <v/>
          </cell>
        </row>
      </sheetData>
      <sheetData sheetId="5"/>
      <sheetData sheetId="6">
        <row r="6">
          <cell r="A6" t="str">
            <v>Low</v>
          </cell>
          <cell r="C6">
            <v>0</v>
          </cell>
          <cell r="E6" t="str">
            <v>Yes</v>
          </cell>
          <cell r="G6" t="str">
            <v>Haphazard</v>
          </cell>
          <cell r="I6" t="str">
            <v>&gt;= 200</v>
          </cell>
          <cell r="K6">
            <v>0</v>
          </cell>
        </row>
        <row r="7">
          <cell r="A7" t="str">
            <v>Moderate</v>
          </cell>
          <cell r="C7">
            <v>1</v>
          </cell>
          <cell r="E7" t="str">
            <v>No</v>
          </cell>
          <cell r="G7" t="str">
            <v>Random</v>
          </cell>
          <cell r="I7" t="str">
            <v>100 - 199</v>
          </cell>
          <cell r="K7">
            <v>1</v>
          </cell>
        </row>
        <row r="8">
          <cell r="A8" t="str">
            <v>High</v>
          </cell>
          <cell r="C8">
            <v>2</v>
          </cell>
          <cell r="E8" t="str">
            <v>N/A</v>
          </cell>
          <cell r="I8" t="str">
            <v>50 - 99</v>
          </cell>
          <cell r="K8">
            <v>2</v>
          </cell>
        </row>
        <row r="9">
          <cell r="I9" t="str">
            <v>20 - 49</v>
          </cell>
          <cell r="K9">
            <v>3</v>
          </cell>
        </row>
        <row r="10">
          <cell r="I10" t="str">
            <v>&lt; 20</v>
          </cell>
          <cell r="K10">
            <v>4</v>
          </cell>
        </row>
        <row r="11">
          <cell r="K11">
            <v>5</v>
          </cell>
        </row>
        <row r="12">
          <cell r="K12">
            <v>6</v>
          </cell>
        </row>
        <row r="13">
          <cell r="K13">
            <v>7</v>
          </cell>
        </row>
        <row r="14">
          <cell r="K14">
            <v>8</v>
          </cell>
        </row>
        <row r="15">
          <cell r="K15">
            <v>9</v>
          </cell>
        </row>
        <row r="16">
          <cell r="K16">
            <v>10</v>
          </cell>
        </row>
        <row r="17">
          <cell r="K17">
            <v>11</v>
          </cell>
        </row>
        <row r="18">
          <cell r="K18">
            <v>12</v>
          </cell>
        </row>
        <row r="19">
          <cell r="K19">
            <v>13</v>
          </cell>
        </row>
        <row r="20">
          <cell r="K20">
            <v>14</v>
          </cell>
        </row>
        <row r="21">
          <cell r="K21">
            <v>15</v>
          </cell>
        </row>
        <row r="22">
          <cell r="K22">
            <v>16</v>
          </cell>
        </row>
        <row r="23">
          <cell r="K23">
            <v>17</v>
          </cell>
        </row>
        <row r="24">
          <cell r="K24">
            <v>18</v>
          </cell>
        </row>
        <row r="25">
          <cell r="K25">
            <v>19</v>
          </cell>
        </row>
        <row r="26">
          <cell r="K26">
            <v>20</v>
          </cell>
        </row>
        <row r="27">
          <cell r="K27" t="str">
            <v>&gt;20</v>
          </cell>
        </row>
      </sheetData>
      <sheetData sheetId="7"/>
      <sheetData sheetId="8"/>
      <sheetData sheetId="9"/>
      <sheetData sheetId="10">
        <row r="1">
          <cell r="B1" t="str">
            <v>?</v>
          </cell>
          <cell r="D1" t="str">
            <v>?</v>
          </cell>
          <cell r="H1" t="str">
            <v>Ratio Estimation</v>
          </cell>
        </row>
        <row r="2">
          <cell r="B2" t="str">
            <v>Low</v>
          </cell>
          <cell r="D2" t="str">
            <v>Haphazard</v>
          </cell>
          <cell r="H2" t="str">
            <v>Difference Estimation</v>
          </cell>
        </row>
        <row r="3">
          <cell r="B3" t="str">
            <v>Moderate</v>
          </cell>
          <cell r="D3" t="str">
            <v>Random</v>
          </cell>
        </row>
        <row r="4">
          <cell r="B4" t="str">
            <v>High</v>
          </cell>
          <cell r="D4" t="str">
            <v>Systematic</v>
          </cell>
        </row>
      </sheetData>
      <sheetData sheetId="11">
        <row r="3">
          <cell r="C3" t="str">
            <v>Won</v>
          </cell>
        </row>
        <row r="9">
          <cell r="B9" t="str">
            <v>Currency?</v>
          </cell>
        </row>
        <row r="10">
          <cell r="B10" t="str">
            <v>AUS$</v>
          </cell>
        </row>
        <row r="11">
          <cell r="B11" t="str">
            <v>CAN$</v>
          </cell>
        </row>
        <row r="12">
          <cell r="B12" t="str">
            <v>Euro</v>
          </cell>
        </row>
        <row r="13">
          <cell r="B13" t="str">
            <v>Pound</v>
          </cell>
        </row>
        <row r="14">
          <cell r="B14" t="str">
            <v>US$</v>
          </cell>
        </row>
        <row r="15">
          <cell r="B15" t="str">
            <v>Yen</v>
          </cell>
        </row>
        <row r="16">
          <cell r="B16" t="str">
            <v>Colon</v>
          </cell>
        </row>
        <row r="17">
          <cell r="B17" t="str">
            <v>Dong</v>
          </cell>
        </row>
        <row r="18">
          <cell r="B18" t="str">
            <v>Franc</v>
          </cell>
        </row>
        <row r="19">
          <cell r="B19" t="str">
            <v>Kip</v>
          </cell>
        </row>
        <row r="20">
          <cell r="B20" t="str">
            <v>Kroner</v>
          </cell>
        </row>
        <row r="21">
          <cell r="B21" t="str">
            <v>Lira</v>
          </cell>
        </row>
        <row r="22">
          <cell r="B22" t="str">
            <v>Naira</v>
          </cell>
        </row>
        <row r="23">
          <cell r="B23" t="str">
            <v>Reais</v>
          </cell>
        </row>
        <row r="24">
          <cell r="B24" t="str">
            <v>Rubles</v>
          </cell>
        </row>
        <row r="25">
          <cell r="B25" t="str">
            <v>Rupee</v>
          </cell>
        </row>
        <row r="26">
          <cell r="B26" t="str">
            <v>Sequel</v>
          </cell>
        </row>
        <row r="27">
          <cell r="B27" t="str">
            <v>Thai</v>
          </cell>
        </row>
        <row r="28">
          <cell r="B28" t="str">
            <v>Tugrik</v>
          </cell>
        </row>
        <row r="29">
          <cell r="B29" t="str">
            <v>Won</v>
          </cell>
        </row>
        <row r="30">
          <cell r="B30" t="str">
            <v>Yuan</v>
          </cell>
        </row>
        <row r="31">
          <cell r="B31" t="str">
            <v>Other</v>
          </cell>
        </row>
      </sheetData>
      <sheetData sheetId="12"/>
      <sheetData sheetId="13"/>
      <sheetData sheetId="14"/>
      <sheetData sheetId="15"/>
      <sheetData sheetId="1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월05일"/>
      <sheetName val="증감분석 및 연결조정"/>
      <sheetName val="Summary"/>
    </sheetNames>
    <definedNames>
      <definedName name="DELETE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약10일"/>
    </sheetNames>
    <definedNames>
      <definedName name="don"/>
    </defined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brary Procedures1"/>
      <sheetName val="Library Procedures2"/>
      <sheetName val="Library Procedures3 "/>
      <sheetName val="Library Procedures4"/>
      <sheetName val="Library Procedures5"/>
      <sheetName val="Library Procedures6"/>
      <sheetName val="Results Template"/>
      <sheetName val="ToD Template"/>
      <sheetName val="Menu Master"/>
      <sheetName val="Targeted Testing Master"/>
      <sheetName val="Non-Statistical Sampling Master"/>
      <sheetName val="Suppl Non-Stat Sample Master"/>
      <sheetName val="Accept Reject Master"/>
      <sheetName val="First Sample Results Master"/>
      <sheetName val="Global Data"/>
    </sheetNames>
    <sheetDataSet>
      <sheetData sheetId="0"/>
      <sheetData sheetId="1"/>
      <sheetData sheetId="2"/>
      <sheetData sheetId="3"/>
      <sheetData sheetId="4"/>
      <sheetData sheetId="5"/>
      <sheetData sheetId="6">
        <row r="50">
          <cell r="C50" t="str">
            <v xml:space="preserve">   ?</v>
          </cell>
        </row>
      </sheetData>
      <sheetData sheetId="7"/>
      <sheetData sheetId="8"/>
      <sheetData sheetId="9"/>
      <sheetData sheetId="10">
        <row r="50">
          <cell r="C50" t="str">
            <v xml:space="preserve">   ?</v>
          </cell>
        </row>
        <row r="63">
          <cell r="C63">
            <v>1</v>
          </cell>
        </row>
      </sheetData>
      <sheetData sheetId="11"/>
      <sheetData sheetId="12"/>
      <sheetData sheetId="13"/>
      <sheetData sheetId="14">
        <row r="92">
          <cell r="B92" t="str">
            <v xml:space="preserve">   ?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brary Procedures"/>
      <sheetName val="3100-10"/>
      <sheetName val="3100-20"/>
      <sheetName val="Targeted Testing(취득)"/>
      <sheetName val="Result(3100-30)"/>
      <sheetName val="취득명세"/>
      <sheetName val="3100-40-1"/>
      <sheetName val="3100-40-2"/>
      <sheetName val="3100-50"/>
      <sheetName val="건물"/>
      <sheetName val="구축물"/>
      <sheetName val="기계장치"/>
      <sheetName val="차량운반구"/>
      <sheetName val="공구와기구"/>
      <sheetName val="집기비품"/>
      <sheetName val="#1_손상징후의파악"/>
      <sheetName val="#2_회수가능액의측정"/>
      <sheetName val="#3_손상차손의결정"/>
      <sheetName val="EUI Report"/>
      <sheetName val="ToD Template"/>
      <sheetName val="Menu Master"/>
      <sheetName val="Targeted Testing Master"/>
      <sheetName val="Non-Statistical Sampling Master"/>
      <sheetName val="Suppl Non-Stat Sample Master"/>
      <sheetName val="Two Step Revenue Testing Master"/>
      <sheetName val="Accept Reject Master"/>
      <sheetName val="AR Confirmation Log Master"/>
      <sheetName val="Fixed Asset Additions Master"/>
      <sheetName val="Fixed Asset Disposals Master"/>
      <sheetName val="Unrecord Liab - Pd Inv Master"/>
      <sheetName val="Unrecord Liab - Unpd Inv Master"/>
      <sheetName val="Testing Detail Master"/>
      <sheetName val="First Sample Results Master"/>
      <sheetName val="Global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50">
          <cell r="C50" t="str">
            <v xml:space="preserve">   ?</v>
          </cell>
        </row>
        <row r="51">
          <cell r="C51" t="str">
            <v>Low</v>
          </cell>
        </row>
        <row r="52">
          <cell r="C52" t="str">
            <v>Moderate</v>
          </cell>
        </row>
        <row r="53">
          <cell r="C53" t="str">
            <v>High</v>
          </cell>
        </row>
        <row r="63">
          <cell r="C63">
            <v>1</v>
          </cell>
        </row>
      </sheetData>
      <sheetData sheetId="23"/>
      <sheetData sheetId="24">
        <row r="45">
          <cell r="T45">
            <v>0</v>
          </cell>
        </row>
        <row r="85">
          <cell r="C85">
            <v>0</v>
          </cell>
        </row>
        <row r="87">
          <cell r="C87">
            <v>0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92">
          <cell r="B92" t="str">
            <v xml:space="preserve">   ?</v>
          </cell>
        </row>
        <row r="93">
          <cell r="B93" t="str">
            <v>Low</v>
          </cell>
        </row>
        <row r="94">
          <cell r="B94" t="str">
            <v>Moderate</v>
          </cell>
        </row>
        <row r="95">
          <cell r="B95" t="str">
            <v>High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100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110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200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300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500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600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XXXXXXXXXXXXXXXXXXX"/>
      <sheetName val="협력작업"/>
      <sheetName val="합손"/>
      <sheetName val="손익"/>
      <sheetName val="건설수입"/>
      <sheetName val="부문손익"/>
      <sheetName val="총원가"/>
      <sheetName val="감가상각"/>
      <sheetName val="결산대체"/>
      <sheetName val="인건비"/>
      <sheetName val="98월비용"/>
      <sheetName val="손익1"/>
      <sheetName val="실적"/>
      <sheetName val="합산손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00"/>
      <sheetName val="2110"/>
      <sheetName val="2100A"/>
      <sheetName val="2110A"/>
      <sheetName val="2110B"/>
      <sheetName val="2120"/>
      <sheetName val="2120A"/>
      <sheetName val="2131"/>
      <sheetName val="2132"/>
      <sheetName val="2133"/>
      <sheetName val="2301"/>
      <sheetName val="2302"/>
      <sheetName val="2511"/>
      <sheetName val="2512"/>
      <sheetName val="2513"/>
      <sheetName val="2520"/>
      <sheetName val="2530"/>
      <sheetName val="2530A"/>
      <sheetName val="2530B"/>
      <sheetName val="2530C"/>
      <sheetName val="2600"/>
      <sheetName val="2700"/>
      <sheetName val="2700-3"/>
      <sheetName val="2700A"/>
      <sheetName val="Sheet1"/>
      <sheetName val="Sheet2"/>
      <sheetName val="Sheet3"/>
    </sheetNames>
    <definedNames>
      <definedName name="prt6bn46bt82" refersTo="#REF!" sheetId="20"/>
      <definedName name="PRT6BN5BT41" refersTo="#REF!" sheetId="20"/>
      <definedName name="prt6bv7cc30" refersTo="#REF!" sheetId="2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형자산"/>
      <sheetName val="Disclosure"/>
      <sheetName val="유형자산 취득 처분"/>
      <sheetName val="For Cash Flow"/>
      <sheetName val="감가상각비 Analytical Review"/>
      <sheetName val="감가상각비 Test"/>
      <sheetName val="감가상각비 배분"/>
      <sheetName val="유형자산 취득 명세"/>
      <sheetName val="처분내역"/>
      <sheetName val="Sample Data"/>
      <sheetName val="CMA_Calculations"/>
      <sheetName val="CMA_Selections"/>
      <sheetName val="XREF"/>
      <sheetName val="Tickmarks"/>
    </sheetNames>
    <sheetDataSet>
      <sheetData sheetId="0">
        <row r="53">
          <cell r="J53">
            <v>4707594</v>
          </cell>
        </row>
      </sheetData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반"/>
      <sheetName val="F123"/>
      <sheetName val="F456"/>
      <sheetName val="BS"/>
      <sheetName val="PL"/>
      <sheetName val="RE"/>
      <sheetName val="CF"/>
      <sheetName val="cf 정산표"/>
      <sheetName val="Ratio"/>
      <sheetName val="비율"/>
      <sheetName val="REVIEW"/>
      <sheetName val="REVIEW (2)"/>
      <sheetName val="REVIEW(3)"/>
      <sheetName val="Sheet1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dit finding"/>
      <sheetName val="정산표"/>
      <sheetName val="BS"/>
      <sheetName val="PL"/>
      <sheetName val="RE"/>
      <sheetName val="자본변동표"/>
      <sheetName val="CF"/>
      <sheetName val="현금흐름검증"/>
      <sheetName val="주요경영지표 (검증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 "/>
      <sheetName val="감가상각LS"/>
      <sheetName val="주석사항"/>
      <sheetName val="건설중인자산대체 "/>
      <sheetName val="건물 "/>
      <sheetName val="구축물"/>
      <sheetName val="유선방송설비"/>
      <sheetName val="차량운반구 "/>
      <sheetName val="컨버터 "/>
      <sheetName val="전송선로설비"/>
      <sheetName val="집기비품"/>
      <sheetName val="공구기구 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차 및 손익(A.R)"/>
      <sheetName val="PAJE,PRJE"/>
      <sheetName val="WTB"/>
      <sheetName val="인쇄용BSPLRE"/>
      <sheetName val="인쇄용CF"/>
      <sheetName val="7기현금정산"/>
      <sheetName val="7기현금정산보조"/>
      <sheetName val="8기현금정산"/>
      <sheetName val="8기현금정산보조"/>
      <sheetName val="전기인쇄용재무제표"/>
      <sheetName val="재무비율(Analytical)"/>
      <sheetName val="인쇄용재무비율"/>
      <sheetName val="주석사항"/>
      <sheetName val="XREF"/>
      <sheetName val="Tickmarks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 (2)"/>
      <sheetName val="감가상각LS (2)"/>
      <sheetName val="건설중인자산대체 (2)"/>
      <sheetName val="건물 (2)"/>
      <sheetName val="구축물 (2)"/>
      <sheetName val="유선방송설비 (2)"/>
      <sheetName val="차량운반구 (2)"/>
      <sheetName val="컨버터 (2)"/>
      <sheetName val="전송선로설비 (2)"/>
      <sheetName val="집기비품 (2)"/>
      <sheetName val="공구기구 (2)"/>
      <sheetName val="LS"/>
      <sheetName val="감가상각LS"/>
      <sheetName val="주석사항"/>
      <sheetName val="건설중인자산대체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Tickmarks"/>
    </sheetNames>
    <sheetDataSet>
      <sheetData sheetId="0">
        <row r="10">
          <cell r="C10">
            <v>10349340</v>
          </cell>
          <cell r="D10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6">
          <cell r="D16">
            <v>0</v>
          </cell>
        </row>
        <row r="17">
          <cell r="D17">
            <v>0</v>
          </cell>
        </row>
        <row r="24">
          <cell r="D24">
            <v>0</v>
          </cell>
        </row>
        <row r="26">
          <cell r="C26">
            <v>1032722480</v>
          </cell>
          <cell r="D26">
            <v>0</v>
          </cell>
        </row>
        <row r="27">
          <cell r="D27">
            <v>0</v>
          </cell>
        </row>
        <row r="28">
          <cell r="C28">
            <v>436460885</v>
          </cell>
          <cell r="D28">
            <v>0</v>
          </cell>
        </row>
        <row r="30">
          <cell r="D30">
            <v>0</v>
          </cell>
        </row>
        <row r="31">
          <cell r="D31">
            <v>0</v>
          </cell>
        </row>
      </sheetData>
      <sheetData sheetId="1"/>
      <sheetData sheetId="2"/>
      <sheetData sheetId="3">
        <row r="5">
          <cell r="D5">
            <v>0</v>
          </cell>
        </row>
        <row r="7">
          <cell r="I7">
            <v>0</v>
          </cell>
          <cell r="K7">
            <v>0</v>
          </cell>
          <cell r="Q7">
            <v>576535</v>
          </cell>
          <cell r="R7">
            <v>0</v>
          </cell>
          <cell r="V7">
            <v>1768012.25</v>
          </cell>
          <cell r="W7">
            <v>0</v>
          </cell>
          <cell r="X7">
            <v>303034.38750000001</v>
          </cell>
          <cell r="Y7">
            <v>0</v>
          </cell>
          <cell r="Z7">
            <v>258733.5</v>
          </cell>
          <cell r="AA7">
            <v>0</v>
          </cell>
        </row>
      </sheetData>
      <sheetData sheetId="4">
        <row r="12">
          <cell r="L12">
            <v>3809133</v>
          </cell>
          <cell r="M12">
            <v>0</v>
          </cell>
          <cell r="N12">
            <v>3809133</v>
          </cell>
          <cell r="O12">
            <v>0</v>
          </cell>
          <cell r="R12">
            <v>4379133.333333333</v>
          </cell>
          <cell r="S12">
            <v>0</v>
          </cell>
        </row>
      </sheetData>
      <sheetData sheetId="5">
        <row r="316">
          <cell r="D316">
            <v>0</v>
          </cell>
          <cell r="H316">
            <v>1032722480</v>
          </cell>
          <cell r="I316">
            <v>0</v>
          </cell>
          <cell r="U316">
            <v>1099102129.9333332</v>
          </cell>
          <cell r="V316">
            <v>0</v>
          </cell>
          <cell r="Z316">
            <v>0</v>
          </cell>
        </row>
        <row r="341">
          <cell r="O341">
            <v>0</v>
          </cell>
          <cell r="Q341">
            <v>0</v>
          </cell>
          <cell r="X341">
            <v>0</v>
          </cell>
        </row>
      </sheetData>
      <sheetData sheetId="6">
        <row r="55">
          <cell r="D55">
            <v>0</v>
          </cell>
          <cell r="H55">
            <v>74137880</v>
          </cell>
          <cell r="O55">
            <v>0</v>
          </cell>
          <cell r="P55">
            <v>102044593</v>
          </cell>
          <cell r="Q55">
            <v>0</v>
          </cell>
          <cell r="U55">
            <v>62704895.616666645</v>
          </cell>
          <cell r="V55">
            <v>0</v>
          </cell>
          <cell r="W55">
            <v>36011637.200000003</v>
          </cell>
          <cell r="X55">
            <v>0</v>
          </cell>
          <cell r="Y55">
            <v>3197386.7166666663</v>
          </cell>
          <cell r="Z55">
            <v>0</v>
          </cell>
        </row>
      </sheetData>
      <sheetData sheetId="7">
        <row r="8">
          <cell r="L8">
            <v>5375333</v>
          </cell>
          <cell r="M8">
            <v>0</v>
          </cell>
          <cell r="N8">
            <v>5375333</v>
          </cell>
          <cell r="O8">
            <v>0</v>
          </cell>
          <cell r="R8">
            <v>5375333.333333333</v>
          </cell>
          <cell r="S8">
            <v>0</v>
          </cell>
        </row>
      </sheetData>
      <sheetData sheetId="8">
        <row r="21">
          <cell r="D21">
            <v>0</v>
          </cell>
          <cell r="H21">
            <v>436460885</v>
          </cell>
          <cell r="I21">
            <v>0</v>
          </cell>
          <cell r="U21">
            <v>193552502.7833333</v>
          </cell>
          <cell r="V21">
            <v>0</v>
          </cell>
          <cell r="Y21">
            <v>193552502.7833333</v>
          </cell>
          <cell r="Z21">
            <v>0</v>
          </cell>
        </row>
        <row r="44">
          <cell r="N44">
            <v>2615612267</v>
          </cell>
          <cell r="O44">
            <v>0</v>
          </cell>
          <cell r="Q44">
            <v>0</v>
          </cell>
          <cell r="W44">
            <v>2702904443.6833334</v>
          </cell>
          <cell r="X44">
            <v>0</v>
          </cell>
        </row>
      </sheetData>
      <sheetData sheetId="9">
        <row r="94">
          <cell r="D94">
            <v>0</v>
          </cell>
          <cell r="H94">
            <v>64698881</v>
          </cell>
          <cell r="U94">
            <v>51218078.466666684</v>
          </cell>
          <cell r="V94">
            <v>0</v>
          </cell>
          <cell r="Y94">
            <v>4721143.916666666</v>
          </cell>
          <cell r="Z94">
            <v>0</v>
          </cell>
        </row>
        <row r="143">
          <cell r="O143">
            <v>0</v>
          </cell>
          <cell r="P143">
            <v>102389012</v>
          </cell>
          <cell r="Q143">
            <v>0</v>
          </cell>
          <cell r="W143">
            <v>43933706.899999999</v>
          </cell>
          <cell r="X143">
            <v>0</v>
          </cell>
        </row>
      </sheetData>
      <sheetData sheetId="10">
        <row r="7">
          <cell r="C7">
            <v>38984000</v>
          </cell>
          <cell r="D7">
            <v>0</v>
          </cell>
          <cell r="H7">
            <v>1465148</v>
          </cell>
          <cell r="I7">
            <v>0</v>
          </cell>
          <cell r="O7">
            <v>0</v>
          </cell>
          <cell r="P7">
            <v>8968918</v>
          </cell>
          <cell r="Q7">
            <v>0</v>
          </cell>
          <cell r="S7">
            <v>649733.33333333326</v>
          </cell>
          <cell r="T7">
            <v>0</v>
          </cell>
          <cell r="V7">
            <v>0</v>
          </cell>
          <cell r="W7">
            <v>649733.33333333326</v>
          </cell>
          <cell r="X7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53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mo&amp;중요성금액"/>
      <sheetName val="Financial Statement Review"/>
      <sheetName val="PAJE(CAJE)"/>
      <sheetName val="PRJE(CRJE)"/>
      <sheetName val="TB"/>
      <sheetName val="ratio"/>
      <sheetName val="인쇄용재무제표"/>
      <sheetName val="인쇄용재무비율"/>
      <sheetName val="XREF"/>
      <sheetName val="Tickmarks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"/>
      <sheetName val="건설중인자산대체"/>
      <sheetName val="감가상각LS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XREF"/>
      <sheetName val="Tickmarks"/>
      <sheetName val="LS "/>
      <sheetName val="주석사항"/>
      <sheetName val="건설중인자산대체 "/>
      <sheetName val="건물 "/>
      <sheetName val="차량운반구 "/>
      <sheetName val="컨버터 "/>
      <sheetName val="공구기구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총괄표"/>
      <sheetName val="1호"/>
      <sheetName val="2호 "/>
      <sheetName val="3호(1)"/>
      <sheetName val="3호(2)-앞"/>
      <sheetName val="3호(2)-뒷"/>
      <sheetName val="4호(1)"/>
      <sheetName val="4호(2)"/>
      <sheetName val="5호"/>
      <sheetName val="6호"/>
      <sheetName val="7호(1)"/>
      <sheetName val="7호(2)"/>
      <sheetName val="8호"/>
      <sheetName val="9호"/>
      <sheetName val="10호"/>
      <sheetName val="11호"/>
      <sheetName val="12호-1쪽"/>
      <sheetName val="12호-2쪽"/>
      <sheetName val="15호"/>
      <sheetName val="16호"/>
      <sheetName val="16호-3쪽"/>
      <sheetName val="18호"/>
      <sheetName val="19호"/>
      <sheetName val="22호"/>
      <sheetName val="23호"/>
      <sheetName val="25호"/>
      <sheetName val="27호"/>
      <sheetName val="28호"/>
      <sheetName val="30호"/>
      <sheetName val="31호"/>
      <sheetName val="32호"/>
      <sheetName val="33호"/>
      <sheetName val="33(2)호 "/>
      <sheetName val="34호"/>
      <sheetName val="36호(1)"/>
      <sheetName val="36호(2)"/>
      <sheetName val="37호"/>
      <sheetName val="37호-3쪽"/>
      <sheetName val="38호"/>
      <sheetName val="39호"/>
      <sheetName val="40호"/>
      <sheetName val="부가세"/>
      <sheetName val="테이블"/>
      <sheetName val="계정code"/>
      <sheetName val="경락률"/>
      <sheetName val="법원비용"/>
      <sheetName val="LoanList"/>
      <sheetName val="잔존년수"/>
      <sheetName val="항고구분"/>
      <sheetName val="경매회차하락률"/>
      <sheetName val="3월"/>
      <sheetName val="4월"/>
      <sheetName val="5월"/>
      <sheetName val="TABLE01"/>
      <sheetName val="원본"/>
      <sheetName val="생산현황"/>
      <sheetName val="노무비-TT"/>
      <sheetName val="판매비업"/>
      <sheetName val="13.공제수익, 14. 공제비용"/>
      <sheetName val="4.대출금이자계산"/>
      <sheetName val="2.부문별추정손익"/>
      <sheetName val="9.신용기타비용"/>
      <sheetName val="8.신용기타수익"/>
      <sheetName val="1.연말추정사업"/>
      <sheetName val="5.예수금이자계산"/>
      <sheetName val="7.예치금이자계산"/>
      <sheetName val="15. 판매관리비"/>
      <sheetName val="3.종합자금(신용-운용)"/>
      <sheetName val="3-3.조달(일반)"/>
      <sheetName val="17.교육지원. 법인세"/>
      <sheetName val="6.차입금이자계산"/>
      <sheetName val="8월--12월"/>
      <sheetName val="1월--7월"/>
      <sheetName val="시황"/>
      <sheetName val="표지"/>
      <sheetName val="보정전"/>
      <sheetName val="합판1-4"/>
      <sheetName val="고객별개발추진계획-1- (2)"/>
      <sheetName val="Sheet1"/>
      <sheetName val="수율현황"/>
      <sheetName val="요약"/>
    </sheetNames>
    <sheetDataSet>
      <sheetData sheetId="0" refreshError="1">
        <row r="6">
          <cell r="C6" t="str">
            <v>영화금속㈜</v>
          </cell>
        </row>
        <row r="7">
          <cell r="C7" t="str">
            <v>최인영</v>
          </cell>
        </row>
        <row r="16">
          <cell r="C16" t="str">
            <v>창원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사용상 주의사항"/>
      <sheetName val="회사정보"/>
      <sheetName val="총괄표"/>
      <sheetName val="요약대차대조표"/>
      <sheetName val="표준대차대조표(갑)"/>
      <sheetName val="표준대차대조표(을)"/>
      <sheetName val="표준대차대조표(병)"/>
      <sheetName val="요약손익계산서"/>
      <sheetName val="표준손익계산서(갑)"/>
      <sheetName val="표준손익계산서(을)"/>
      <sheetName val="부속명세서(갑)"/>
      <sheetName val="부속명세서(을)"/>
      <sheetName val="부속명세서(병)"/>
      <sheetName val="요약원가명세서"/>
      <sheetName val="요약이익잉여금"/>
      <sheetName val="1호"/>
      <sheetName val="2호"/>
      <sheetName val="3호"/>
      <sheetName val="4호"/>
      <sheetName val="5호"/>
      <sheetName val="6호"/>
      <sheetName val="6호의2"/>
      <sheetName val="7호"/>
      <sheetName val="8호(갑)"/>
      <sheetName val="8호(을)"/>
      <sheetName val="8호(병)"/>
      <sheetName val="8호부표1"/>
      <sheetName val="8호부표2"/>
      <sheetName val="8호부표3"/>
      <sheetName val="8호부표4"/>
      <sheetName val="8호부표5"/>
      <sheetName val="8호부표5의2"/>
      <sheetName val="8호부표6"/>
      <sheetName val="8호부표7"/>
      <sheetName val="8호부표8"/>
      <sheetName val="8호부표9"/>
      <sheetName val="9호"/>
      <sheetName val="10호(갑)"/>
      <sheetName val="10호(을)"/>
      <sheetName val="11호"/>
      <sheetName val="12호"/>
      <sheetName val="13호"/>
      <sheetName val="14호(갑) "/>
      <sheetName val="14호(을)"/>
      <sheetName val="15호"/>
      <sheetName val="15호부표1"/>
      <sheetName val="15호부표2"/>
      <sheetName val="16호"/>
      <sheetName val="16호의2"/>
      <sheetName val="17호"/>
      <sheetName val="18호"/>
      <sheetName val="19호(갑)"/>
      <sheetName val="19호(을)"/>
      <sheetName val="20호(1)"/>
      <sheetName val="20호(2)"/>
      <sheetName val="20호(3)"/>
      <sheetName val="21호"/>
      <sheetName val="22호"/>
      <sheetName val="23호(갑)"/>
      <sheetName val="23호(을)"/>
      <sheetName val="23호(병)"/>
      <sheetName val="24호"/>
      <sheetName val="25호"/>
      <sheetName val="일반정보"/>
    </sheetNames>
    <sheetDataSet>
      <sheetData sheetId="0"/>
      <sheetData sheetId="1">
        <row r="7">
          <cell r="C7" t="str">
            <v>전정도</v>
          </cell>
        </row>
        <row r="10">
          <cell r="C10" t="str">
            <v>590411-1851114</v>
          </cell>
        </row>
        <row r="11">
          <cell r="C11" t="str">
            <v>울산광역시 남구 성암동 20-1</v>
          </cell>
        </row>
        <row r="12">
          <cell r="C12" t="str">
            <v>제조,건설</v>
          </cell>
        </row>
        <row r="13">
          <cell r="C13" t="str">
            <v>산업기계외</v>
          </cell>
        </row>
        <row r="14">
          <cell r="C14" t="str">
            <v>052-228-5801</v>
          </cell>
        </row>
        <row r="17">
          <cell r="C17" t="str">
            <v>울산</v>
          </cell>
        </row>
        <row r="18">
          <cell r="C18" t="str">
            <v>중소기업</v>
          </cell>
        </row>
        <row r="21">
          <cell r="C21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형자산명세서"/>
      <sheetName val="무형자산명세서"/>
      <sheetName val="유무형자산명세서(2011.09)(ok)"/>
    </sheetNames>
    <definedNames>
      <definedName name="BlankMacro1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사항"/>
      <sheetName val="금융기관총괄"/>
      <sheetName val="금융거래총괄표"/>
      <sheetName val="작성예"/>
      <sheetName val="은행"/>
      <sheetName val="금융"/>
      <sheetName val="보험"/>
      <sheetName val="리스"/>
      <sheetName val="주소"/>
      <sheetName val="은행초과"/>
      <sheetName val="금융초과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9">
          <cell r="B59">
            <v>2003</v>
          </cell>
          <cell r="E59">
            <v>12</v>
          </cell>
          <cell r="G59">
            <v>31</v>
          </cell>
          <cell r="K59" t="str">
            <v>㈜옵토네스트</v>
          </cell>
        </row>
        <row r="100">
          <cell r="B100">
            <v>2003</v>
          </cell>
          <cell r="E100">
            <v>1</v>
          </cell>
          <cell r="G100">
            <v>1</v>
          </cell>
          <cell r="K100">
            <v>2003</v>
          </cell>
          <cell r="N100">
            <v>12</v>
          </cell>
          <cell r="P100">
            <v>31</v>
          </cell>
          <cell r="W100" t="str">
            <v>㈜옵토네스트</v>
          </cell>
        </row>
        <row r="119">
          <cell r="B119">
            <v>2003</v>
          </cell>
          <cell r="E119">
            <v>12</v>
          </cell>
          <cell r="G119">
            <v>31</v>
          </cell>
          <cell r="K119" t="str">
            <v>㈜옵토네스트</v>
          </cell>
        </row>
        <row r="160">
          <cell r="B160">
            <v>2003</v>
          </cell>
          <cell r="E160">
            <v>1</v>
          </cell>
          <cell r="G160">
            <v>1</v>
          </cell>
          <cell r="K160">
            <v>2003</v>
          </cell>
          <cell r="N160">
            <v>12</v>
          </cell>
          <cell r="P160">
            <v>31</v>
          </cell>
          <cell r="W160" t="str">
            <v>㈜옵토네스트</v>
          </cell>
        </row>
        <row r="178">
          <cell r="B178">
            <v>2003</v>
          </cell>
          <cell r="E178">
            <v>12</v>
          </cell>
          <cell r="G178">
            <v>31</v>
          </cell>
          <cell r="K178" t="str">
            <v>㈜옵토네스트</v>
          </cell>
        </row>
        <row r="207">
          <cell r="F207" t="str">
            <v>㈜옵토네스트</v>
          </cell>
          <cell r="P207">
            <v>2003</v>
          </cell>
          <cell r="S207">
            <v>12</v>
          </cell>
          <cell r="U207">
            <v>31</v>
          </cell>
        </row>
        <row r="238">
          <cell r="B238">
            <v>2003</v>
          </cell>
          <cell r="E238">
            <v>12</v>
          </cell>
          <cell r="G238">
            <v>31</v>
          </cell>
          <cell r="K238" t="str">
            <v>㈜옵토네스트</v>
          </cell>
        </row>
        <row r="267">
          <cell r="F267" t="str">
            <v>㈜옵토네스트</v>
          </cell>
          <cell r="P267">
            <v>2003</v>
          </cell>
          <cell r="S267">
            <v>12</v>
          </cell>
          <cell r="U267">
            <v>31</v>
          </cell>
        </row>
        <row r="298">
          <cell r="B298">
            <v>2003</v>
          </cell>
          <cell r="E298">
            <v>12</v>
          </cell>
          <cell r="G298">
            <v>31</v>
          </cell>
          <cell r="K298" t="str">
            <v>㈜옵토네스트</v>
          </cell>
        </row>
        <row r="323">
          <cell r="B323">
            <v>2003</v>
          </cell>
          <cell r="E323">
            <v>12</v>
          </cell>
          <cell r="G323">
            <v>31</v>
          </cell>
          <cell r="K323" t="str">
            <v>㈜옵토네스트</v>
          </cell>
        </row>
        <row r="358">
          <cell r="B358">
            <v>2003</v>
          </cell>
          <cell r="E358">
            <v>12</v>
          </cell>
          <cell r="G358">
            <v>31</v>
          </cell>
          <cell r="K358" t="str">
            <v>㈜옵토네스트</v>
          </cell>
        </row>
        <row r="383">
          <cell r="B383">
            <v>2003</v>
          </cell>
          <cell r="E383">
            <v>12</v>
          </cell>
          <cell r="G383">
            <v>31</v>
          </cell>
          <cell r="K383" t="str">
            <v>㈜옵토네스트</v>
          </cell>
        </row>
        <row r="418">
          <cell r="B418" t="str">
            <v>㈜옵토네스트</v>
          </cell>
          <cell r="N418">
            <v>2003</v>
          </cell>
          <cell r="Q418">
            <v>1</v>
          </cell>
          <cell r="S418">
            <v>1</v>
          </cell>
          <cell r="W418">
            <v>2003</v>
          </cell>
          <cell r="Z418">
            <v>12</v>
          </cell>
          <cell r="AB418">
            <v>31</v>
          </cell>
        </row>
        <row r="443">
          <cell r="E443" t="str">
            <v>㈜옵토네스트</v>
          </cell>
          <cell r="Z443">
            <v>2003</v>
          </cell>
          <cell r="AC443">
            <v>12</v>
          </cell>
          <cell r="AE443">
            <v>31</v>
          </cell>
        </row>
        <row r="478">
          <cell r="B478" t="str">
            <v>㈜옵토네스트</v>
          </cell>
          <cell r="N478">
            <v>2003</v>
          </cell>
          <cell r="Q478">
            <v>1</v>
          </cell>
          <cell r="S478">
            <v>1</v>
          </cell>
          <cell r="W478">
            <v>2003</v>
          </cell>
          <cell r="Z478">
            <v>12</v>
          </cell>
          <cell r="AB478">
            <v>31</v>
          </cell>
        </row>
        <row r="503">
          <cell r="E503" t="str">
            <v>㈜옵토네스트</v>
          </cell>
          <cell r="Z503">
            <v>2003</v>
          </cell>
          <cell r="AC503">
            <v>12</v>
          </cell>
          <cell r="AE503">
            <v>31</v>
          </cell>
        </row>
      </sheetData>
      <sheetData sheetId="5">
        <row r="59">
          <cell r="C59">
            <v>2003</v>
          </cell>
          <cell r="G59">
            <v>12</v>
          </cell>
          <cell r="I59">
            <v>31</v>
          </cell>
          <cell r="M59" t="str">
            <v>㈜옵토네스트</v>
          </cell>
        </row>
        <row r="116">
          <cell r="C116">
            <v>2003</v>
          </cell>
          <cell r="G116">
            <v>12</v>
          </cell>
          <cell r="I116">
            <v>31</v>
          </cell>
          <cell r="M116" t="str">
            <v>㈜옵토네스트</v>
          </cell>
        </row>
        <row r="212">
          <cell r="Z212">
            <v>2003</v>
          </cell>
          <cell r="AD212">
            <v>12</v>
          </cell>
          <cell r="AF212">
            <v>31</v>
          </cell>
        </row>
        <row r="269">
          <cell r="Z269">
            <v>2003</v>
          </cell>
          <cell r="AD269">
            <v>12</v>
          </cell>
          <cell r="AF269">
            <v>31</v>
          </cell>
        </row>
      </sheetData>
      <sheetData sheetId="6">
        <row r="59">
          <cell r="B59">
            <v>2003</v>
          </cell>
          <cell r="F59">
            <v>12</v>
          </cell>
          <cell r="H59">
            <v>31</v>
          </cell>
          <cell r="M59" t="str">
            <v>㈜옵토네스트</v>
          </cell>
        </row>
        <row r="73">
          <cell r="B73">
            <v>2003</v>
          </cell>
          <cell r="F73">
            <v>12</v>
          </cell>
          <cell r="H73">
            <v>31</v>
          </cell>
          <cell r="M73" t="str">
            <v>㈜옵토네스트</v>
          </cell>
        </row>
        <row r="87">
          <cell r="B87">
            <v>2003</v>
          </cell>
          <cell r="F87">
            <v>12</v>
          </cell>
          <cell r="H87">
            <v>31</v>
          </cell>
        </row>
        <row r="98">
          <cell r="B98">
            <v>2003</v>
          </cell>
          <cell r="F98">
            <v>12</v>
          </cell>
          <cell r="H98">
            <v>31</v>
          </cell>
          <cell r="M98" t="str">
            <v>㈜옵토네스트</v>
          </cell>
        </row>
        <row r="116">
          <cell r="B116">
            <v>2003</v>
          </cell>
          <cell r="F116">
            <v>12</v>
          </cell>
          <cell r="H116">
            <v>31</v>
          </cell>
          <cell r="M116" t="str">
            <v>㈜옵토네스트</v>
          </cell>
        </row>
        <row r="130">
          <cell r="B130">
            <v>2003</v>
          </cell>
          <cell r="F130">
            <v>12</v>
          </cell>
          <cell r="H130">
            <v>31</v>
          </cell>
          <cell r="M130" t="str">
            <v>㈜옵토네스트</v>
          </cell>
        </row>
        <row r="144">
          <cell r="B144">
            <v>2003</v>
          </cell>
          <cell r="F144">
            <v>12</v>
          </cell>
          <cell r="H144">
            <v>31</v>
          </cell>
        </row>
        <row r="155">
          <cell r="B155">
            <v>2003</v>
          </cell>
          <cell r="F155">
            <v>12</v>
          </cell>
          <cell r="H155">
            <v>31</v>
          </cell>
          <cell r="M155" t="str">
            <v>㈜옵토네스트</v>
          </cell>
        </row>
      </sheetData>
      <sheetData sheetId="7">
        <row r="60">
          <cell r="B60">
            <v>2003</v>
          </cell>
          <cell r="F60">
            <v>12</v>
          </cell>
          <cell r="H60">
            <v>31</v>
          </cell>
          <cell r="M60" t="str">
            <v>㈜옵토네스트</v>
          </cell>
        </row>
        <row r="74">
          <cell r="B74">
            <v>2003</v>
          </cell>
          <cell r="F74">
            <v>12</v>
          </cell>
          <cell r="H74">
            <v>31</v>
          </cell>
          <cell r="M74" t="str">
            <v>㈜옵토네스트</v>
          </cell>
        </row>
        <row r="90">
          <cell r="B90">
            <v>2003</v>
          </cell>
          <cell r="F90">
            <v>12</v>
          </cell>
          <cell r="H90">
            <v>31</v>
          </cell>
          <cell r="M90" t="str">
            <v>㈜옵토네스트</v>
          </cell>
        </row>
        <row r="108">
          <cell r="B108">
            <v>2003</v>
          </cell>
          <cell r="F108">
            <v>12</v>
          </cell>
          <cell r="H108">
            <v>31</v>
          </cell>
          <cell r="M108" t="str">
            <v>㈜옵토네스트</v>
          </cell>
        </row>
        <row r="122">
          <cell r="B122">
            <v>2003</v>
          </cell>
          <cell r="F122">
            <v>12</v>
          </cell>
          <cell r="H122">
            <v>31</v>
          </cell>
          <cell r="M122" t="str">
            <v>㈜옵토네스트</v>
          </cell>
        </row>
        <row r="138">
          <cell r="B138">
            <v>2003</v>
          </cell>
          <cell r="F138">
            <v>12</v>
          </cell>
          <cell r="H138">
            <v>31</v>
          </cell>
          <cell r="M138" t="str">
            <v>㈜옵토네스트</v>
          </cell>
        </row>
      </sheetData>
      <sheetData sheetId="8" refreshError="1"/>
      <sheetData sheetId="9" refreshError="1"/>
      <sheetData sheetId="1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공사기성"/>
      <sheetName val="기성수정 (옥수동)"/>
      <sheetName val="공사수입금기표현황"/>
      <sheetName val="공사수입금기표현황 (2)"/>
      <sheetName val="기표현황"/>
      <sheetName val="분양수입"/>
      <sheetName val="요약I.S (1차)"/>
      <sheetName val="요약I.S (1차) (2)"/>
      <sheetName val="Sheet1"/>
      <sheetName val="요약I.S(보고용)"/>
      <sheetName val="진행율(세무조정)"/>
      <sheetName val="진행율(세무조정) (2)"/>
      <sheetName val="진행율(반기)"/>
    </sheetNames>
    <sheetDataSet>
      <sheetData sheetId="0" refreshError="1"/>
      <sheetData sheetId="1">
        <row r="18">
          <cell r="O18">
            <v>1047351721</v>
          </cell>
          <cell r="P18">
            <v>4756739015</v>
          </cell>
          <cell r="Q18">
            <v>4259630200</v>
          </cell>
          <cell r="R18">
            <v>1085020379</v>
          </cell>
          <cell r="S18">
            <v>37668658</v>
          </cell>
          <cell r="T18">
            <v>1304191239</v>
          </cell>
        </row>
        <row r="19">
          <cell r="O19">
            <v>926837143</v>
          </cell>
          <cell r="P19">
            <v>13109458540</v>
          </cell>
          <cell r="Q19">
            <v>15228276740</v>
          </cell>
          <cell r="R19">
            <v>669905078</v>
          </cell>
          <cell r="S19">
            <v>-256932065</v>
          </cell>
          <cell r="T19">
            <v>0</v>
          </cell>
        </row>
        <row r="20">
          <cell r="O20" t="str">
            <v xml:space="preserve"> </v>
          </cell>
          <cell r="P20" t="str">
            <v xml:space="preserve"> </v>
          </cell>
          <cell r="Q20" t="str">
            <v xml:space="preserve"> </v>
          </cell>
          <cell r="R20" t="str">
            <v xml:space="preserve"> </v>
          </cell>
          <cell r="S20" t="str">
            <v xml:space="preserve"> </v>
          </cell>
          <cell r="T20" t="str">
            <v xml:space="preserve"> </v>
          </cell>
        </row>
        <row r="21">
          <cell r="O21">
            <v>834063</v>
          </cell>
          <cell r="P21">
            <v>3505591363</v>
          </cell>
          <cell r="Q21">
            <v>3504757300</v>
          </cell>
          <cell r="R21">
            <v>834063</v>
          </cell>
          <cell r="S21">
            <v>0</v>
          </cell>
          <cell r="T21">
            <v>1944463353</v>
          </cell>
        </row>
        <row r="22">
          <cell r="O22">
            <v>5400975901</v>
          </cell>
          <cell r="P22">
            <v>21702508067</v>
          </cell>
          <cell r="Q22">
            <v>17268164933</v>
          </cell>
          <cell r="R22">
            <v>4976398173</v>
          </cell>
          <cell r="S22">
            <v>-424577728</v>
          </cell>
          <cell r="T22">
            <v>0</v>
          </cell>
        </row>
        <row r="23">
          <cell r="O23">
            <v>447256441</v>
          </cell>
          <cell r="P23">
            <v>1763576512</v>
          </cell>
          <cell r="Q23">
            <v>1422222992</v>
          </cell>
          <cell r="R23">
            <v>482287280</v>
          </cell>
          <cell r="S23">
            <v>35030839</v>
          </cell>
          <cell r="T23">
            <v>299209728</v>
          </cell>
        </row>
        <row r="24">
          <cell r="O24">
            <v>1675492</v>
          </cell>
          <cell r="P24">
            <v>333653640</v>
          </cell>
          <cell r="Q24">
            <v>372925352</v>
          </cell>
          <cell r="R24">
            <v>62091920</v>
          </cell>
          <cell r="S24">
            <v>60416428</v>
          </cell>
          <cell r="T24">
            <v>0</v>
          </cell>
        </row>
        <row r="25"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119454545</v>
          </cell>
        </row>
        <row r="26">
          <cell r="O26">
            <v>222159649</v>
          </cell>
          <cell r="P26">
            <v>2409016285</v>
          </cell>
          <cell r="Q26">
            <v>2572772513</v>
          </cell>
          <cell r="R26">
            <v>261364293</v>
          </cell>
          <cell r="S26">
            <v>39204644</v>
          </cell>
          <cell r="T26">
            <v>2437343194</v>
          </cell>
        </row>
        <row r="27">
          <cell r="O27">
            <v>1708809</v>
          </cell>
          <cell r="P27">
            <v>254827477</v>
          </cell>
          <cell r="Q27">
            <v>321384073</v>
          </cell>
          <cell r="R27">
            <v>2169670</v>
          </cell>
          <cell r="S27">
            <v>460861</v>
          </cell>
          <cell r="T27">
            <v>121506257</v>
          </cell>
        </row>
        <row r="28">
          <cell r="O28">
            <v>341603482</v>
          </cell>
          <cell r="P28">
            <v>2637121325</v>
          </cell>
          <cell r="Q28">
            <v>2637601280</v>
          </cell>
          <cell r="R28">
            <v>372398720</v>
          </cell>
          <cell r="S28">
            <v>30795238</v>
          </cell>
          <cell r="T28">
            <v>0</v>
          </cell>
        </row>
        <row r="29">
          <cell r="O29">
            <v>4679355</v>
          </cell>
          <cell r="P29">
            <v>2241612917</v>
          </cell>
          <cell r="Q29">
            <v>3035696184</v>
          </cell>
          <cell r="R29">
            <v>120303816</v>
          </cell>
          <cell r="S29">
            <v>115624461</v>
          </cell>
          <cell r="T29">
            <v>0</v>
          </cell>
        </row>
        <row r="30">
          <cell r="O30" t="str">
            <v xml:space="preserve"> </v>
          </cell>
          <cell r="P30" t="str">
            <v xml:space="preserve"> </v>
          </cell>
          <cell r="Q30" t="str">
            <v xml:space="preserve"> </v>
          </cell>
          <cell r="R30" t="str">
            <v xml:space="preserve"> </v>
          </cell>
          <cell r="S30" t="str">
            <v xml:space="preserve"> </v>
          </cell>
          <cell r="T30" t="str">
            <v xml:space="preserve"> </v>
          </cell>
        </row>
        <row r="31">
          <cell r="O31">
            <v>2598945810</v>
          </cell>
          <cell r="P31">
            <v>7791085233</v>
          </cell>
          <cell r="Q31">
            <v>5413738526</v>
          </cell>
          <cell r="R31">
            <v>2709868113</v>
          </cell>
          <cell r="S31">
            <v>110922303</v>
          </cell>
          <cell r="T31">
            <v>9300766641</v>
          </cell>
        </row>
        <row r="32">
          <cell r="O32" t="str">
            <v xml:space="preserve"> </v>
          </cell>
          <cell r="P32" t="str">
            <v xml:space="preserve"> </v>
          </cell>
          <cell r="Q32" t="str">
            <v xml:space="preserve"> </v>
          </cell>
          <cell r="R32" t="str">
            <v xml:space="preserve"> </v>
          </cell>
          <cell r="S32" t="str">
            <v xml:space="preserve"> </v>
          </cell>
          <cell r="T32" t="str">
            <v xml:space="preserve"> </v>
          </cell>
        </row>
        <row r="33">
          <cell r="O33">
            <v>49159826</v>
          </cell>
          <cell r="P33">
            <v>71127198</v>
          </cell>
          <cell r="Q33">
            <v>27542307</v>
          </cell>
          <cell r="R33">
            <v>37094057</v>
          </cell>
          <cell r="S33">
            <v>-12065769</v>
          </cell>
          <cell r="T33">
            <v>0</v>
          </cell>
        </row>
        <row r="34">
          <cell r="O34" t="str">
            <v xml:space="preserve"> </v>
          </cell>
          <cell r="P34" t="str">
            <v xml:space="preserve"> </v>
          </cell>
          <cell r="Q34" t="str">
            <v xml:space="preserve"> </v>
          </cell>
          <cell r="R34" t="str">
            <v xml:space="preserve"> </v>
          </cell>
          <cell r="S34" t="str">
            <v xml:space="preserve"> </v>
          </cell>
          <cell r="T34" t="str">
            <v xml:space="preserve"> </v>
          </cell>
        </row>
        <row r="35">
          <cell r="O35">
            <v>7153486758</v>
          </cell>
          <cell r="P35">
            <v>12204160317</v>
          </cell>
          <cell r="Q35">
            <v>5959926204</v>
          </cell>
          <cell r="R35">
            <v>8441300489</v>
          </cell>
          <cell r="S35">
            <v>1287813731</v>
          </cell>
          <cell r="T35">
            <v>63663080355</v>
          </cell>
        </row>
        <row r="36">
          <cell r="O36" t="str">
            <v xml:space="preserve"> </v>
          </cell>
        </row>
        <row r="37">
          <cell r="O37">
            <v>2212762505</v>
          </cell>
          <cell r="P37">
            <v>5788686719</v>
          </cell>
          <cell r="Q37">
            <v>4243316979</v>
          </cell>
          <cell r="R37">
            <v>2230425889</v>
          </cell>
          <cell r="S37">
            <v>17663384</v>
          </cell>
          <cell r="T37">
            <v>11498044679</v>
          </cell>
        </row>
        <row r="38">
          <cell r="O38">
            <v>1456931710</v>
          </cell>
          <cell r="P38">
            <v>2790556024</v>
          </cell>
          <cell r="Q38">
            <v>1591934596</v>
          </cell>
          <cell r="R38">
            <v>1738084526</v>
          </cell>
          <cell r="S38">
            <v>281152816</v>
          </cell>
          <cell r="T38">
            <v>4374632173</v>
          </cell>
        </row>
        <row r="39">
          <cell r="O39">
            <v>168531149</v>
          </cell>
          <cell r="P39">
            <v>369574819</v>
          </cell>
          <cell r="Q39">
            <v>232621951</v>
          </cell>
          <cell r="R39">
            <v>195126682</v>
          </cell>
          <cell r="S39">
            <v>26595533</v>
          </cell>
          <cell r="T39">
            <v>743321367</v>
          </cell>
        </row>
        <row r="40">
          <cell r="O40">
            <v>298362307</v>
          </cell>
          <cell r="P40">
            <v>844085541</v>
          </cell>
          <cell r="Q40">
            <v>606359149</v>
          </cell>
          <cell r="R40">
            <v>331513674</v>
          </cell>
          <cell r="S40">
            <v>33151367</v>
          </cell>
          <cell r="T40">
            <v>5014854450</v>
          </cell>
        </row>
        <row r="41">
          <cell r="O41">
            <v>195290329</v>
          </cell>
          <cell r="P41">
            <v>348771590</v>
          </cell>
          <cell r="Q41">
            <v>153481261</v>
          </cell>
          <cell r="R41">
            <v>195290329</v>
          </cell>
          <cell r="S41">
            <v>0</v>
          </cell>
          <cell r="T41">
            <v>651228410</v>
          </cell>
        </row>
        <row r="42">
          <cell r="O42">
            <v>21714387</v>
          </cell>
          <cell r="P42">
            <v>73017623</v>
          </cell>
          <cell r="Q42">
            <v>53219124</v>
          </cell>
          <cell r="R42">
            <v>22525298</v>
          </cell>
          <cell r="S42">
            <v>810911</v>
          </cell>
          <cell r="T42">
            <v>8578435578</v>
          </cell>
        </row>
        <row r="43">
          <cell r="O43">
            <v>328872664</v>
          </cell>
          <cell r="P43">
            <v>336921154</v>
          </cell>
          <cell r="Q43">
            <v>10371887</v>
          </cell>
          <cell r="R43">
            <v>423809941</v>
          </cell>
          <cell r="S43">
            <v>94937277</v>
          </cell>
          <cell r="T43">
            <v>15943118172</v>
          </cell>
        </row>
        <row r="44">
          <cell r="O44">
            <v>25229703</v>
          </cell>
          <cell r="P44">
            <v>25229703</v>
          </cell>
          <cell r="Q44">
            <v>0</v>
          </cell>
          <cell r="R44">
            <v>28861000</v>
          </cell>
          <cell r="S44">
            <v>3631297</v>
          </cell>
          <cell r="T44">
            <v>0</v>
          </cell>
        </row>
        <row r="45">
          <cell r="O45">
            <v>81219576</v>
          </cell>
          <cell r="P45">
            <v>81219576</v>
          </cell>
          <cell r="Q45">
            <v>0</v>
          </cell>
          <cell r="R45">
            <v>137768182</v>
          </cell>
          <cell r="S45">
            <v>56548606</v>
          </cell>
          <cell r="T45">
            <v>0</v>
          </cell>
        </row>
        <row r="46">
          <cell r="O46">
            <v>403342302</v>
          </cell>
          <cell r="P46">
            <v>403342302</v>
          </cell>
          <cell r="Q46">
            <v>0</v>
          </cell>
          <cell r="R46">
            <v>518447806</v>
          </cell>
          <cell r="S46">
            <v>115105504</v>
          </cell>
          <cell r="T46">
            <v>24095188558</v>
          </cell>
        </row>
        <row r="47">
          <cell r="O47">
            <v>92535925</v>
          </cell>
          <cell r="P47">
            <v>92535925</v>
          </cell>
          <cell r="Q47">
            <v>0</v>
          </cell>
          <cell r="R47">
            <v>106397515</v>
          </cell>
          <cell r="S47">
            <v>13861590</v>
          </cell>
          <cell r="T47">
            <v>2867862485</v>
          </cell>
        </row>
        <row r="48">
          <cell r="O48">
            <v>196689574</v>
          </cell>
          <cell r="P48">
            <v>196689574</v>
          </cell>
          <cell r="Q48">
            <v>0</v>
          </cell>
          <cell r="R48">
            <v>222751500</v>
          </cell>
          <cell r="S48">
            <v>26061926</v>
          </cell>
          <cell r="T48">
            <v>13434637580</v>
          </cell>
        </row>
        <row r="49">
          <cell r="O49">
            <v>8475367</v>
          </cell>
          <cell r="P49">
            <v>8475367</v>
          </cell>
          <cell r="Q49">
            <v>0</v>
          </cell>
          <cell r="R49">
            <v>9631099</v>
          </cell>
          <cell r="S49">
            <v>1155732</v>
          </cell>
          <cell r="T49">
            <v>2317768901</v>
          </cell>
        </row>
        <row r="50">
          <cell r="O50">
            <v>7618875</v>
          </cell>
          <cell r="P50">
            <v>7618875</v>
          </cell>
          <cell r="Q50">
            <v>0</v>
          </cell>
          <cell r="R50">
            <v>7936328</v>
          </cell>
          <cell r="S50">
            <v>317453</v>
          </cell>
          <cell r="T50">
            <v>2479663672</v>
          </cell>
        </row>
        <row r="51">
          <cell r="O51">
            <v>51726002</v>
          </cell>
          <cell r="P51">
            <v>51726002</v>
          </cell>
          <cell r="Q51">
            <v>0</v>
          </cell>
          <cell r="R51">
            <v>55619357</v>
          </cell>
          <cell r="S51">
            <v>3893355</v>
          </cell>
          <cell r="T51">
            <v>9536016071</v>
          </cell>
        </row>
        <row r="52">
          <cell r="O52">
            <v>76759380</v>
          </cell>
          <cell r="P52">
            <v>76759380</v>
          </cell>
          <cell r="Q52">
            <v>0</v>
          </cell>
          <cell r="R52">
            <v>87226568</v>
          </cell>
          <cell r="S52">
            <v>10467188</v>
          </cell>
          <cell r="T52">
            <v>10162773432</v>
          </cell>
        </row>
        <row r="53"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 t="str">
            <v xml:space="preserve"> </v>
          </cell>
          <cell r="T53">
            <v>0</v>
          </cell>
        </row>
        <row r="54">
          <cell r="O54">
            <v>39838420322</v>
          </cell>
          <cell r="P54">
            <v>167594162427</v>
          </cell>
          <cell r="Q54">
            <v>148239239228</v>
          </cell>
          <cell r="R54">
            <v>40011884779</v>
          </cell>
          <cell r="S54">
            <v>173464457</v>
          </cell>
          <cell r="T54">
            <v>207860057382</v>
          </cell>
        </row>
        <row r="55">
          <cell r="O55">
            <v>5520956040</v>
          </cell>
          <cell r="P55">
            <v>26082614795</v>
          </cell>
          <cell r="Q55">
            <v>23025373745</v>
          </cell>
          <cell r="R55">
            <v>6182481568</v>
          </cell>
          <cell r="S55">
            <v>661525528</v>
          </cell>
          <cell r="T55">
            <v>1067144687</v>
          </cell>
        </row>
        <row r="56">
          <cell r="O56">
            <v>1950801861</v>
          </cell>
          <cell r="P56">
            <v>1950801861</v>
          </cell>
          <cell r="Q56">
            <v>0</v>
          </cell>
          <cell r="R56">
            <v>2075321128</v>
          </cell>
          <cell r="S56">
            <v>124519267</v>
          </cell>
          <cell r="T56">
            <v>13924678872</v>
          </cell>
        </row>
        <row r="57">
          <cell r="O57">
            <v>1106912435</v>
          </cell>
          <cell r="P57">
            <v>1106912435</v>
          </cell>
          <cell r="Q57">
            <v>0</v>
          </cell>
          <cell r="R57">
            <v>1184984695</v>
          </cell>
          <cell r="S57">
            <v>78072260</v>
          </cell>
          <cell r="T57">
            <v>5315015305</v>
          </cell>
        </row>
        <row r="58">
          <cell r="O58">
            <v>8578670336</v>
          </cell>
          <cell r="P58">
            <v>29140329091</v>
          </cell>
          <cell r="Q58">
            <v>23025373745</v>
          </cell>
          <cell r="R58">
            <v>9442787391</v>
          </cell>
          <cell r="S58">
            <v>864117055</v>
          </cell>
          <cell r="T58">
            <v>20306838864</v>
          </cell>
        </row>
        <row r="59">
          <cell r="O59">
            <v>48417090658</v>
          </cell>
          <cell r="P59">
            <v>196734491518</v>
          </cell>
          <cell r="Q59">
            <v>171264612973</v>
          </cell>
          <cell r="R59">
            <v>49454672170</v>
          </cell>
          <cell r="S59">
            <v>1037581512</v>
          </cell>
          <cell r="T59">
            <v>228166896246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01A"/>
      <sheetName val="1100"/>
      <sheetName val="1100A"/>
      <sheetName val="1200"/>
      <sheetName val="1200-1"/>
      <sheetName val="1300"/>
      <sheetName val="Sheet1"/>
      <sheetName val="Sheet2"/>
      <sheetName val="Sheet3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TODO"/>
      <sheetName val="RATE"/>
      <sheetName val="COBS"/>
      <sheetName val="COIS"/>
      <sheetName val="S&amp;A.G&amp;S"/>
      <sheetName val="GAAP sum"/>
      <sheetName val="98gaap diff"/>
    </sheetNames>
    <sheetDataSet>
      <sheetData sheetId="0"/>
      <sheetData sheetId="1"/>
      <sheetData sheetId="2"/>
      <sheetData sheetId="3">
        <row r="4">
          <cell r="G4">
            <v>4113300409</v>
          </cell>
        </row>
        <row r="19">
          <cell r="G19">
            <v>770587970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총괄표"/>
      <sheetName val="1호"/>
      <sheetName val="2호"/>
      <sheetName val="2호의2"/>
      <sheetName val="2호의3"/>
      <sheetName val="2호의4"/>
      <sheetName val="3호"/>
      <sheetName val="4호"/>
      <sheetName val="5호"/>
      <sheetName val="5호부표"/>
      <sheetName val="6호"/>
      <sheetName val="7호"/>
      <sheetName val="8호"/>
      <sheetName val="9호"/>
      <sheetName val="9호의2"/>
      <sheetName val="10호"/>
      <sheetName val="11호"/>
      <sheetName val="12호"/>
      <sheetName val="13호"/>
      <sheetName val="14호"/>
      <sheetName val="15호"/>
      <sheetName val="16호"/>
      <sheetName val="17호"/>
      <sheetName val="18호"/>
      <sheetName val="19호"/>
      <sheetName val="20호"/>
      <sheetName val="20호부표"/>
      <sheetName val="21호"/>
      <sheetName val="21호부표"/>
      <sheetName val="22호"/>
      <sheetName val="23호"/>
      <sheetName val="24호"/>
      <sheetName val="25호"/>
      <sheetName val="26호"/>
      <sheetName val="26호의2"/>
      <sheetName val="27호"/>
      <sheetName val="28호"/>
      <sheetName val="29호"/>
      <sheetName val="30호"/>
      <sheetName val="31호"/>
      <sheetName val="32호"/>
      <sheetName val="33호"/>
      <sheetName val="33호의2"/>
      <sheetName val="34호"/>
      <sheetName val="35호"/>
      <sheetName val="36호"/>
      <sheetName val="37호"/>
      <sheetName val="37호의2"/>
      <sheetName val="38호"/>
      <sheetName val="39호"/>
      <sheetName val="40호"/>
      <sheetName val="40호의2"/>
      <sheetName val="41호"/>
      <sheetName val="42호"/>
      <sheetName val="42호의2"/>
      <sheetName val="43호"/>
      <sheetName val="44호"/>
      <sheetName val="45호"/>
      <sheetName val="46호"/>
      <sheetName val="46호의2"/>
      <sheetName val="46호의2-뒷"/>
      <sheetName val="46호의3"/>
      <sheetName val="46호의3-뒷"/>
      <sheetName val="47호"/>
      <sheetName val="48호"/>
      <sheetName val="49호"/>
      <sheetName val="50호"/>
      <sheetName val="51호"/>
      <sheetName val="52호"/>
      <sheetName val="53호"/>
      <sheetName val="54호"/>
      <sheetName val="55호"/>
      <sheetName val="56호"/>
      <sheetName val="57호"/>
      <sheetName val="58호"/>
      <sheetName val="58호의2"/>
      <sheetName val="59호"/>
      <sheetName val="60호"/>
      <sheetName val="60호의2"/>
      <sheetName val="60호의3"/>
      <sheetName val="60호의4"/>
      <sheetName val="61호"/>
      <sheetName val="62호"/>
      <sheetName val="63호"/>
      <sheetName val="63호의2"/>
      <sheetName val="63호의3"/>
      <sheetName val="64호의2"/>
      <sheetName val="64호"/>
      <sheetName val="65호"/>
      <sheetName val="66호"/>
      <sheetName val="66호의2"/>
      <sheetName val="67호"/>
      <sheetName val="68호"/>
      <sheetName val="69호"/>
      <sheetName val="70호"/>
      <sheetName val="71호의1"/>
      <sheetName val="71호의2"/>
      <sheetName val="72호"/>
      <sheetName val="73호"/>
      <sheetName val="74호의(1)"/>
      <sheetName val="74호의(2)"/>
      <sheetName val="74호의2"/>
      <sheetName val="75호"/>
      <sheetName val="76호"/>
      <sheetName val="78호"/>
      <sheetName val="79호"/>
      <sheetName val="80호"/>
      <sheetName val="80호 (2)"/>
      <sheetName val="81호"/>
      <sheetName val="81호 (2)"/>
      <sheetName val="82호"/>
      <sheetName val="83호"/>
      <sheetName val="83호 (2)"/>
      <sheetName val="84호"/>
      <sheetName val="조특세"/>
    </sheetNames>
    <sheetDataSet>
      <sheetData sheetId="0">
        <row r="11">
          <cell r="C11" t="str">
            <v>123456-1456789</v>
          </cell>
        </row>
        <row r="12">
          <cell r="C12" t="str">
            <v>(02)123-4567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총괄표"/>
      <sheetName val="요약대차대조표"/>
      <sheetName val="요약손익계산서"/>
      <sheetName val="요약원가명세서"/>
      <sheetName val="요약이익잉여금"/>
      <sheetName val="1호"/>
      <sheetName val="중간예납신고"/>
      <sheetName val="1호2"/>
      <sheetName val="3호"/>
      <sheetName val="2호부표"/>
      <sheetName val="3(1)호(갑)"/>
      <sheetName val="3(1)호(을)"/>
      <sheetName val="3(1)호부표1"/>
      <sheetName val="3(1)호부표2"/>
      <sheetName val="3(1)호부표3"/>
      <sheetName val="3(1)호부표4"/>
      <sheetName val="3(1)호부표5"/>
      <sheetName val="3(1)호부표6"/>
      <sheetName val="3(1)호부표7"/>
      <sheetName val="3(2)호"/>
      <sheetName val="4호"/>
      <sheetName val="5호"/>
      <sheetName val="5호2(갑)"/>
      <sheetName val="5호2(을)"/>
      <sheetName val="15호"/>
      <sheetName val="15호부표1"/>
      <sheetName val="15호부표2"/>
      <sheetName val="16호"/>
      <sheetName val="17호"/>
      <sheetName val="6-2호"/>
      <sheetName val="23호(갑)"/>
      <sheetName val="23호(을)"/>
      <sheetName val="32호 "/>
      <sheetName val="33호"/>
      <sheetName val="34호"/>
      <sheetName val="6-4호(병)"/>
      <sheetName val="40호(갑)"/>
      <sheetName val="40호(을)"/>
      <sheetName val="39호"/>
      <sheetName val="21호"/>
      <sheetName val="22호"/>
      <sheetName val="26호(갑)"/>
      <sheetName val="26호(을)"/>
      <sheetName val="6-14호(병)"/>
      <sheetName val="7호"/>
      <sheetName val="50호(갑)"/>
      <sheetName val="50호(을)"/>
      <sheetName val="10(1)호"/>
      <sheetName val="10(2)호"/>
      <sheetName val="10(3)호"/>
      <sheetName val="10(3)부표"/>
      <sheetName val="11호"/>
      <sheetName val="12호"/>
      <sheetName val="14(1)(갑)"/>
      <sheetName val="60호(갑)"/>
      <sheetName val="60호(을)"/>
      <sheetName val="국영"/>
      <sheetName val="연차1"/>
      <sheetName val="경비분류(1)"/>
      <sheetName val="12월상여"/>
      <sheetName val="아파트진행률"/>
    </sheetNames>
    <sheetDataSet>
      <sheetData sheetId="0">
        <row r="8">
          <cell r="C8" t="str">
            <v>609-81-12296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XXXXXXXXXXXXXXXXXXX"/>
      <sheetName val="협력작업"/>
      <sheetName val="합손"/>
      <sheetName val="손익"/>
      <sheetName val="건설수입"/>
      <sheetName val="부문손익"/>
      <sheetName val="총원가"/>
      <sheetName val="감가상각"/>
      <sheetName val="결산대체"/>
      <sheetName val="인건비"/>
      <sheetName val="98월비용"/>
      <sheetName val="손익1"/>
      <sheetName val="실적"/>
      <sheetName val="합산손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20호(1)"/>
      <sheetName val="20호(2)"/>
      <sheetName val="20호(3)"/>
      <sheetName val="26호(갑)"/>
      <sheetName val="26호(을)"/>
      <sheetName val="35호"/>
      <sheetName val="39호"/>
      <sheetName val="48호"/>
      <sheetName val="51호"/>
      <sheetName val="54호(갑)"/>
      <sheetName val="54호(을)"/>
      <sheetName val="63호"/>
    </sheetNames>
    <sheetDataSet>
      <sheetData sheetId="0" refreshError="1">
        <row r="6">
          <cell r="C6" t="str">
            <v>㈜삼부커뮤닉스</v>
          </cell>
        </row>
        <row r="8">
          <cell r="C8" t="str">
            <v>112-81-29813</v>
          </cell>
        </row>
        <row r="15">
          <cell r="C15">
            <v>36161</v>
          </cell>
        </row>
        <row r="16">
          <cell r="C16">
            <v>36525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PBEXqueries"/>
      <sheetName val="SAPBEXfilters"/>
      <sheetName val="브랜드계층구조"/>
      <sheetName val="시판금액"/>
      <sheetName val="시판금액Chart"/>
      <sheetName val="시판비율"/>
      <sheetName val="시판비율Chart"/>
      <sheetName val="방판금액"/>
      <sheetName val="방판금액Chart"/>
      <sheetName val="방판비율"/>
      <sheetName val="방판비율Chart"/>
      <sheetName val="MassBeauty금액"/>
      <sheetName val="MassBeauty금액Chart"/>
      <sheetName val="MassBeauty비율"/>
      <sheetName val="MassBeauty비율Chart"/>
      <sheetName val="건강금액"/>
      <sheetName val="건강금액Chart"/>
      <sheetName val="건강비율"/>
      <sheetName val="건강비율Chart"/>
      <sheetName val="손익항목표"/>
      <sheetName val="질의(금액)참조"/>
      <sheetName val="질의(금액)"/>
      <sheetName val="질의(비율)참조"/>
      <sheetName val="질의(비율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2">
          <cell r="C2" t="str">
            <v>매출액</v>
          </cell>
          <cell r="D2">
            <v>1</v>
          </cell>
          <cell r="E2">
            <v>7</v>
          </cell>
          <cell r="F2">
            <v>13</v>
          </cell>
          <cell r="G2">
            <v>19</v>
          </cell>
        </row>
        <row r="3">
          <cell r="C3" t="str">
            <v>매출수량</v>
          </cell>
          <cell r="D3">
            <v>23</v>
          </cell>
          <cell r="E3">
            <v>29</v>
          </cell>
          <cell r="F3">
            <v>35</v>
          </cell>
          <cell r="G3">
            <v>41</v>
          </cell>
        </row>
        <row r="4">
          <cell r="C4" t="str">
            <v>매출원가</v>
          </cell>
          <cell r="D4">
            <v>45</v>
          </cell>
          <cell r="E4">
            <v>51</v>
          </cell>
          <cell r="F4">
            <v>57</v>
          </cell>
          <cell r="G4">
            <v>63</v>
          </cell>
        </row>
        <row r="5">
          <cell r="C5" t="str">
            <v>매출총이익</v>
          </cell>
          <cell r="D5">
            <v>67</v>
          </cell>
          <cell r="E5">
            <v>73</v>
          </cell>
          <cell r="F5">
            <v>79</v>
          </cell>
          <cell r="G5">
            <v>85</v>
          </cell>
        </row>
        <row r="6">
          <cell r="C6" t="str">
            <v>광고비</v>
          </cell>
          <cell r="D6">
            <v>89</v>
          </cell>
          <cell r="E6">
            <v>95</v>
          </cell>
          <cell r="F6">
            <v>101</v>
          </cell>
          <cell r="G6">
            <v>107</v>
          </cell>
        </row>
        <row r="7">
          <cell r="C7" t="str">
            <v>물류비</v>
          </cell>
          <cell r="D7">
            <v>111</v>
          </cell>
          <cell r="E7">
            <v>117</v>
          </cell>
          <cell r="F7">
            <v>123</v>
          </cell>
          <cell r="G7">
            <v>129</v>
          </cell>
        </row>
        <row r="8">
          <cell r="C8" t="str">
            <v>판관비계</v>
          </cell>
          <cell r="D8">
            <v>133</v>
          </cell>
          <cell r="E8">
            <v>139</v>
          </cell>
          <cell r="F8">
            <v>145</v>
          </cell>
          <cell r="G8">
            <v>151</v>
          </cell>
        </row>
        <row r="9">
          <cell r="C9" t="str">
            <v>영업이익</v>
          </cell>
          <cell r="D9">
            <v>155</v>
          </cell>
          <cell r="E9">
            <v>161</v>
          </cell>
          <cell r="F9">
            <v>167</v>
          </cell>
          <cell r="G9">
            <v>173</v>
          </cell>
        </row>
      </sheetData>
      <sheetData sheetId="20">
        <row r="14">
          <cell r="C14">
            <v>8893.9494410000007</v>
          </cell>
          <cell r="D14">
            <v>10290.200359</v>
          </cell>
          <cell r="E14">
            <v>9766.3106750000006</v>
          </cell>
          <cell r="F14">
            <v>10373.229608</v>
          </cell>
          <cell r="G14">
            <v>10219.418138000001</v>
          </cell>
          <cell r="H14">
            <v>7917.8199299999997</v>
          </cell>
          <cell r="I14">
            <v>7481.072134</v>
          </cell>
          <cell r="J14">
            <v>6941.208995</v>
          </cell>
          <cell r="K14">
            <v>11659.359966</v>
          </cell>
          <cell r="L14">
            <v>10197.119532000001</v>
          </cell>
          <cell r="M14">
            <v>9265.9223590000001</v>
          </cell>
          <cell r="N14">
            <v>8849.4763309999998</v>
          </cell>
        </row>
        <row r="15">
          <cell r="C15">
            <v>8066.7128309999998</v>
          </cell>
          <cell r="D15">
            <v>7626.2730590000001</v>
          </cell>
          <cell r="E15">
            <v>6550.9925290000001</v>
          </cell>
          <cell r="F15">
            <v>5608.8333620000003</v>
          </cell>
          <cell r="G15">
            <v>6034.905917</v>
          </cell>
          <cell r="H15">
            <v>5711.5623640000003</v>
          </cell>
          <cell r="I15">
            <v>4729.1285680000001</v>
          </cell>
          <cell r="J15">
            <v>3953.6006160000002</v>
          </cell>
          <cell r="K15">
            <v>6462.0455789999996</v>
          </cell>
          <cell r="L15">
            <v>6255.9101520000004</v>
          </cell>
          <cell r="M15">
            <v>7379.1886119999999</v>
          </cell>
          <cell r="N15">
            <v>7063.5217009999997</v>
          </cell>
        </row>
        <row r="16">
          <cell r="C16">
            <v>2183.781371</v>
          </cell>
          <cell r="D16">
            <v>2151.8615300000001</v>
          </cell>
          <cell r="E16">
            <v>1454.8194920000001</v>
          </cell>
          <cell r="F16">
            <v>1559.298256</v>
          </cell>
          <cell r="G16">
            <v>1786.566638</v>
          </cell>
          <cell r="H16">
            <v>1380.8942440000001</v>
          </cell>
          <cell r="I16">
            <v>1252.9940939999999</v>
          </cell>
          <cell r="J16">
            <v>1263.6247000000001</v>
          </cell>
          <cell r="K16">
            <v>1110.02864</v>
          </cell>
          <cell r="L16">
            <v>1224.4938279999999</v>
          </cell>
          <cell r="M16">
            <v>1182.323815</v>
          </cell>
          <cell r="N16">
            <v>840.32850199999996</v>
          </cell>
        </row>
        <row r="17">
          <cell r="C17">
            <v>1729.2676220000001</v>
          </cell>
          <cell r="D17">
            <v>1782.478883</v>
          </cell>
          <cell r="E17">
            <v>1081.241278</v>
          </cell>
          <cell r="F17">
            <v>1190.508701</v>
          </cell>
          <cell r="G17">
            <v>1431.4314690000001</v>
          </cell>
          <cell r="H17">
            <v>1187.026732</v>
          </cell>
          <cell r="I17">
            <v>950.71142099999997</v>
          </cell>
          <cell r="J17">
            <v>904.26297599999998</v>
          </cell>
          <cell r="K17">
            <v>1524.820872</v>
          </cell>
          <cell r="L17">
            <v>1125.4222769999999</v>
          </cell>
          <cell r="M17">
            <v>1105.5110930000001</v>
          </cell>
          <cell r="N17">
            <v>1555.3602880000001</v>
          </cell>
        </row>
        <row r="18">
          <cell r="C18">
            <v>27097.259309000001</v>
          </cell>
          <cell r="D18">
            <v>31885.022400000002</v>
          </cell>
          <cell r="E18">
            <v>32633.725081000001</v>
          </cell>
          <cell r="F18">
            <v>28986.563779</v>
          </cell>
          <cell r="G18">
            <v>35822.589564000002</v>
          </cell>
          <cell r="H18">
            <v>32148.049416000002</v>
          </cell>
          <cell r="I18">
            <v>17490.364474999998</v>
          </cell>
          <cell r="J18">
            <v>22050.926189999998</v>
          </cell>
          <cell r="K18">
            <v>26570.931901</v>
          </cell>
          <cell r="L18">
            <v>27410.706872999999</v>
          </cell>
          <cell r="M18">
            <v>26359.285875000001</v>
          </cell>
          <cell r="N18">
            <v>21628.908415999998</v>
          </cell>
        </row>
        <row r="19">
          <cell r="C19">
            <v>39463.059526999998</v>
          </cell>
          <cell r="D19">
            <v>38978.455175000003</v>
          </cell>
          <cell r="E19">
            <v>37594.545399000002</v>
          </cell>
          <cell r="F19">
            <v>38385.672314000003</v>
          </cell>
          <cell r="G19">
            <v>42298.832850999999</v>
          </cell>
          <cell r="H19">
            <v>25923.857058000001</v>
          </cell>
          <cell r="I19">
            <v>24896.341607999999</v>
          </cell>
          <cell r="J19">
            <v>33850.882063999998</v>
          </cell>
          <cell r="K19">
            <v>44288.440321000002</v>
          </cell>
          <cell r="L19">
            <v>36124.535996999999</v>
          </cell>
          <cell r="M19">
            <v>37355.405445999997</v>
          </cell>
          <cell r="N19">
            <v>29671.70853</v>
          </cell>
        </row>
        <row r="20">
          <cell r="C20">
            <v>2974.2032600000002</v>
          </cell>
          <cell r="D20">
            <v>3389.9849159999999</v>
          </cell>
          <cell r="E20">
            <v>2416.0981550000001</v>
          </cell>
          <cell r="F20">
            <v>3579.817618</v>
          </cell>
          <cell r="G20">
            <v>3198.5722959999998</v>
          </cell>
          <cell r="H20">
            <v>2154.5442950000001</v>
          </cell>
          <cell r="I20">
            <v>1332.055374</v>
          </cell>
          <cell r="J20">
            <v>1568.819444</v>
          </cell>
          <cell r="K20">
            <v>3087.2871610000002</v>
          </cell>
          <cell r="L20">
            <v>3458.6796210000002</v>
          </cell>
          <cell r="M20">
            <v>3728.1608059999999</v>
          </cell>
          <cell r="N20">
            <v>2227.3686950000001</v>
          </cell>
        </row>
        <row r="21">
          <cell r="C21">
            <v>8246.4783779999998</v>
          </cell>
          <cell r="D21">
            <v>3138.3095290000001</v>
          </cell>
          <cell r="E21">
            <v>4980.4323420000001</v>
          </cell>
          <cell r="F21">
            <v>7887.9524520000004</v>
          </cell>
          <cell r="G21">
            <v>4527.4223929999998</v>
          </cell>
          <cell r="H21">
            <v>7233.8077789999998</v>
          </cell>
          <cell r="I21">
            <v>26105.775364000001</v>
          </cell>
          <cell r="J21">
            <v>4030.4423449999999</v>
          </cell>
          <cell r="K21">
            <v>2954.7237089999999</v>
          </cell>
          <cell r="L21">
            <v>5933.3205180000004</v>
          </cell>
          <cell r="M21">
            <v>6906.1993890000003</v>
          </cell>
          <cell r="N21">
            <v>2617.5101060000002</v>
          </cell>
        </row>
        <row r="22">
          <cell r="C22">
            <v>1079.639709</v>
          </cell>
          <cell r="D22">
            <v>1052.201309</v>
          </cell>
          <cell r="E22">
            <v>1650.5559949999999</v>
          </cell>
          <cell r="F22">
            <v>1363.5526829999999</v>
          </cell>
          <cell r="G22">
            <v>1047.0766120000001</v>
          </cell>
          <cell r="H22">
            <v>1120.26331</v>
          </cell>
          <cell r="I22">
            <v>1006.506647</v>
          </cell>
          <cell r="J22">
            <v>1103.9310820000001</v>
          </cell>
          <cell r="K22">
            <v>756.33191899999997</v>
          </cell>
          <cell r="L22">
            <v>1104.149351</v>
          </cell>
          <cell r="M22">
            <v>880.93631300000004</v>
          </cell>
          <cell r="N22">
            <v>878.07869000000005</v>
          </cell>
        </row>
        <row r="23">
          <cell r="C23">
            <v>2330.1843410000001</v>
          </cell>
          <cell r="D23">
            <v>2274.0894039999998</v>
          </cell>
          <cell r="E23">
            <v>1772.9602359999999</v>
          </cell>
          <cell r="F23">
            <v>1955.1287440000001</v>
          </cell>
          <cell r="G23">
            <v>2428.263708</v>
          </cell>
          <cell r="H23">
            <v>1971.152069</v>
          </cell>
          <cell r="I23">
            <v>1865.129696</v>
          </cell>
          <cell r="J23">
            <v>1315.0120119999999</v>
          </cell>
          <cell r="K23">
            <v>2288.8868459999999</v>
          </cell>
          <cell r="L23">
            <v>2291.3753040000001</v>
          </cell>
          <cell r="M23">
            <v>2139.6756500000001</v>
          </cell>
          <cell r="N23">
            <v>1956.776838</v>
          </cell>
        </row>
        <row r="24">
          <cell r="C24">
            <v>1143.3128630000001</v>
          </cell>
          <cell r="D24">
            <v>785.37807199999997</v>
          </cell>
          <cell r="E24">
            <v>992.80051800000001</v>
          </cell>
          <cell r="F24">
            <v>1177.7423209999999</v>
          </cell>
          <cell r="G24">
            <v>1434.3366289999999</v>
          </cell>
          <cell r="H24">
            <v>1170.2982609999999</v>
          </cell>
          <cell r="I24">
            <v>1186.2104469999999</v>
          </cell>
          <cell r="J24">
            <v>1222.8308830000001</v>
          </cell>
          <cell r="K24">
            <v>1014.56141</v>
          </cell>
          <cell r="L24">
            <v>1078.2771439999999</v>
          </cell>
          <cell r="M24">
            <v>1197.7725089999999</v>
          </cell>
          <cell r="N24">
            <v>849.31263999999999</v>
          </cell>
        </row>
        <row r="25">
          <cell r="C25">
            <v>2755.901402</v>
          </cell>
          <cell r="D25">
            <v>1901.0561620000001</v>
          </cell>
          <cell r="E25">
            <v>2479.5507269999998</v>
          </cell>
          <cell r="F25">
            <v>2396.7074769999999</v>
          </cell>
          <cell r="G25">
            <v>2450.123454</v>
          </cell>
          <cell r="H25">
            <v>2860.7040139999999</v>
          </cell>
          <cell r="I25">
            <v>3213.4596449999999</v>
          </cell>
          <cell r="J25">
            <v>3766.7288859999999</v>
          </cell>
          <cell r="K25">
            <v>2952.3254870000001</v>
          </cell>
          <cell r="L25">
            <v>2909.2847069999998</v>
          </cell>
          <cell r="M25">
            <v>2917.2153069999999</v>
          </cell>
          <cell r="N25">
            <v>2655.4480699999999</v>
          </cell>
        </row>
        <row r="26">
          <cell r="C26">
            <v>-2.0238779999999998</v>
          </cell>
          <cell r="D26">
            <v>0.27305499999999999</v>
          </cell>
          <cell r="E26">
            <v>-0.65102499999999996</v>
          </cell>
          <cell r="F26">
            <v>-1.5227470000000001</v>
          </cell>
          <cell r="G26">
            <v>-2.145448</v>
          </cell>
          <cell r="H26">
            <v>-2.3877869999999999</v>
          </cell>
          <cell r="I26">
            <v>-1.778907</v>
          </cell>
          <cell r="J26">
            <v>-0.73055199999999998</v>
          </cell>
          <cell r="K26">
            <v>-0.10266</v>
          </cell>
          <cell r="L26">
            <v>-3.4991840000000001</v>
          </cell>
          <cell r="M26">
            <v>-7.0208000000000007E-2</v>
          </cell>
          <cell r="N26">
            <v>-0.31126999999999999</v>
          </cell>
        </row>
        <row r="27">
          <cell r="C27">
            <v>1086.7857730000001</v>
          </cell>
          <cell r="D27">
            <v>769.05760799999996</v>
          </cell>
          <cell r="E27">
            <v>999.17900399999996</v>
          </cell>
          <cell r="F27">
            <v>685.51646100000005</v>
          </cell>
          <cell r="G27">
            <v>912.38472100000001</v>
          </cell>
          <cell r="H27">
            <v>990.11252999999999</v>
          </cell>
          <cell r="I27">
            <v>839.72955200000001</v>
          </cell>
          <cell r="J27">
            <v>906.01534300000003</v>
          </cell>
          <cell r="K27">
            <v>1301.836783</v>
          </cell>
          <cell r="L27">
            <v>1074.900674</v>
          </cell>
          <cell r="M27">
            <v>899.70741099999998</v>
          </cell>
          <cell r="N27">
            <v>654.49809000000005</v>
          </cell>
        </row>
        <row r="28">
          <cell r="C28">
            <v>2261.140848</v>
          </cell>
          <cell r="D28">
            <v>2151.3590899999999</v>
          </cell>
          <cell r="E28">
            <v>2852.1512379999999</v>
          </cell>
          <cell r="F28">
            <v>2511.0834799999998</v>
          </cell>
          <cell r="G28">
            <v>2567.9311029999999</v>
          </cell>
          <cell r="H28">
            <v>2550.3384430000001</v>
          </cell>
          <cell r="I28">
            <v>2067.714555</v>
          </cell>
          <cell r="J28">
            <v>2616.783492</v>
          </cell>
          <cell r="K28">
            <v>2753.7222360000001</v>
          </cell>
          <cell r="L28">
            <v>2411.6272549999999</v>
          </cell>
          <cell r="M28">
            <v>2700.0047509999999</v>
          </cell>
          <cell r="N28">
            <v>2075.6169759999998</v>
          </cell>
        </row>
        <row r="29">
          <cell r="C29">
            <v>920.23697200000004</v>
          </cell>
          <cell r="D29">
            <v>1264.1612210000001</v>
          </cell>
          <cell r="E29">
            <v>528.38315499999999</v>
          </cell>
          <cell r="F29">
            <v>664.70991900000001</v>
          </cell>
          <cell r="G29">
            <v>717.34199100000001</v>
          </cell>
          <cell r="H29">
            <v>418.73398800000001</v>
          </cell>
          <cell r="I29">
            <v>406.71896800000002</v>
          </cell>
          <cell r="J29">
            <v>377.036835</v>
          </cell>
          <cell r="K29">
            <v>487.99912899999998</v>
          </cell>
          <cell r="L29">
            <v>411.46813300000002</v>
          </cell>
          <cell r="M29">
            <v>271.70124399999997</v>
          </cell>
          <cell r="N29">
            <v>228.73201299999999</v>
          </cell>
        </row>
        <row r="30">
          <cell r="C30">
            <v>45.958466000000001</v>
          </cell>
          <cell r="D30">
            <v>69.886177000000004</v>
          </cell>
          <cell r="E30">
            <v>106.294428</v>
          </cell>
          <cell r="F30">
            <v>49.913786999999999</v>
          </cell>
          <cell r="G30">
            <v>-1.3289439999999999</v>
          </cell>
          <cell r="H30">
            <v>-6.6065389999999997</v>
          </cell>
          <cell r="I30">
            <v>-5.9236149999999999</v>
          </cell>
          <cell r="J30">
            <v>1.063601</v>
          </cell>
          <cell r="K30">
            <v>-3.1586509999999999</v>
          </cell>
          <cell r="L30">
            <v>-11.001528</v>
          </cell>
          <cell r="M30">
            <v>-12.183821</v>
          </cell>
          <cell r="N30">
            <v>-10.976822</v>
          </cell>
        </row>
        <row r="31">
          <cell r="C31">
            <v>817.07656999999995</v>
          </cell>
          <cell r="D31">
            <v>739.28560400000003</v>
          </cell>
          <cell r="E31">
            <v>1185.2188140000001</v>
          </cell>
          <cell r="F31">
            <v>851.06631800000002</v>
          </cell>
          <cell r="G31">
            <v>285.48965199999998</v>
          </cell>
          <cell r="H31">
            <v>-29.593831999999999</v>
          </cell>
          <cell r="I31">
            <v>-9.564152</v>
          </cell>
          <cell r="J31">
            <v>-31.078139</v>
          </cell>
          <cell r="K31">
            <v>-22.962871</v>
          </cell>
          <cell r="L31">
            <v>-55.619197</v>
          </cell>
          <cell r="M31">
            <v>-113.287683</v>
          </cell>
          <cell r="N31">
            <v>-137.508893</v>
          </cell>
        </row>
        <row r="32">
          <cell r="C32">
            <v>618.87141799999995</v>
          </cell>
          <cell r="D32">
            <v>652.54186000000004</v>
          </cell>
          <cell r="E32">
            <v>852.95224199999996</v>
          </cell>
          <cell r="F32">
            <v>730.49757999999997</v>
          </cell>
          <cell r="G32">
            <v>348.34566799999999</v>
          </cell>
          <cell r="H32">
            <v>123.36921</v>
          </cell>
          <cell r="I32">
            <v>112.41017600000001</v>
          </cell>
          <cell r="J32">
            <v>117.993487</v>
          </cell>
          <cell r="K32">
            <v>182.20532299999999</v>
          </cell>
          <cell r="L32">
            <v>235.77927600000001</v>
          </cell>
          <cell r="M32">
            <v>270.69994800000001</v>
          </cell>
          <cell r="N32">
            <v>186.58764400000001</v>
          </cell>
        </row>
        <row r="33">
          <cell r="C33">
            <v>410.31400000000002</v>
          </cell>
          <cell r="D33">
            <v>425.58100000000002</v>
          </cell>
          <cell r="E33">
            <v>511.298</v>
          </cell>
          <cell r="F33">
            <v>437.55799999999999</v>
          </cell>
          <cell r="G33">
            <v>392.87900000000002</v>
          </cell>
          <cell r="H33">
            <v>391.33600000000001</v>
          </cell>
          <cell r="I33">
            <v>423.738</v>
          </cell>
          <cell r="J33">
            <v>333.42399999999998</v>
          </cell>
          <cell r="K33">
            <v>427.46300000000002</v>
          </cell>
          <cell r="L33">
            <v>396.036</v>
          </cell>
          <cell r="M33">
            <v>415.02499999999998</v>
          </cell>
          <cell r="N33">
            <v>398.79700000000003</v>
          </cell>
        </row>
        <row r="34">
          <cell r="C34">
            <v>491.976</v>
          </cell>
          <cell r="D34">
            <v>467.61700000000002</v>
          </cell>
          <cell r="E34">
            <v>402.48200000000003</v>
          </cell>
          <cell r="F34">
            <v>374.97800000000001</v>
          </cell>
          <cell r="G34">
            <v>438.90300000000002</v>
          </cell>
          <cell r="H34">
            <v>449.86700000000002</v>
          </cell>
          <cell r="I34">
            <v>378.988</v>
          </cell>
          <cell r="J34">
            <v>297.20100000000002</v>
          </cell>
          <cell r="K34">
            <v>360.69499999999999</v>
          </cell>
          <cell r="L34">
            <v>377.38499999999999</v>
          </cell>
          <cell r="M34">
            <v>463.72800000000001</v>
          </cell>
          <cell r="N34">
            <v>461.37299999999999</v>
          </cell>
        </row>
        <row r="35">
          <cell r="C35">
            <v>122.34099999999999</v>
          </cell>
          <cell r="D35">
            <v>127.467</v>
          </cell>
          <cell r="E35">
            <v>84.991</v>
          </cell>
          <cell r="F35">
            <v>89.662999999999997</v>
          </cell>
          <cell r="G35">
            <v>118.34699999999999</v>
          </cell>
          <cell r="H35">
            <v>96.89</v>
          </cell>
          <cell r="I35">
            <v>190.72</v>
          </cell>
          <cell r="J35">
            <v>87.965000000000003</v>
          </cell>
          <cell r="K35">
            <v>75.662000000000006</v>
          </cell>
          <cell r="L35">
            <v>78.462000000000003</v>
          </cell>
          <cell r="M35">
            <v>83.308000000000007</v>
          </cell>
          <cell r="N35">
            <v>60.53</v>
          </cell>
        </row>
        <row r="36">
          <cell r="C36">
            <v>72.195999999999998</v>
          </cell>
          <cell r="D36">
            <v>70.908000000000001</v>
          </cell>
          <cell r="E36">
            <v>47.36</v>
          </cell>
          <cell r="F36">
            <v>51.792999999999999</v>
          </cell>
          <cell r="G36">
            <v>60.277000000000001</v>
          </cell>
          <cell r="H36">
            <v>49.088999999999999</v>
          </cell>
          <cell r="I36">
            <v>41.741999999999997</v>
          </cell>
          <cell r="J36">
            <v>37.841999999999999</v>
          </cell>
          <cell r="K36">
            <v>60.801000000000002</v>
          </cell>
          <cell r="L36">
            <v>46.201999999999998</v>
          </cell>
          <cell r="M36">
            <v>47.494</v>
          </cell>
          <cell r="N36">
            <v>62.792999999999999</v>
          </cell>
        </row>
        <row r="37">
          <cell r="C37">
            <v>11030.005999999999</v>
          </cell>
          <cell r="D37">
            <v>9187.0769999999993</v>
          </cell>
          <cell r="E37">
            <v>10516.628000000001</v>
          </cell>
          <cell r="F37">
            <v>13551.447</v>
          </cell>
          <cell r="G37">
            <v>12843.156000000001</v>
          </cell>
          <cell r="H37">
            <v>16060.421</v>
          </cell>
          <cell r="I37">
            <v>11679.65</v>
          </cell>
          <cell r="J37">
            <v>7957.741</v>
          </cell>
          <cell r="K37">
            <v>7942.4660000000003</v>
          </cell>
          <cell r="L37">
            <v>10678.843000000001</v>
          </cell>
          <cell r="M37">
            <v>10198.646000000001</v>
          </cell>
          <cell r="N37">
            <v>9577.3359999999993</v>
          </cell>
        </row>
        <row r="38">
          <cell r="C38">
            <v>15193.725</v>
          </cell>
          <cell r="D38">
            <v>17350.289000000001</v>
          </cell>
          <cell r="E38">
            <v>17937.527999999998</v>
          </cell>
          <cell r="F38">
            <v>17635.679</v>
          </cell>
          <cell r="G38">
            <v>13917.195</v>
          </cell>
          <cell r="H38">
            <v>19479.077000000001</v>
          </cell>
          <cell r="I38">
            <v>12187.904</v>
          </cell>
          <cell r="J38">
            <v>14584.518</v>
          </cell>
          <cell r="K38">
            <v>12052.36</v>
          </cell>
          <cell r="L38">
            <v>18681.302</v>
          </cell>
          <cell r="M38">
            <v>16071.49</v>
          </cell>
          <cell r="N38">
            <v>14421.775</v>
          </cell>
        </row>
        <row r="39">
          <cell r="C39">
            <v>883.22799999999995</v>
          </cell>
          <cell r="D39">
            <v>1290.0719999999999</v>
          </cell>
          <cell r="E39">
            <v>2284.0659999999998</v>
          </cell>
          <cell r="F39">
            <v>1630.3589999999999</v>
          </cell>
          <cell r="G39">
            <v>1280.0840000000001</v>
          </cell>
          <cell r="H39">
            <v>1572.547</v>
          </cell>
          <cell r="I39">
            <v>471.10500000000002</v>
          </cell>
          <cell r="J39">
            <v>829.49099999999999</v>
          </cell>
          <cell r="K39">
            <v>1056.4059999999999</v>
          </cell>
          <cell r="L39">
            <v>1132.778</v>
          </cell>
          <cell r="M39">
            <v>564.47900000000004</v>
          </cell>
          <cell r="N39">
            <v>1542.4549999999999</v>
          </cell>
        </row>
        <row r="40">
          <cell r="C40">
            <v>521.36099999999999</v>
          </cell>
          <cell r="D40">
            <v>103.441</v>
          </cell>
          <cell r="E40">
            <v>430.82900000000001</v>
          </cell>
          <cell r="F40">
            <v>2152.3429999999998</v>
          </cell>
          <cell r="G40">
            <v>1004.926</v>
          </cell>
          <cell r="H40">
            <v>3744.931</v>
          </cell>
          <cell r="I40">
            <v>4344.0119999999997</v>
          </cell>
          <cell r="J40">
            <v>391.50299999999999</v>
          </cell>
          <cell r="K40">
            <v>187.11600000000001</v>
          </cell>
          <cell r="L40">
            <v>968.69</v>
          </cell>
          <cell r="M40">
            <v>926.077</v>
          </cell>
          <cell r="N40">
            <v>101.83199999999999</v>
          </cell>
        </row>
        <row r="41">
          <cell r="C41">
            <v>200.85599999999999</v>
          </cell>
          <cell r="D41">
            <v>210.16300000000001</v>
          </cell>
          <cell r="E41">
            <v>278.96100000000001</v>
          </cell>
          <cell r="F41">
            <v>329.80200000000002</v>
          </cell>
          <cell r="G41">
            <v>246.09200000000001</v>
          </cell>
          <cell r="H41">
            <v>257.226</v>
          </cell>
          <cell r="I41">
            <v>229.49199999999999</v>
          </cell>
          <cell r="J41">
            <v>173.608</v>
          </cell>
          <cell r="K41">
            <v>105.892</v>
          </cell>
          <cell r="L41">
            <v>295.47000000000003</v>
          </cell>
          <cell r="M41">
            <v>233.66200000000001</v>
          </cell>
          <cell r="N41">
            <v>196.1</v>
          </cell>
        </row>
        <row r="42">
          <cell r="C42">
            <v>317.505</v>
          </cell>
          <cell r="D42">
            <v>278.85199999999998</v>
          </cell>
          <cell r="E42">
            <v>371.90199999999999</v>
          </cell>
          <cell r="F42">
            <v>485.80900000000003</v>
          </cell>
          <cell r="G42">
            <v>448.92200000000003</v>
          </cell>
          <cell r="H42">
            <v>435.01</v>
          </cell>
          <cell r="I42">
            <v>340.81700000000001</v>
          </cell>
          <cell r="J42">
            <v>337.07299999999998</v>
          </cell>
          <cell r="K42">
            <v>1017.204</v>
          </cell>
          <cell r="L42">
            <v>897.995</v>
          </cell>
          <cell r="M42">
            <v>600.81399999999996</v>
          </cell>
          <cell r="N42">
            <v>479.63600000000002</v>
          </cell>
        </row>
        <row r="43">
          <cell r="C43">
            <v>260.32600000000002</v>
          </cell>
          <cell r="D43">
            <v>172.77500000000001</v>
          </cell>
          <cell r="E43">
            <v>211.721</v>
          </cell>
          <cell r="F43">
            <v>261.375</v>
          </cell>
          <cell r="G43">
            <v>308.98399999999998</v>
          </cell>
          <cell r="H43">
            <v>238.27600000000001</v>
          </cell>
          <cell r="I43">
            <v>256.11599999999999</v>
          </cell>
          <cell r="J43">
            <v>266.81900000000002</v>
          </cell>
          <cell r="K43">
            <v>459.86</v>
          </cell>
          <cell r="L43">
            <v>457.03899999999999</v>
          </cell>
          <cell r="M43">
            <v>246.239</v>
          </cell>
          <cell r="N43">
            <v>195.358</v>
          </cell>
        </row>
        <row r="44">
          <cell r="C44">
            <v>638.54499999999996</v>
          </cell>
          <cell r="D44">
            <v>451.738</v>
          </cell>
          <cell r="E44">
            <v>1046.3440000000001</v>
          </cell>
          <cell r="F44">
            <v>716.88900000000001</v>
          </cell>
          <cell r="G44">
            <v>588.60500000000002</v>
          </cell>
          <cell r="H44">
            <v>763.75400000000002</v>
          </cell>
          <cell r="I44">
            <v>790.50599999999997</v>
          </cell>
          <cell r="J44">
            <v>974.38</v>
          </cell>
          <cell r="K44">
            <v>862.40499999999997</v>
          </cell>
          <cell r="L44">
            <v>788.66200000000003</v>
          </cell>
          <cell r="M44">
            <v>794.83500000000004</v>
          </cell>
          <cell r="N44">
            <v>1054.3489999999999</v>
          </cell>
        </row>
        <row r="45">
          <cell r="C45">
            <v>-0.57999999999999996</v>
          </cell>
          <cell r="D45">
            <v>5.7000000000000002E-2</v>
          </cell>
          <cell r="E45">
            <v>-0.376</v>
          </cell>
          <cell r="F45">
            <v>-0.68799999999999994</v>
          </cell>
          <cell r="G45">
            <v>-0.93100000000000005</v>
          </cell>
          <cell r="H45">
            <v>-0.98799999999999999</v>
          </cell>
          <cell r="I45">
            <v>-0.54400000000000004</v>
          </cell>
          <cell r="J45">
            <v>-0.20300000000000001</v>
          </cell>
          <cell r="K45">
            <v>-4.7E-2</v>
          </cell>
          <cell r="L45">
            <v>-1.486</v>
          </cell>
          <cell r="M45">
            <v>-0.04</v>
          </cell>
          <cell r="N45">
            <v>-0.13400000000000001</v>
          </cell>
        </row>
        <row r="46">
          <cell r="C46">
            <v>444.96699999999998</v>
          </cell>
          <cell r="D46">
            <v>267.65699999999998</v>
          </cell>
          <cell r="E46">
            <v>395.73399999999998</v>
          </cell>
          <cell r="F46">
            <v>310.05599999999998</v>
          </cell>
          <cell r="G46">
            <v>334.17399999999998</v>
          </cell>
          <cell r="H46">
            <v>405.59199999999998</v>
          </cell>
          <cell r="I46">
            <v>308.61</v>
          </cell>
          <cell r="J46">
            <v>392.82600000000002</v>
          </cell>
          <cell r="K46">
            <v>517.05700000000002</v>
          </cell>
          <cell r="L46">
            <v>376.36700000000002</v>
          </cell>
          <cell r="M46">
            <v>406.911</v>
          </cell>
          <cell r="N46">
            <v>289.56400000000002</v>
          </cell>
        </row>
        <row r="47">
          <cell r="C47">
            <v>1519.5170000000001</v>
          </cell>
          <cell r="D47">
            <v>1444.2670000000001</v>
          </cell>
          <cell r="E47">
            <v>2510.1759999999999</v>
          </cell>
          <cell r="F47">
            <v>2153.864</v>
          </cell>
          <cell r="G47">
            <v>1794.0360000000001</v>
          </cell>
          <cell r="H47">
            <v>1368.836</v>
          </cell>
          <cell r="I47">
            <v>1038.424</v>
          </cell>
          <cell r="J47">
            <v>1528.874</v>
          </cell>
          <cell r="K47">
            <v>1313.5740000000001</v>
          </cell>
          <cell r="L47">
            <v>1238.21</v>
          </cell>
          <cell r="M47">
            <v>1670.837</v>
          </cell>
          <cell r="N47">
            <v>1165.895</v>
          </cell>
        </row>
        <row r="48">
          <cell r="C48">
            <v>89.56</v>
          </cell>
          <cell r="D48">
            <v>123.38</v>
          </cell>
          <cell r="E48">
            <v>77.66</v>
          </cell>
          <cell r="F48">
            <v>76.881</v>
          </cell>
          <cell r="G48">
            <v>92.864999999999995</v>
          </cell>
          <cell r="H48">
            <v>51.197000000000003</v>
          </cell>
          <cell r="I48">
            <v>46.051000000000002</v>
          </cell>
          <cell r="J48">
            <v>46.616999999999997</v>
          </cell>
          <cell r="K48">
            <v>57.023000000000003</v>
          </cell>
          <cell r="L48">
            <v>48.095999999999997</v>
          </cell>
          <cell r="M48">
            <v>28.225000000000001</v>
          </cell>
          <cell r="N48">
            <v>22.449000000000002</v>
          </cell>
        </row>
        <row r="49">
          <cell r="C49">
            <v>14.026</v>
          </cell>
          <cell r="D49">
            <v>19.318000000000001</v>
          </cell>
          <cell r="E49">
            <v>31.117999999999999</v>
          </cell>
          <cell r="F49">
            <v>13.177</v>
          </cell>
          <cell r="G49">
            <v>-0.222</v>
          </cell>
          <cell r="H49">
            <v>-1.139</v>
          </cell>
          <cell r="I49">
            <v>-1.137</v>
          </cell>
          <cell r="J49">
            <v>-0.47399999999999998</v>
          </cell>
          <cell r="K49">
            <v>-0.56799999999999995</v>
          </cell>
          <cell r="L49">
            <v>-1.738</v>
          </cell>
          <cell r="M49">
            <v>-1.788</v>
          </cell>
          <cell r="N49">
            <v>-2.2490000000000001</v>
          </cell>
        </row>
        <row r="50">
          <cell r="C50">
            <v>411.53699999999998</v>
          </cell>
          <cell r="D50">
            <v>440.38400000000001</v>
          </cell>
          <cell r="E50">
            <v>596.44500000000005</v>
          </cell>
          <cell r="F50">
            <v>462.78300000000002</v>
          </cell>
          <cell r="G50">
            <v>153.779</v>
          </cell>
          <cell r="H50">
            <v>-20.282</v>
          </cell>
          <cell r="I50">
            <v>-8.4169999999999998</v>
          </cell>
          <cell r="J50">
            <v>-18.395</v>
          </cell>
          <cell r="K50">
            <v>-12.534000000000001</v>
          </cell>
          <cell r="L50">
            <v>-28.175999999999998</v>
          </cell>
          <cell r="M50">
            <v>-58.692</v>
          </cell>
          <cell r="N50">
            <v>-69.674000000000007</v>
          </cell>
        </row>
        <row r="51">
          <cell r="C51">
            <v>269.01</v>
          </cell>
          <cell r="D51">
            <v>275.60199999999998</v>
          </cell>
          <cell r="E51">
            <v>402.50400000000002</v>
          </cell>
          <cell r="F51">
            <v>317.755</v>
          </cell>
          <cell r="G51">
            <v>137.82400000000001</v>
          </cell>
          <cell r="H51">
            <v>57.52</v>
          </cell>
          <cell r="I51">
            <v>35.570999999999998</v>
          </cell>
          <cell r="J51">
            <v>46.6</v>
          </cell>
          <cell r="K51">
            <v>61.137</v>
          </cell>
          <cell r="L51">
            <v>94.563000000000002</v>
          </cell>
          <cell r="M51">
            <v>102.63200000000001</v>
          </cell>
          <cell r="N51">
            <v>87.402000000000001</v>
          </cell>
        </row>
        <row r="52">
          <cell r="C52">
            <v>1343.114875</v>
          </cell>
          <cell r="D52">
            <v>1769.584893</v>
          </cell>
          <cell r="E52">
            <v>1540.64489</v>
          </cell>
          <cell r="F52">
            <v>1694.4482439999999</v>
          </cell>
          <cell r="G52">
            <v>1613.482064</v>
          </cell>
          <cell r="H52">
            <v>1247.6769850000001</v>
          </cell>
          <cell r="I52">
            <v>1455.036098</v>
          </cell>
          <cell r="J52">
            <v>1113.3560640000001</v>
          </cell>
          <cell r="K52">
            <v>2095.9560280000001</v>
          </cell>
          <cell r="L52">
            <v>1624.665788</v>
          </cell>
          <cell r="M52">
            <v>1450.497558</v>
          </cell>
          <cell r="N52">
            <v>1516.641333</v>
          </cell>
        </row>
        <row r="53">
          <cell r="C53">
            <v>1514.12565</v>
          </cell>
          <cell r="D53">
            <v>1474.069154</v>
          </cell>
          <cell r="E53">
            <v>1371.5265300000001</v>
          </cell>
          <cell r="F53">
            <v>1212.7604020000001</v>
          </cell>
          <cell r="G53">
            <v>1144.316896</v>
          </cell>
          <cell r="H53">
            <v>1138.2427720000001</v>
          </cell>
          <cell r="I53">
            <v>1133.818888</v>
          </cell>
          <cell r="J53">
            <v>812.70676800000001</v>
          </cell>
          <cell r="K53">
            <v>1364.2219480000001</v>
          </cell>
          <cell r="L53">
            <v>1168.8202550000001</v>
          </cell>
          <cell r="M53">
            <v>1498.418246</v>
          </cell>
          <cell r="N53">
            <v>1449.33124</v>
          </cell>
        </row>
        <row r="54">
          <cell r="C54">
            <v>389.5043</v>
          </cell>
          <cell r="D54">
            <v>427.80336499999999</v>
          </cell>
          <cell r="E54">
            <v>261.805116</v>
          </cell>
          <cell r="F54">
            <v>330.81308100000001</v>
          </cell>
          <cell r="G54">
            <v>345.13507600000003</v>
          </cell>
          <cell r="H54">
            <v>261.31926099999998</v>
          </cell>
          <cell r="I54">
            <v>300.25799499999999</v>
          </cell>
          <cell r="J54">
            <v>272.53581100000002</v>
          </cell>
          <cell r="K54">
            <v>247.086231</v>
          </cell>
          <cell r="L54">
            <v>250.45869400000001</v>
          </cell>
          <cell r="M54">
            <v>254.824186</v>
          </cell>
          <cell r="N54">
            <v>203.23108400000001</v>
          </cell>
        </row>
        <row r="55">
          <cell r="C55">
            <v>348.56672099999997</v>
          </cell>
          <cell r="D55">
            <v>381.12815399999999</v>
          </cell>
          <cell r="E55">
            <v>209.53170399999999</v>
          </cell>
          <cell r="F55">
            <v>265.27941299999998</v>
          </cell>
          <cell r="G55">
            <v>303.69995599999999</v>
          </cell>
          <cell r="H55">
            <v>244.12636800000001</v>
          </cell>
          <cell r="I55">
            <v>230.59826100000001</v>
          </cell>
          <cell r="J55">
            <v>185.03849299999999</v>
          </cell>
          <cell r="K55">
            <v>356.60226599999999</v>
          </cell>
          <cell r="L55">
            <v>234.614126</v>
          </cell>
          <cell r="M55">
            <v>222.333181</v>
          </cell>
          <cell r="N55">
            <v>329.68365899999998</v>
          </cell>
        </row>
        <row r="56">
          <cell r="C56">
            <v>4509.4853510000003</v>
          </cell>
          <cell r="D56">
            <v>5720.2293529999997</v>
          </cell>
          <cell r="E56">
            <v>5529.0854099999997</v>
          </cell>
          <cell r="F56">
            <v>5495.2397819999996</v>
          </cell>
          <cell r="G56">
            <v>6831.2654160000002</v>
          </cell>
          <cell r="H56">
            <v>6316.1046850000002</v>
          </cell>
          <cell r="I56">
            <v>3965.9121129999999</v>
          </cell>
          <cell r="J56">
            <v>4194.3251600000003</v>
          </cell>
          <cell r="K56">
            <v>5391.6953190000004</v>
          </cell>
          <cell r="L56">
            <v>5120.428328</v>
          </cell>
          <cell r="M56">
            <v>5740.8764270000001</v>
          </cell>
          <cell r="N56">
            <v>4523.8176579999999</v>
          </cell>
        </row>
        <row r="57">
          <cell r="C57">
            <v>4510.1813990000001</v>
          </cell>
          <cell r="D57">
            <v>5510.1787960000001</v>
          </cell>
          <cell r="E57">
            <v>4150.3897729999999</v>
          </cell>
          <cell r="F57">
            <v>4925.6150299999999</v>
          </cell>
          <cell r="G57">
            <v>5790.529603</v>
          </cell>
          <cell r="H57">
            <v>3814.89014</v>
          </cell>
          <cell r="I57">
            <v>3683.8759669999999</v>
          </cell>
          <cell r="J57">
            <v>4814.1927089999999</v>
          </cell>
          <cell r="K57">
            <v>6211.6744820000004</v>
          </cell>
          <cell r="L57">
            <v>4596.5894840000001</v>
          </cell>
          <cell r="M57">
            <v>4397.3132589999996</v>
          </cell>
          <cell r="N57">
            <v>4050.866528</v>
          </cell>
        </row>
        <row r="58">
          <cell r="C58">
            <v>594.87596199999996</v>
          </cell>
          <cell r="D58">
            <v>678.60387400000002</v>
          </cell>
          <cell r="E58">
            <v>446.331928</v>
          </cell>
          <cell r="F58">
            <v>766.52421700000002</v>
          </cell>
          <cell r="G58">
            <v>554.10058800000002</v>
          </cell>
          <cell r="H58">
            <v>451.00318099999998</v>
          </cell>
          <cell r="I58">
            <v>275.45578399999999</v>
          </cell>
          <cell r="J58">
            <v>289.62542500000001</v>
          </cell>
          <cell r="K58">
            <v>664.60180500000001</v>
          </cell>
          <cell r="L58">
            <v>766.62780099999998</v>
          </cell>
          <cell r="M58">
            <v>783.95828900000004</v>
          </cell>
          <cell r="N58">
            <v>460.45750700000002</v>
          </cell>
        </row>
        <row r="59">
          <cell r="C59">
            <v>2529.4098840000001</v>
          </cell>
          <cell r="D59">
            <v>984.39891799999998</v>
          </cell>
          <cell r="E59">
            <v>1682.4913200000001</v>
          </cell>
          <cell r="F59">
            <v>2840.9881479999999</v>
          </cell>
          <cell r="G59">
            <v>1582.06168</v>
          </cell>
          <cell r="H59">
            <v>2715.8927870000002</v>
          </cell>
          <cell r="I59">
            <v>8626.1326040000004</v>
          </cell>
          <cell r="J59">
            <v>1329.4968349999999</v>
          </cell>
          <cell r="K59">
            <v>1001.386498</v>
          </cell>
          <cell r="L59">
            <v>2251.9114530000002</v>
          </cell>
          <cell r="M59">
            <v>2221.0090610000002</v>
          </cell>
          <cell r="N59">
            <v>1039.48406</v>
          </cell>
        </row>
        <row r="60">
          <cell r="C60">
            <v>344.95342399999998</v>
          </cell>
          <cell r="D60">
            <v>330.24727100000001</v>
          </cell>
          <cell r="E60">
            <v>516.86077599999999</v>
          </cell>
          <cell r="F60">
            <v>500.00519800000001</v>
          </cell>
          <cell r="G60">
            <v>371.37017400000002</v>
          </cell>
          <cell r="H60">
            <v>633.46793700000001</v>
          </cell>
          <cell r="I60">
            <v>88.771781000000004</v>
          </cell>
          <cell r="J60">
            <v>363.76569499999999</v>
          </cell>
          <cell r="K60">
            <v>266.89201800000001</v>
          </cell>
          <cell r="L60">
            <v>331.33712600000001</v>
          </cell>
          <cell r="M60">
            <v>302.14266600000002</v>
          </cell>
          <cell r="N60">
            <v>310.73333500000001</v>
          </cell>
        </row>
        <row r="61">
          <cell r="C61">
            <v>441.836071</v>
          </cell>
          <cell r="D61">
            <v>413.04752999999999</v>
          </cell>
          <cell r="E61">
            <v>282.01294799999999</v>
          </cell>
          <cell r="F61">
            <v>330.77664700000003</v>
          </cell>
          <cell r="G61">
            <v>476.62792899999999</v>
          </cell>
          <cell r="H61">
            <v>344.83783799999998</v>
          </cell>
          <cell r="I61">
            <v>321.888892</v>
          </cell>
          <cell r="J61">
            <v>255.232338</v>
          </cell>
          <cell r="K61">
            <v>433.21910100000002</v>
          </cell>
          <cell r="L61">
            <v>426.48175300000003</v>
          </cell>
          <cell r="M61">
            <v>374.42394400000001</v>
          </cell>
          <cell r="N61">
            <v>389.59472499999998</v>
          </cell>
        </row>
        <row r="62">
          <cell r="C62">
            <v>433.77314899999999</v>
          </cell>
          <cell r="D62">
            <v>294.60717799999998</v>
          </cell>
          <cell r="E62">
            <v>432.364778</v>
          </cell>
          <cell r="F62">
            <v>557.89694699999995</v>
          </cell>
          <cell r="G62">
            <v>603.02145499999995</v>
          </cell>
          <cell r="H62">
            <v>452.25099</v>
          </cell>
          <cell r="I62">
            <v>545.86528199999998</v>
          </cell>
          <cell r="J62">
            <v>471.87493499999999</v>
          </cell>
          <cell r="K62">
            <v>441.99216000000001</v>
          </cell>
          <cell r="L62">
            <v>471.23803500000002</v>
          </cell>
          <cell r="M62">
            <v>519.87582399999997</v>
          </cell>
          <cell r="N62">
            <v>379.22148199999998</v>
          </cell>
        </row>
        <row r="63">
          <cell r="C63">
            <v>1130.9063699999999</v>
          </cell>
          <cell r="D63">
            <v>732.74994100000004</v>
          </cell>
          <cell r="E63">
            <v>1136.251043</v>
          </cell>
          <cell r="F63">
            <v>990.33934099999999</v>
          </cell>
          <cell r="G63">
            <v>1024.4862169999999</v>
          </cell>
          <cell r="H63">
            <v>1145.779301</v>
          </cell>
          <cell r="I63">
            <v>1475.5028970000001</v>
          </cell>
          <cell r="J63">
            <v>1645.2527580000001</v>
          </cell>
          <cell r="K63">
            <v>1338.2366870000001</v>
          </cell>
          <cell r="L63">
            <v>1206.1211639999999</v>
          </cell>
          <cell r="M63">
            <v>1250.0498110000001</v>
          </cell>
          <cell r="N63">
            <v>1220.252714</v>
          </cell>
        </row>
        <row r="64">
          <cell r="C64">
            <v>-0.70231900000000003</v>
          </cell>
          <cell r="D64">
            <v>0.215004</v>
          </cell>
          <cell r="E64">
            <v>-7.9455999999999999E-2</v>
          </cell>
          <cell r="F64">
            <v>-0.51830600000000004</v>
          </cell>
          <cell r="G64">
            <v>-0.59935799999999995</v>
          </cell>
          <cell r="H64">
            <v>-0.70037700000000003</v>
          </cell>
          <cell r="I64">
            <v>-0.52318699999999996</v>
          </cell>
          <cell r="J64">
            <v>-0.18443000000000001</v>
          </cell>
          <cell r="K64">
            <v>0.72605900000000001</v>
          </cell>
          <cell r="L64">
            <v>-1.088384</v>
          </cell>
          <cell r="M64">
            <v>-3.241E-3</v>
          </cell>
          <cell r="N64">
            <v>-7.9640000000000002E-2</v>
          </cell>
        </row>
        <row r="65">
          <cell r="C65">
            <v>581.29963299999997</v>
          </cell>
          <cell r="D65">
            <v>399.14208400000001</v>
          </cell>
          <cell r="E65">
            <v>480.76174400000002</v>
          </cell>
          <cell r="F65">
            <v>329.96580599999999</v>
          </cell>
          <cell r="G65">
            <v>426.987978</v>
          </cell>
          <cell r="H65">
            <v>453.14361300000002</v>
          </cell>
          <cell r="I65">
            <v>443.23645099999999</v>
          </cell>
          <cell r="J65">
            <v>416.31177400000001</v>
          </cell>
          <cell r="K65">
            <v>716.56266200000005</v>
          </cell>
          <cell r="L65">
            <v>568.41512599999999</v>
          </cell>
          <cell r="M65">
            <v>466.19713100000001</v>
          </cell>
          <cell r="N65">
            <v>347.60250300000001</v>
          </cell>
        </row>
        <row r="66">
          <cell r="C66">
            <v>1031.7138399999999</v>
          </cell>
          <cell r="D66">
            <v>968.65068699999995</v>
          </cell>
          <cell r="E66">
            <v>1350.1799679999999</v>
          </cell>
          <cell r="F66">
            <v>1250.1686629999999</v>
          </cell>
          <cell r="G66">
            <v>1162.8294820000001</v>
          </cell>
          <cell r="H66">
            <v>1106.3928840000001</v>
          </cell>
          <cell r="I66">
            <v>947.56887400000005</v>
          </cell>
          <cell r="J66">
            <v>1149.4381960000001</v>
          </cell>
          <cell r="K66">
            <v>1287.656522</v>
          </cell>
          <cell r="L66">
            <v>1065.367274</v>
          </cell>
          <cell r="M66">
            <v>1287.688447</v>
          </cell>
          <cell r="N66">
            <v>1096.941206</v>
          </cell>
        </row>
        <row r="67">
          <cell r="C67">
            <v>301.04820899999999</v>
          </cell>
          <cell r="D67">
            <v>429.92951099999999</v>
          </cell>
          <cell r="E67">
            <v>205.81591499999999</v>
          </cell>
          <cell r="F67">
            <v>254.103948</v>
          </cell>
          <cell r="G67">
            <v>326.62508600000001</v>
          </cell>
          <cell r="H67">
            <v>196.51076</v>
          </cell>
          <cell r="I67">
            <v>183.19392199999999</v>
          </cell>
          <cell r="J67">
            <v>153.22117</v>
          </cell>
          <cell r="K67">
            <v>221.47862499999999</v>
          </cell>
          <cell r="L67">
            <v>180.988664</v>
          </cell>
          <cell r="M67">
            <v>126.612691</v>
          </cell>
          <cell r="N67">
            <v>124.834197</v>
          </cell>
        </row>
        <row r="68">
          <cell r="C68">
            <v>31.801247</v>
          </cell>
          <cell r="D68">
            <v>40.772652999999998</v>
          </cell>
          <cell r="E68">
            <v>53.105221999999998</v>
          </cell>
          <cell r="F68">
            <v>24.186640000000001</v>
          </cell>
          <cell r="G68">
            <v>0.55342800000000003</v>
          </cell>
          <cell r="H68">
            <v>-1.3351139999999999</v>
          </cell>
          <cell r="I68">
            <v>-1.5979000000000001</v>
          </cell>
          <cell r="J68">
            <v>1.740216</v>
          </cell>
          <cell r="K68">
            <v>-0.88606499999999999</v>
          </cell>
          <cell r="L68">
            <v>-2.8523960000000002</v>
          </cell>
          <cell r="M68">
            <v>-3.0756420000000002</v>
          </cell>
          <cell r="N68">
            <v>-3.9970059999999998</v>
          </cell>
        </row>
        <row r="69">
          <cell r="C69">
            <v>406.979895</v>
          </cell>
          <cell r="D69">
            <v>365.81732</v>
          </cell>
          <cell r="E69">
            <v>531.54891999999995</v>
          </cell>
          <cell r="F69">
            <v>411.41254199999997</v>
          </cell>
          <cell r="G69">
            <v>127.48390499999999</v>
          </cell>
          <cell r="H69">
            <v>-13.371639999999999</v>
          </cell>
          <cell r="I69">
            <v>-3.7338170000000002</v>
          </cell>
          <cell r="J69">
            <v>-13.446422</v>
          </cell>
          <cell r="K69">
            <v>-10.183353</v>
          </cell>
          <cell r="L69">
            <v>-24.865051000000001</v>
          </cell>
          <cell r="M69">
            <v>-44.197330999999998</v>
          </cell>
          <cell r="N69">
            <v>-53.554966</v>
          </cell>
        </row>
        <row r="70">
          <cell r="C70">
            <v>281.03219899999999</v>
          </cell>
          <cell r="D70">
            <v>302.741827</v>
          </cell>
          <cell r="E70">
            <v>383.23167599999999</v>
          </cell>
          <cell r="F70">
            <v>324.88928099999998</v>
          </cell>
          <cell r="G70">
            <v>143.02947499999999</v>
          </cell>
          <cell r="H70">
            <v>54.998047</v>
          </cell>
          <cell r="I70">
            <v>51.017896</v>
          </cell>
          <cell r="J70">
            <v>50.588366000000001</v>
          </cell>
          <cell r="K70">
            <v>83.876382000000007</v>
          </cell>
          <cell r="L70">
            <v>111.52086</v>
          </cell>
          <cell r="M70">
            <v>192.96853400000001</v>
          </cell>
          <cell r="N70">
            <v>100.313647</v>
          </cell>
        </row>
        <row r="71">
          <cell r="C71">
            <v>7550.8345660000005</v>
          </cell>
          <cell r="D71">
            <v>8520.6154659999993</v>
          </cell>
          <cell r="E71">
            <v>8225.6657849999992</v>
          </cell>
          <cell r="F71">
            <v>8678.7813640000004</v>
          </cell>
          <cell r="G71">
            <v>8605.9360739999993</v>
          </cell>
          <cell r="H71">
            <v>6670.1429449999996</v>
          </cell>
          <cell r="I71">
            <v>6026.0360360000004</v>
          </cell>
          <cell r="J71">
            <v>5827.8529310000004</v>
          </cell>
          <cell r="K71">
            <v>9563.4039379999995</v>
          </cell>
          <cell r="L71">
            <v>8572.4537440000004</v>
          </cell>
          <cell r="M71">
            <v>7815.4248010000001</v>
          </cell>
          <cell r="N71">
            <v>7332.8349980000003</v>
          </cell>
        </row>
        <row r="72">
          <cell r="C72">
            <v>6552.5871809999999</v>
          </cell>
          <cell r="D72">
            <v>6152.2039050000003</v>
          </cell>
          <cell r="E72">
            <v>5179.465999</v>
          </cell>
          <cell r="F72">
            <v>4396.0729600000004</v>
          </cell>
          <cell r="G72">
            <v>4890.5890209999998</v>
          </cell>
          <cell r="H72">
            <v>4573.3195919999998</v>
          </cell>
          <cell r="I72">
            <v>3595.3096799999998</v>
          </cell>
          <cell r="J72">
            <v>3140.8938480000002</v>
          </cell>
          <cell r="K72">
            <v>5097.8236310000002</v>
          </cell>
          <cell r="L72">
            <v>5087.0898969999998</v>
          </cell>
          <cell r="M72">
            <v>5880.7703659999997</v>
          </cell>
          <cell r="N72">
            <v>5614.1904610000001</v>
          </cell>
        </row>
        <row r="73">
          <cell r="C73">
            <v>1794.277071</v>
          </cell>
          <cell r="D73">
            <v>1724.0581649999999</v>
          </cell>
          <cell r="E73">
            <v>1193.0143760000001</v>
          </cell>
          <cell r="F73">
            <v>1228.485175</v>
          </cell>
          <cell r="G73">
            <v>1441.431562</v>
          </cell>
          <cell r="H73">
            <v>1119.574983</v>
          </cell>
          <cell r="I73">
            <v>952.73609899999997</v>
          </cell>
          <cell r="J73">
            <v>991.08888899999999</v>
          </cell>
          <cell r="K73">
            <v>862.942409</v>
          </cell>
          <cell r="L73">
            <v>974.03513399999997</v>
          </cell>
          <cell r="M73">
            <v>927.49962900000003</v>
          </cell>
          <cell r="N73">
            <v>637.09741799999995</v>
          </cell>
        </row>
        <row r="74">
          <cell r="C74">
            <v>1380.7009009999999</v>
          </cell>
          <cell r="D74">
            <v>1401.350729</v>
          </cell>
          <cell r="E74">
            <v>871.70957399999998</v>
          </cell>
          <cell r="F74">
            <v>925.229288</v>
          </cell>
          <cell r="G74">
            <v>1127.7315129999999</v>
          </cell>
          <cell r="H74">
            <v>942.90036399999997</v>
          </cell>
          <cell r="I74">
            <v>720.11315999999999</v>
          </cell>
          <cell r="J74">
            <v>719.22448299999996</v>
          </cell>
          <cell r="K74">
            <v>1168.2186059999999</v>
          </cell>
          <cell r="L74">
            <v>890.80815099999995</v>
          </cell>
          <cell r="M74">
            <v>883.17791199999999</v>
          </cell>
          <cell r="N74">
            <v>1225.676629</v>
          </cell>
        </row>
        <row r="75">
          <cell r="C75">
            <v>22587.773958000002</v>
          </cell>
          <cell r="D75">
            <v>26164.793046999999</v>
          </cell>
          <cell r="E75">
            <v>27104.639671000001</v>
          </cell>
          <cell r="F75">
            <v>23491.323997</v>
          </cell>
          <cell r="G75">
            <v>28991.324148</v>
          </cell>
          <cell r="H75">
            <v>25831.944731</v>
          </cell>
          <cell r="I75">
            <v>13524.452362</v>
          </cell>
          <cell r="J75">
            <v>17856.601030000002</v>
          </cell>
          <cell r="K75">
            <v>21179.236582000001</v>
          </cell>
          <cell r="L75">
            <v>22290.278545000001</v>
          </cell>
          <cell r="M75">
            <v>20618.409447999999</v>
          </cell>
          <cell r="N75">
            <v>17105.090757999998</v>
          </cell>
        </row>
        <row r="76">
          <cell r="C76">
            <v>34952.878127999997</v>
          </cell>
          <cell r="D76">
            <v>33468.276379000003</v>
          </cell>
          <cell r="E76">
            <v>33444.155626</v>
          </cell>
          <cell r="F76">
            <v>33460.057284000002</v>
          </cell>
          <cell r="G76">
            <v>36508.303247999997</v>
          </cell>
          <cell r="H76">
            <v>22108.966917999998</v>
          </cell>
          <cell r="I76">
            <v>21212.465640999999</v>
          </cell>
          <cell r="J76">
            <v>29036.689354999999</v>
          </cell>
          <cell r="K76">
            <v>38076.765839</v>
          </cell>
          <cell r="L76">
            <v>31527.946512999999</v>
          </cell>
          <cell r="M76">
            <v>32958.092187000002</v>
          </cell>
          <cell r="N76">
            <v>25620.842002000001</v>
          </cell>
        </row>
        <row r="77">
          <cell r="C77">
            <v>2379.3272980000002</v>
          </cell>
          <cell r="D77">
            <v>2711.381042</v>
          </cell>
          <cell r="E77">
            <v>1969.7662270000001</v>
          </cell>
          <cell r="F77">
            <v>2813.2934009999999</v>
          </cell>
          <cell r="G77">
            <v>2644.471708</v>
          </cell>
          <cell r="H77">
            <v>1703.5411140000001</v>
          </cell>
          <cell r="I77">
            <v>1056.59959</v>
          </cell>
          <cell r="J77">
            <v>1279.194019</v>
          </cell>
          <cell r="K77">
            <v>2422.685356</v>
          </cell>
          <cell r="L77">
            <v>2692.0518200000001</v>
          </cell>
          <cell r="M77">
            <v>2944.2025170000002</v>
          </cell>
          <cell r="N77">
            <v>1766.911188</v>
          </cell>
        </row>
        <row r="78">
          <cell r="C78">
            <v>5717.0684940000001</v>
          </cell>
          <cell r="D78">
            <v>2153.9106109999998</v>
          </cell>
          <cell r="E78">
            <v>3297.941022</v>
          </cell>
          <cell r="F78">
            <v>5046.9643040000001</v>
          </cell>
          <cell r="G78">
            <v>2945.360713</v>
          </cell>
          <cell r="H78">
            <v>4517.914992</v>
          </cell>
          <cell r="I78">
            <v>17479.642759999999</v>
          </cell>
          <cell r="J78">
            <v>2700.94551</v>
          </cell>
          <cell r="K78">
            <v>1953.337211</v>
          </cell>
          <cell r="L78">
            <v>3681.4090649999998</v>
          </cell>
          <cell r="M78">
            <v>4685.1903279999997</v>
          </cell>
          <cell r="N78">
            <v>1578.026046</v>
          </cell>
        </row>
        <row r="79">
          <cell r="C79">
            <v>734.686285</v>
          </cell>
          <cell r="D79">
            <v>721.95403799999997</v>
          </cell>
          <cell r="E79">
            <v>1133.695219</v>
          </cell>
          <cell r="F79">
            <v>863.54748500000005</v>
          </cell>
          <cell r="G79">
            <v>675.70643800000005</v>
          </cell>
          <cell r="H79">
            <v>486.79537299999998</v>
          </cell>
          <cell r="I79">
            <v>917.73486600000001</v>
          </cell>
          <cell r="J79">
            <v>740.16538700000001</v>
          </cell>
          <cell r="K79">
            <v>489.43990100000002</v>
          </cell>
          <cell r="L79">
            <v>772.81222500000001</v>
          </cell>
          <cell r="M79">
            <v>578.79364699999996</v>
          </cell>
          <cell r="N79">
            <v>567.34535500000004</v>
          </cell>
        </row>
        <row r="80">
          <cell r="C80">
            <v>1888.34827</v>
          </cell>
          <cell r="D80">
            <v>1861.041874</v>
          </cell>
          <cell r="E80">
            <v>1490.9472880000001</v>
          </cell>
          <cell r="F80">
            <v>1624.352097</v>
          </cell>
          <cell r="G80">
            <v>1951.635779</v>
          </cell>
          <cell r="H80">
            <v>1626.3142310000001</v>
          </cell>
          <cell r="I80">
            <v>1543.240804</v>
          </cell>
          <cell r="J80">
            <v>1059.7796740000001</v>
          </cell>
          <cell r="K80">
            <v>1855.667745</v>
          </cell>
          <cell r="L80">
            <v>1864.8935509999999</v>
          </cell>
          <cell r="M80">
            <v>1765.251706</v>
          </cell>
          <cell r="N80">
            <v>1567.1821130000001</v>
          </cell>
        </row>
        <row r="81">
          <cell r="C81">
            <v>709.539714</v>
          </cell>
          <cell r="D81">
            <v>490.770894</v>
          </cell>
          <cell r="E81">
            <v>560.43574000000001</v>
          </cell>
          <cell r="F81">
            <v>619.84537399999999</v>
          </cell>
          <cell r="G81">
            <v>831.31517399999996</v>
          </cell>
          <cell r="H81">
            <v>718.04727100000002</v>
          </cell>
          <cell r="I81">
            <v>640.34516499999995</v>
          </cell>
          <cell r="J81">
            <v>750.95594800000003</v>
          </cell>
          <cell r="K81">
            <v>572.56925000000001</v>
          </cell>
          <cell r="L81">
            <v>607.03910900000005</v>
          </cell>
          <cell r="M81">
            <v>677.89668500000005</v>
          </cell>
          <cell r="N81">
            <v>470.09115800000001</v>
          </cell>
        </row>
        <row r="82">
          <cell r="C82">
            <v>1624.995032</v>
          </cell>
          <cell r="D82">
            <v>1168.3062210000001</v>
          </cell>
          <cell r="E82">
            <v>1343.2996840000001</v>
          </cell>
          <cell r="F82">
            <v>1406.368136</v>
          </cell>
          <cell r="G82">
            <v>1425.6372369999999</v>
          </cell>
          <cell r="H82">
            <v>1714.9247130000001</v>
          </cell>
          <cell r="I82">
            <v>1737.9567480000001</v>
          </cell>
          <cell r="J82">
            <v>2121.4761279999998</v>
          </cell>
          <cell r="K82">
            <v>1614.0888</v>
          </cell>
          <cell r="L82">
            <v>1703.1635429999999</v>
          </cell>
          <cell r="M82">
            <v>1667.1654960000001</v>
          </cell>
          <cell r="N82">
            <v>1435.1953559999999</v>
          </cell>
        </row>
        <row r="83">
          <cell r="C83">
            <v>-1.3215589999999999</v>
          </cell>
          <cell r="D83">
            <v>5.8050999999999998E-2</v>
          </cell>
          <cell r="E83">
            <v>-0.57156899999999999</v>
          </cell>
          <cell r="F83">
            <v>-1.0044409999999999</v>
          </cell>
          <cell r="G83">
            <v>-1.54609</v>
          </cell>
          <cell r="H83">
            <v>-1.6874100000000001</v>
          </cell>
          <cell r="I83">
            <v>-1.2557199999999999</v>
          </cell>
          <cell r="J83">
            <v>-0.546122</v>
          </cell>
          <cell r="K83">
            <v>-0.82871899999999998</v>
          </cell>
          <cell r="L83">
            <v>-2.4108000000000001</v>
          </cell>
          <cell r="M83">
            <v>-6.6966999999999999E-2</v>
          </cell>
          <cell r="N83">
            <v>-0.23163</v>
          </cell>
        </row>
        <row r="84">
          <cell r="C84">
            <v>505.48613999999998</v>
          </cell>
          <cell r="D84">
            <v>369.915524</v>
          </cell>
          <cell r="E84">
            <v>518.41726000000006</v>
          </cell>
          <cell r="F84">
            <v>355.55065500000001</v>
          </cell>
          <cell r="G84">
            <v>485.39674300000001</v>
          </cell>
          <cell r="H84">
            <v>536.96891700000003</v>
          </cell>
          <cell r="I84">
            <v>396.49310100000002</v>
          </cell>
          <cell r="J84">
            <v>489.70356900000002</v>
          </cell>
          <cell r="K84">
            <v>585.27412100000004</v>
          </cell>
          <cell r="L84">
            <v>506.48554799999999</v>
          </cell>
          <cell r="M84">
            <v>433.51028000000002</v>
          </cell>
          <cell r="N84">
            <v>306.89558699999998</v>
          </cell>
        </row>
        <row r="85">
          <cell r="C85">
            <v>1229.4270079999999</v>
          </cell>
          <cell r="D85">
            <v>1182.7084030000001</v>
          </cell>
          <cell r="E85">
            <v>1501.97127</v>
          </cell>
          <cell r="F85">
            <v>1260.9148170000001</v>
          </cell>
          <cell r="G85">
            <v>1405.101621</v>
          </cell>
          <cell r="H85">
            <v>1443.945559</v>
          </cell>
          <cell r="I85">
            <v>1120.145681</v>
          </cell>
          <cell r="J85">
            <v>1467.345296</v>
          </cell>
          <cell r="K85">
            <v>1466.0657140000001</v>
          </cell>
          <cell r="L85">
            <v>1346.2599809999999</v>
          </cell>
          <cell r="M85">
            <v>1412.3163039999999</v>
          </cell>
          <cell r="N85">
            <v>978.67577000000006</v>
          </cell>
        </row>
        <row r="86">
          <cell r="C86">
            <v>619.18876299999999</v>
          </cell>
          <cell r="D86">
            <v>834.23171000000002</v>
          </cell>
          <cell r="E86">
            <v>322.56724000000003</v>
          </cell>
          <cell r="F86">
            <v>410.60597100000001</v>
          </cell>
          <cell r="G86">
            <v>390.716905</v>
          </cell>
          <cell r="H86">
            <v>222.22322800000001</v>
          </cell>
          <cell r="I86">
            <v>223.525046</v>
          </cell>
          <cell r="J86">
            <v>223.815665</v>
          </cell>
          <cell r="K86">
            <v>266.52050400000002</v>
          </cell>
          <cell r="L86">
            <v>230.47946899999999</v>
          </cell>
          <cell r="M86">
            <v>145.08855299999999</v>
          </cell>
          <cell r="N86">
            <v>103.89781600000001</v>
          </cell>
        </row>
        <row r="87">
          <cell r="C87">
            <v>14.157219</v>
          </cell>
          <cell r="D87">
            <v>29.113524000000002</v>
          </cell>
          <cell r="E87">
            <v>53.189205999999999</v>
          </cell>
          <cell r="F87">
            <v>25.727146999999999</v>
          </cell>
          <cell r="G87">
            <v>-1.8823719999999999</v>
          </cell>
          <cell r="H87">
            <v>-5.2714249999999998</v>
          </cell>
          <cell r="I87">
            <v>-4.3257149999999998</v>
          </cell>
          <cell r="J87">
            <v>-0.67661499999999997</v>
          </cell>
          <cell r="K87">
            <v>-2.272586</v>
          </cell>
          <cell r="L87">
            <v>-8.1491319999999998</v>
          </cell>
          <cell r="M87">
            <v>-9.1081789999999998</v>
          </cell>
          <cell r="N87">
            <v>-6.9798159999999996</v>
          </cell>
        </row>
        <row r="88">
          <cell r="C88">
            <v>410.096675</v>
          </cell>
          <cell r="D88">
            <v>373.46828399999998</v>
          </cell>
          <cell r="E88">
            <v>653.669894</v>
          </cell>
          <cell r="F88">
            <v>439.65377599999999</v>
          </cell>
          <cell r="G88">
            <v>158.00574700000001</v>
          </cell>
          <cell r="H88">
            <v>-16.222192</v>
          </cell>
          <cell r="I88">
            <v>-5.8303349999999998</v>
          </cell>
          <cell r="J88">
            <v>-17.631716999999998</v>
          </cell>
          <cell r="K88">
            <v>-12.779517999999999</v>
          </cell>
          <cell r="L88">
            <v>-30.754145999999999</v>
          </cell>
          <cell r="M88">
            <v>-69.090351999999996</v>
          </cell>
          <cell r="N88">
            <v>-83.953926999999993</v>
          </cell>
        </row>
        <row r="89">
          <cell r="C89">
            <v>337.83921900000001</v>
          </cell>
          <cell r="D89">
            <v>349.80003299999998</v>
          </cell>
          <cell r="E89">
            <v>469.72056600000002</v>
          </cell>
          <cell r="F89">
            <v>405.60829899999999</v>
          </cell>
          <cell r="G89">
            <v>205.316193</v>
          </cell>
          <cell r="H89">
            <v>68.371162999999996</v>
          </cell>
          <cell r="I89">
            <v>61.39228</v>
          </cell>
          <cell r="J89">
            <v>67.405120999999994</v>
          </cell>
          <cell r="K89">
            <v>98.328941</v>
          </cell>
          <cell r="L89">
            <v>124.258416</v>
          </cell>
          <cell r="M89">
            <v>77.731414000000001</v>
          </cell>
          <cell r="N89">
            <v>86.273996999999994</v>
          </cell>
        </row>
        <row r="90">
          <cell r="C90">
            <v>1092.808675</v>
          </cell>
          <cell r="D90">
            <v>1446.009172</v>
          </cell>
          <cell r="E90">
            <v>1777.2299109999999</v>
          </cell>
          <cell r="F90">
            <v>1401.376663</v>
          </cell>
          <cell r="G90">
            <v>1266.1358929999999</v>
          </cell>
          <cell r="H90">
            <v>1155.8134259999999</v>
          </cell>
          <cell r="I90">
            <v>421.48259400000001</v>
          </cell>
          <cell r="J90">
            <v>281.19515000000001</v>
          </cell>
          <cell r="K90">
            <v>414.19809700000002</v>
          </cell>
          <cell r="L90">
            <v>1259.4487730000001</v>
          </cell>
          <cell r="M90">
            <v>1029.135282</v>
          </cell>
          <cell r="N90">
            <v>484.24891200000002</v>
          </cell>
        </row>
        <row r="91">
          <cell r="C91">
            <v>320.98511100000002</v>
          </cell>
          <cell r="D91">
            <v>600.08497199999999</v>
          </cell>
          <cell r="E91">
            <v>366.42268300000001</v>
          </cell>
          <cell r="F91">
            <v>1464.0536</v>
          </cell>
          <cell r="G91">
            <v>1349.6673989999999</v>
          </cell>
          <cell r="H91">
            <v>491.35831300000001</v>
          </cell>
          <cell r="I91">
            <v>557.85207700000001</v>
          </cell>
          <cell r="J91">
            <v>847.94713400000001</v>
          </cell>
          <cell r="K91">
            <v>1061.221485</v>
          </cell>
          <cell r="L91">
            <v>934.50655300000005</v>
          </cell>
          <cell r="M91">
            <v>608.60783400000003</v>
          </cell>
          <cell r="N91">
            <v>895.10272299999997</v>
          </cell>
        </row>
        <row r="92">
          <cell r="C92">
            <v>55.819519999999997</v>
          </cell>
          <cell r="D92">
            <v>115.77052999999999</v>
          </cell>
          <cell r="E92">
            <v>83.868347</v>
          </cell>
          <cell r="F92">
            <v>47.546934</v>
          </cell>
          <cell r="G92">
            <v>317.61289699999998</v>
          </cell>
          <cell r="H92">
            <v>78.700727000000001</v>
          </cell>
          <cell r="I92">
            <v>44.442630999999999</v>
          </cell>
          <cell r="J92">
            <v>60.158138000000001</v>
          </cell>
          <cell r="K92">
            <v>-176.52946299999999</v>
          </cell>
          <cell r="L92">
            <v>21.451523999999999</v>
          </cell>
          <cell r="M92">
            <v>17.105269</v>
          </cell>
          <cell r="N92">
            <v>12.296868999999999</v>
          </cell>
        </row>
        <row r="93">
          <cell r="C93">
            <v>299.849538</v>
          </cell>
          <cell r="D93">
            <v>276.34195899999997</v>
          </cell>
          <cell r="E93">
            <v>293.70659000000001</v>
          </cell>
          <cell r="F93">
            <v>218.67989399999999</v>
          </cell>
          <cell r="G93">
            <v>202.40213299999999</v>
          </cell>
          <cell r="H93">
            <v>22.858692000000001</v>
          </cell>
          <cell r="I93">
            <v>48.475670999999998</v>
          </cell>
          <cell r="J93">
            <v>49.916333999999999</v>
          </cell>
          <cell r="K93">
            <v>88.153513000000004</v>
          </cell>
          <cell r="L93">
            <v>44.029527000000002</v>
          </cell>
          <cell r="M93">
            <v>45.524163000000001</v>
          </cell>
          <cell r="N93">
            <v>60.968784999999997</v>
          </cell>
        </row>
        <row r="94">
          <cell r="C94">
            <v>812.391932</v>
          </cell>
          <cell r="D94">
            <v>2320.4724230000002</v>
          </cell>
          <cell r="E94">
            <v>2109.3174049999998</v>
          </cell>
          <cell r="F94">
            <v>2126.481491</v>
          </cell>
          <cell r="G94">
            <v>2162.1084890000002</v>
          </cell>
          <cell r="H94">
            <v>1339.692681</v>
          </cell>
          <cell r="I94">
            <v>1104.092684</v>
          </cell>
          <cell r="J94">
            <v>958.27687400000002</v>
          </cell>
          <cell r="K94">
            <v>952.29402300000004</v>
          </cell>
          <cell r="L94">
            <v>1483.903892</v>
          </cell>
          <cell r="M94">
            <v>1457.311706</v>
          </cell>
          <cell r="N94">
            <v>969.08187099999998</v>
          </cell>
        </row>
        <row r="95">
          <cell r="C95">
            <v>854.23747000000003</v>
          </cell>
          <cell r="D95">
            <v>927.004637</v>
          </cell>
          <cell r="E95">
            <v>1651.5522269999999</v>
          </cell>
          <cell r="F95">
            <v>968.74917300000004</v>
          </cell>
          <cell r="G95">
            <v>1113.7664239999999</v>
          </cell>
          <cell r="H95">
            <v>829.559349</v>
          </cell>
          <cell r="I95">
            <v>776.62872200000004</v>
          </cell>
          <cell r="J95">
            <v>760.36902899999995</v>
          </cell>
          <cell r="K95">
            <v>1024.3786789999999</v>
          </cell>
          <cell r="L95">
            <v>1287.0293650000001</v>
          </cell>
          <cell r="M95">
            <v>913.63991299999998</v>
          </cell>
          <cell r="N95">
            <v>650.82796599999995</v>
          </cell>
        </row>
        <row r="96">
          <cell r="C96">
            <v>39.736181000000002</v>
          </cell>
          <cell r="D96">
            <v>69.393544000000006</v>
          </cell>
          <cell r="E96">
            <v>111.444013</v>
          </cell>
          <cell r="F96">
            <v>125.111053</v>
          </cell>
          <cell r="G96">
            <v>68.707220000000007</v>
          </cell>
          <cell r="H96">
            <v>88.696631999999994</v>
          </cell>
          <cell r="I96">
            <v>48.417910999999997</v>
          </cell>
          <cell r="J96">
            <v>25.695049000000001</v>
          </cell>
          <cell r="K96">
            <v>49.791772000000002</v>
          </cell>
          <cell r="L96">
            <v>137.24359999999999</v>
          </cell>
          <cell r="M96">
            <v>66.486971999999994</v>
          </cell>
          <cell r="N96">
            <v>32.274852000000003</v>
          </cell>
        </row>
        <row r="97">
          <cell r="C97">
            <v>192.71559600000001</v>
          </cell>
          <cell r="D97">
            <v>154.92191199999999</v>
          </cell>
          <cell r="E97">
            <v>289.05953</v>
          </cell>
          <cell r="F97">
            <v>287.97812699999997</v>
          </cell>
          <cell r="G97">
            <v>423.72572200000002</v>
          </cell>
          <cell r="H97">
            <v>275.15413000000001</v>
          </cell>
          <cell r="I97">
            <v>912.67345799999998</v>
          </cell>
          <cell r="J97">
            <v>134.05319399999999</v>
          </cell>
          <cell r="K97">
            <v>239.67295799999999</v>
          </cell>
          <cell r="L97">
            <v>489.72977100000003</v>
          </cell>
          <cell r="M97">
            <v>201.30741800000001</v>
          </cell>
          <cell r="N97">
            <v>70.997407999999993</v>
          </cell>
        </row>
        <row r="98">
          <cell r="C98">
            <v>41.569688999999997</v>
          </cell>
          <cell r="D98">
            <v>72.724845999999999</v>
          </cell>
          <cell r="E98">
            <v>207.189356</v>
          </cell>
          <cell r="F98">
            <v>79.763949999999994</v>
          </cell>
          <cell r="G98">
            <v>92.729124999999996</v>
          </cell>
          <cell r="H98">
            <v>59.576017</v>
          </cell>
          <cell r="I98">
            <v>69.255465999999998</v>
          </cell>
          <cell r="J98">
            <v>141.947868</v>
          </cell>
          <cell r="K98">
            <v>73.264026000000001</v>
          </cell>
          <cell r="L98">
            <v>36.352921000000002</v>
          </cell>
          <cell r="M98">
            <v>28.872226000000001</v>
          </cell>
          <cell r="N98">
            <v>58.306883999999997</v>
          </cell>
        </row>
        <row r="99">
          <cell r="C99">
            <v>114.795152</v>
          </cell>
          <cell r="D99">
            <v>178.25501700000001</v>
          </cell>
          <cell r="E99">
            <v>166.02084199999999</v>
          </cell>
          <cell r="F99">
            <v>129.96387799999999</v>
          </cell>
          <cell r="G99">
            <v>94.154915000000003</v>
          </cell>
          <cell r="H99">
            <v>87.988276999999997</v>
          </cell>
          <cell r="I99">
            <v>63.048405000000002</v>
          </cell>
          <cell r="J99">
            <v>155.562983</v>
          </cell>
          <cell r="K99">
            <v>149.294453</v>
          </cell>
          <cell r="L99">
            <v>212.87837200000001</v>
          </cell>
          <cell r="M99">
            <v>124.11653</v>
          </cell>
          <cell r="N99">
            <v>44.286110000000001</v>
          </cell>
        </row>
        <row r="100">
          <cell r="C100">
            <v>2.9556450000000001</v>
          </cell>
          <cell r="D100">
            <v>9.4225530000000006</v>
          </cell>
          <cell r="E100">
            <v>9.6417920000000006</v>
          </cell>
          <cell r="F100">
            <v>10.638145</v>
          </cell>
          <cell r="G100">
            <v>26.924427000000001</v>
          </cell>
          <cell r="H100">
            <v>55.303784</v>
          </cell>
          <cell r="I100">
            <v>64.722592000000006</v>
          </cell>
          <cell r="J100">
            <v>44.617088000000003</v>
          </cell>
          <cell r="K100">
            <v>22.094560999999999</v>
          </cell>
          <cell r="L100">
            <v>68.694755999999998</v>
          </cell>
          <cell r="M100">
            <v>117.537502</v>
          </cell>
          <cell r="N100">
            <v>617.00021800000002</v>
          </cell>
        </row>
        <row r="101">
          <cell r="C101">
            <v>32.331392999999998</v>
          </cell>
          <cell r="D101">
            <v>39.898854</v>
          </cell>
          <cell r="E101">
            <v>83.370065999999994</v>
          </cell>
          <cell r="F101">
            <v>281.351089</v>
          </cell>
          <cell r="G101">
            <v>692.88833799999998</v>
          </cell>
          <cell r="H101">
            <v>648.03418199999999</v>
          </cell>
          <cell r="I101">
            <v>603.34126700000002</v>
          </cell>
          <cell r="J101">
            <v>106.87522300000001</v>
          </cell>
          <cell r="K101">
            <v>29.498885000000001</v>
          </cell>
          <cell r="L101">
            <v>203.03174799999999</v>
          </cell>
          <cell r="M101">
            <v>873.87379399999998</v>
          </cell>
          <cell r="N101">
            <v>1150.099424</v>
          </cell>
        </row>
        <row r="102">
          <cell r="C102">
            <v>0.50107000000000002</v>
          </cell>
          <cell r="D102">
            <v>2.2669999999999999E-3</v>
          </cell>
          <cell r="E102">
            <v>1.1612000000000001E-2</v>
          </cell>
          <cell r="F102">
            <v>7.3399999999999995E-4</v>
          </cell>
          <cell r="G102">
            <v>4.003088</v>
          </cell>
          <cell r="H102">
            <v>0.50003500000000001</v>
          </cell>
          <cell r="I102">
            <v>4.3399999999999998E-4</v>
          </cell>
          <cell r="J102">
            <v>2.0074420000000002</v>
          </cell>
          <cell r="K102">
            <v>3.7300000000000001E-4</v>
          </cell>
          <cell r="L102">
            <v>5.6899999999999995E-4</v>
          </cell>
          <cell r="M102">
            <v>4.8799999999999999E-4</v>
          </cell>
          <cell r="N102">
            <v>0</v>
          </cell>
        </row>
        <row r="103">
          <cell r="C103">
            <v>3.2414869999999998</v>
          </cell>
          <cell r="D103">
            <v>3.6525539999999999</v>
          </cell>
          <cell r="E103">
            <v>8.9309919999999998</v>
          </cell>
          <cell r="F103">
            <v>3.0545469999999999</v>
          </cell>
          <cell r="G103">
            <v>7.1123279999999998</v>
          </cell>
          <cell r="H103">
            <v>8.1977180000000001</v>
          </cell>
          <cell r="I103">
            <v>7.3471989999999998</v>
          </cell>
          <cell r="J103">
            <v>5.4602409999999999</v>
          </cell>
          <cell r="K103">
            <v>4.1365920000000003</v>
          </cell>
          <cell r="L103">
            <v>6.6365299999999996</v>
          </cell>
          <cell r="M103">
            <v>4.0005389999999998</v>
          </cell>
          <cell r="N103">
            <v>3.9736889999999998</v>
          </cell>
        </row>
        <row r="104">
          <cell r="C104">
            <v>12.975669</v>
          </cell>
          <cell r="D104">
            <v>14.778504</v>
          </cell>
          <cell r="E104">
            <v>31.627292000000001</v>
          </cell>
          <cell r="F104">
            <v>19.516338999999999</v>
          </cell>
          <cell r="G104">
            <v>32.826974999999997</v>
          </cell>
          <cell r="H104">
            <v>24.715871</v>
          </cell>
          <cell r="I104">
            <v>26.898254000000001</v>
          </cell>
          <cell r="J104">
            <v>21.556574999999999</v>
          </cell>
          <cell r="K104">
            <v>26.160155</v>
          </cell>
          <cell r="L104">
            <v>55.064804000000002</v>
          </cell>
          <cell r="M104">
            <v>122.339147</v>
          </cell>
          <cell r="N104">
            <v>72.403688000000002</v>
          </cell>
        </row>
        <row r="105">
          <cell r="C105">
            <v>9.1966490000000007</v>
          </cell>
          <cell r="D105">
            <v>23.236944000000001</v>
          </cell>
          <cell r="E105">
            <v>25.572011</v>
          </cell>
          <cell r="F105">
            <v>15.149846</v>
          </cell>
          <cell r="G105">
            <v>90.024596000000003</v>
          </cell>
          <cell r="H105">
            <v>64.905310999999998</v>
          </cell>
          <cell r="I105">
            <v>174.86169000000001</v>
          </cell>
          <cell r="J105">
            <v>30.017534999999999</v>
          </cell>
          <cell r="K105">
            <v>17.825942999999999</v>
          </cell>
          <cell r="L105">
            <v>105.367786</v>
          </cell>
          <cell r="M105">
            <v>82.719127999999998</v>
          </cell>
          <cell r="N105">
            <v>57.815002</v>
          </cell>
        </row>
        <row r="106">
          <cell r="C106">
            <v>0.46468799999999999</v>
          </cell>
          <cell r="D106">
            <v>1.6164069999999999</v>
          </cell>
          <cell r="E106">
            <v>7.8395330000000003</v>
          </cell>
          <cell r="F106">
            <v>1.794535</v>
          </cell>
          <cell r="G106">
            <v>0.829928</v>
          </cell>
          <cell r="H106">
            <v>0.305894</v>
          </cell>
          <cell r="I106">
            <v>0.29440499999999997</v>
          </cell>
          <cell r="J106">
            <v>7.6559000000000002E-2</v>
          </cell>
          <cell r="K106">
            <v>3.13E-3</v>
          </cell>
          <cell r="L106">
            <v>0.39570300000000003</v>
          </cell>
          <cell r="M106">
            <v>0.25667299999999998</v>
          </cell>
          <cell r="N106">
            <v>2.4260000000000002E-3</v>
          </cell>
        </row>
        <row r="107">
          <cell r="C107">
            <v>5.8447129999999996</v>
          </cell>
          <cell r="D107">
            <v>11.487793</v>
          </cell>
          <cell r="E107">
            <v>63.578009000000002</v>
          </cell>
          <cell r="F107">
            <v>19.843903000000001</v>
          </cell>
          <cell r="G107">
            <v>37.619819</v>
          </cell>
          <cell r="H107">
            <v>1.0994029999999999</v>
          </cell>
          <cell r="I107">
            <v>3.0260669999999998</v>
          </cell>
          <cell r="J107">
            <v>0.46427200000000002</v>
          </cell>
          <cell r="K107">
            <v>5.4011999999999998E-2</v>
          </cell>
          <cell r="L107">
            <v>0.43974000000000002</v>
          </cell>
          <cell r="M107">
            <v>6.7732000000000001E-2</v>
          </cell>
          <cell r="N107">
            <v>2.0892000000000001E-2</v>
          </cell>
        </row>
        <row r="108">
          <cell r="C108">
            <v>4.2421790000000001</v>
          </cell>
          <cell r="D108">
            <v>9.9749309999999998</v>
          </cell>
          <cell r="E108">
            <v>45.325980999999999</v>
          </cell>
          <cell r="F108">
            <v>16.826574000000001</v>
          </cell>
          <cell r="G108">
            <v>45.148316999999999</v>
          </cell>
          <cell r="H108">
            <v>23.149329999999999</v>
          </cell>
          <cell r="I108">
            <v>56.536682999999996</v>
          </cell>
          <cell r="J108">
            <v>10.253627</v>
          </cell>
          <cell r="K108">
            <v>6.0221980000000004</v>
          </cell>
          <cell r="L108">
            <v>64.989925999999997</v>
          </cell>
          <cell r="M108">
            <v>94.253771999999998</v>
          </cell>
          <cell r="N108">
            <v>59.992902000000001</v>
          </cell>
        </row>
        <row r="109">
          <cell r="C109">
            <v>163.84223700000001</v>
          </cell>
          <cell r="D109">
            <v>196.60771199999999</v>
          </cell>
          <cell r="E109">
            <v>181.08464000000001</v>
          </cell>
          <cell r="F109">
            <v>198.43728300000001</v>
          </cell>
          <cell r="G109">
            <v>159.63605200000001</v>
          </cell>
          <cell r="H109">
            <v>159.39126400000001</v>
          </cell>
          <cell r="I109">
            <v>177.64027400000001</v>
          </cell>
          <cell r="J109">
            <v>152.200457</v>
          </cell>
          <cell r="K109">
            <v>199.34594999999999</v>
          </cell>
          <cell r="L109">
            <v>174.483465</v>
          </cell>
          <cell r="M109">
            <v>154.458618</v>
          </cell>
          <cell r="N109">
            <v>185.74118300000001</v>
          </cell>
        </row>
        <row r="110">
          <cell r="C110">
            <v>273.87496099999998</v>
          </cell>
          <cell r="D110">
            <v>281.46742399999999</v>
          </cell>
          <cell r="E110">
            <v>267.99293299999999</v>
          </cell>
          <cell r="F110">
            <v>279.11255899999998</v>
          </cell>
          <cell r="G110">
            <v>242.097477</v>
          </cell>
          <cell r="H110">
            <v>267.86856399999999</v>
          </cell>
          <cell r="I110">
            <v>239.541977</v>
          </cell>
          <cell r="J110">
            <v>204.96372500000001</v>
          </cell>
          <cell r="K110">
            <v>257.00787700000001</v>
          </cell>
          <cell r="L110">
            <v>228.19686899999999</v>
          </cell>
          <cell r="M110">
            <v>254.62825100000001</v>
          </cell>
          <cell r="N110">
            <v>280.41329400000001</v>
          </cell>
        </row>
        <row r="111">
          <cell r="C111">
            <v>37.492567000000001</v>
          </cell>
          <cell r="D111">
            <v>40.176575</v>
          </cell>
          <cell r="E111">
            <v>39.623269999999998</v>
          </cell>
          <cell r="F111">
            <v>35.639297999999997</v>
          </cell>
          <cell r="G111">
            <v>42.033164999999997</v>
          </cell>
          <cell r="H111">
            <v>43.571084999999997</v>
          </cell>
          <cell r="I111">
            <v>43.806455999999997</v>
          </cell>
          <cell r="J111">
            <v>38.394658</v>
          </cell>
          <cell r="K111">
            <v>28.415140999999998</v>
          </cell>
          <cell r="L111">
            <v>31.186102999999999</v>
          </cell>
          <cell r="M111">
            <v>28.962226999999999</v>
          </cell>
          <cell r="N111">
            <v>28.039207999999999</v>
          </cell>
        </row>
        <row r="112">
          <cell r="C112">
            <v>40.537627999999998</v>
          </cell>
          <cell r="D112">
            <v>56.208616999999997</v>
          </cell>
          <cell r="E112">
            <v>29.433371000000001</v>
          </cell>
          <cell r="F112">
            <v>41.628031</v>
          </cell>
          <cell r="G112">
            <v>39.930129000000001</v>
          </cell>
          <cell r="H112">
            <v>38.828938000000001</v>
          </cell>
          <cell r="I112">
            <v>34.864382999999997</v>
          </cell>
          <cell r="J112">
            <v>33.660029999999999</v>
          </cell>
          <cell r="K112">
            <v>44.097344</v>
          </cell>
          <cell r="L112">
            <v>36.599193999999997</v>
          </cell>
          <cell r="M112">
            <v>31.221968</v>
          </cell>
          <cell r="N112">
            <v>62.169642000000003</v>
          </cell>
        </row>
        <row r="113">
          <cell r="C113">
            <v>239.6867</v>
          </cell>
          <cell r="D113">
            <v>256.27023700000001</v>
          </cell>
          <cell r="E113">
            <v>315.57597800000002</v>
          </cell>
          <cell r="F113">
            <v>364.94059299999998</v>
          </cell>
          <cell r="G113">
            <v>389.97520600000001</v>
          </cell>
          <cell r="H113">
            <v>361.94211799999999</v>
          </cell>
          <cell r="I113">
            <v>327.07797699999998</v>
          </cell>
          <cell r="J113">
            <v>302.23941400000001</v>
          </cell>
          <cell r="K113">
            <v>339.71885800000001</v>
          </cell>
          <cell r="L113">
            <v>337.74479200000002</v>
          </cell>
          <cell r="M113">
            <v>293.868359</v>
          </cell>
          <cell r="N113">
            <v>426.890535</v>
          </cell>
        </row>
        <row r="114">
          <cell r="C114">
            <v>312.33421399999997</v>
          </cell>
          <cell r="D114">
            <v>403.11706600000002</v>
          </cell>
          <cell r="E114">
            <v>361.96862199999998</v>
          </cell>
          <cell r="F114">
            <v>382.81593099999998</v>
          </cell>
          <cell r="G114">
            <v>364.31267000000003</v>
          </cell>
          <cell r="H114">
            <v>321.09366399999999</v>
          </cell>
          <cell r="I114">
            <v>301.01139599999999</v>
          </cell>
          <cell r="J114">
            <v>466.25115</v>
          </cell>
          <cell r="K114">
            <v>433.511889</v>
          </cell>
          <cell r="L114">
            <v>486.29018300000001</v>
          </cell>
          <cell r="M114">
            <v>396.81645099999997</v>
          </cell>
          <cell r="N114">
            <v>431.05705</v>
          </cell>
        </row>
        <row r="115">
          <cell r="C115">
            <v>36.012301999999998</v>
          </cell>
          <cell r="D115">
            <v>54.000346</v>
          </cell>
          <cell r="E115">
            <v>55.100237999999997</v>
          </cell>
          <cell r="F115">
            <v>48.799374</v>
          </cell>
          <cell r="G115">
            <v>48.607636999999997</v>
          </cell>
          <cell r="H115">
            <v>48.77102</v>
          </cell>
          <cell r="I115">
            <v>27.117842</v>
          </cell>
          <cell r="J115">
            <v>44.49512</v>
          </cell>
          <cell r="K115">
            <v>62.360194999999997</v>
          </cell>
          <cell r="L115">
            <v>51.622689999999999</v>
          </cell>
          <cell r="M115">
            <v>39.537413000000001</v>
          </cell>
          <cell r="N115">
            <v>77.934647999999996</v>
          </cell>
        </row>
        <row r="116">
          <cell r="C116">
            <v>43.02919</v>
          </cell>
          <cell r="D116">
            <v>14.751511000000001</v>
          </cell>
          <cell r="E116">
            <v>55.465108999999998</v>
          </cell>
          <cell r="F116">
            <v>103.552609</v>
          </cell>
          <cell r="G116">
            <v>48.797966000000002</v>
          </cell>
          <cell r="H116">
            <v>131.87929299999999</v>
          </cell>
          <cell r="I116">
            <v>323.010918</v>
          </cell>
          <cell r="J116">
            <v>64.790721000000005</v>
          </cell>
          <cell r="K116">
            <v>22.972569</v>
          </cell>
          <cell r="L116">
            <v>68.599620000000002</v>
          </cell>
          <cell r="M116">
            <v>78.510902000000002</v>
          </cell>
          <cell r="N116">
            <v>30.914912000000001</v>
          </cell>
        </row>
        <row r="117">
          <cell r="C117">
            <v>21.035021</v>
          </cell>
          <cell r="D117">
            <v>28.799420999999999</v>
          </cell>
          <cell r="E117">
            <v>25.175049000000001</v>
          </cell>
          <cell r="F117">
            <v>25.57724</v>
          </cell>
          <cell r="G117">
            <v>19.185690000000001</v>
          </cell>
          <cell r="H117">
            <v>24.788809000000001</v>
          </cell>
          <cell r="I117">
            <v>25.284137999999999</v>
          </cell>
          <cell r="J117">
            <v>22.948093</v>
          </cell>
          <cell r="K117">
            <v>8.5860219999999998</v>
          </cell>
          <cell r="L117">
            <v>15.413284000000001</v>
          </cell>
          <cell r="M117">
            <v>15.622968</v>
          </cell>
          <cell r="N117">
            <v>18.226915000000002</v>
          </cell>
        </row>
        <row r="118">
          <cell r="C118">
            <v>41.778725999999999</v>
          </cell>
          <cell r="D118">
            <v>46.983623999999999</v>
          </cell>
          <cell r="E118">
            <v>34.567138</v>
          </cell>
          <cell r="F118">
            <v>37.436816</v>
          </cell>
          <cell r="G118">
            <v>41.240414999999999</v>
          </cell>
          <cell r="H118">
            <v>37.727063000000001</v>
          </cell>
          <cell r="I118">
            <v>39.176797000000001</v>
          </cell>
          <cell r="J118">
            <v>37.790855000000001</v>
          </cell>
          <cell r="K118">
            <v>58.809232999999999</v>
          </cell>
          <cell r="L118">
            <v>56.321196999999998</v>
          </cell>
          <cell r="M118">
            <v>41.60792</v>
          </cell>
          <cell r="N118">
            <v>42.502958999999997</v>
          </cell>
        </row>
        <row r="119">
          <cell r="C119">
            <v>43.778272000000001</v>
          </cell>
          <cell r="D119">
            <v>25.706669000000002</v>
          </cell>
          <cell r="E119">
            <v>52.692475000000002</v>
          </cell>
          <cell r="F119">
            <v>65.593238999999997</v>
          </cell>
          <cell r="G119">
            <v>65.657015000000001</v>
          </cell>
          <cell r="H119">
            <v>54.966945000000003</v>
          </cell>
          <cell r="I119">
            <v>60.247427999999999</v>
          </cell>
          <cell r="J119">
            <v>47.481563999999999</v>
          </cell>
          <cell r="K119">
            <v>46.122703999999999</v>
          </cell>
          <cell r="L119">
            <v>94.032703999999995</v>
          </cell>
          <cell r="M119">
            <v>55.257798000000001</v>
          </cell>
          <cell r="N119">
            <v>68.036171999999993</v>
          </cell>
        </row>
        <row r="120">
          <cell r="C120">
            <v>86.329718</v>
          </cell>
          <cell r="D120">
            <v>65.774039000000002</v>
          </cell>
          <cell r="E120">
            <v>117.98665099999999</v>
          </cell>
          <cell r="F120">
            <v>110.289097</v>
          </cell>
          <cell r="G120">
            <v>121.50879399999999</v>
          </cell>
          <cell r="H120">
            <v>123.27058100000001</v>
          </cell>
          <cell r="I120">
            <v>157.76974899999999</v>
          </cell>
          <cell r="J120">
            <v>145.82718700000001</v>
          </cell>
          <cell r="K120">
            <v>99.866287</v>
          </cell>
          <cell r="L120">
            <v>160.845876</v>
          </cell>
          <cell r="M120">
            <v>134.128491</v>
          </cell>
          <cell r="N120">
            <v>168.335219</v>
          </cell>
        </row>
        <row r="121">
          <cell r="C121">
            <v>4.1465000000000002E-2</v>
          </cell>
          <cell r="D121">
            <v>2.2896E-2</v>
          </cell>
          <cell r="E121">
            <v>1.9417E-2</v>
          </cell>
          <cell r="F121">
            <v>1.859E-3</v>
          </cell>
          <cell r="G121">
            <v>9.5689999999999994E-3</v>
          </cell>
          <cell r="H121">
            <v>4.7999E-2</v>
          </cell>
          <cell r="I121">
            <v>2.9940000000000001E-3</v>
          </cell>
          <cell r="J121">
            <v>0.13253000000000001</v>
          </cell>
          <cell r="K121">
            <v>2.4306999999999999E-2</v>
          </cell>
          <cell r="L121">
            <v>5.2775000000000002E-2</v>
          </cell>
          <cell r="M121">
            <v>9.4579999999999994E-3</v>
          </cell>
          <cell r="N121">
            <v>4.84E-4</v>
          </cell>
        </row>
        <row r="122">
          <cell r="C122">
            <v>68.121641999999994</v>
          </cell>
          <cell r="D122">
            <v>32.920729999999999</v>
          </cell>
          <cell r="E122">
            <v>60.533318000000001</v>
          </cell>
          <cell r="F122">
            <v>42.853456999999999</v>
          </cell>
          <cell r="G122">
            <v>55.534255000000002</v>
          </cell>
          <cell r="H122">
            <v>59.930383999999997</v>
          </cell>
          <cell r="I122">
            <v>59.012675000000002</v>
          </cell>
          <cell r="J122">
            <v>54.051926999999999</v>
          </cell>
          <cell r="K122">
            <v>52.000942999999999</v>
          </cell>
          <cell r="L122">
            <v>79.305296999999996</v>
          </cell>
          <cell r="M122">
            <v>62.051301000000002</v>
          </cell>
          <cell r="N122">
            <v>56.759650999999998</v>
          </cell>
        </row>
        <row r="123">
          <cell r="C123">
            <v>116.849324</v>
          </cell>
          <cell r="D123">
            <v>112.496551</v>
          </cell>
          <cell r="E123">
            <v>178.23997900000001</v>
          </cell>
          <cell r="F123">
            <v>172.17153500000001</v>
          </cell>
          <cell r="G123">
            <v>169.31931</v>
          </cell>
          <cell r="H123">
            <v>189.64938799999999</v>
          </cell>
          <cell r="I123">
            <v>138.22713899999999</v>
          </cell>
          <cell r="J123">
            <v>170.57619500000001</v>
          </cell>
          <cell r="K123">
            <v>107.399278</v>
          </cell>
          <cell r="L123">
            <v>165.59900099999999</v>
          </cell>
          <cell r="M123">
            <v>173.73498699999999</v>
          </cell>
          <cell r="N123">
            <v>182.87135900000001</v>
          </cell>
        </row>
        <row r="124">
          <cell r="C124">
            <v>18.3567</v>
          </cell>
          <cell r="D124">
            <v>26.296434000000001</v>
          </cell>
          <cell r="E124">
            <v>11.102558999999999</v>
          </cell>
          <cell r="F124">
            <v>14.279581</v>
          </cell>
          <cell r="G124">
            <v>12.245564999999999</v>
          </cell>
          <cell r="H124">
            <v>7.6296390000000001</v>
          </cell>
          <cell r="I124">
            <v>10.453569999999999</v>
          </cell>
          <cell r="J124">
            <v>8.6143619999999999</v>
          </cell>
          <cell r="K124">
            <v>17.450361000000001</v>
          </cell>
          <cell r="L124">
            <v>11.39451</v>
          </cell>
          <cell r="M124">
            <v>8.3144989999999996</v>
          </cell>
          <cell r="N124">
            <v>5.1098249999999998</v>
          </cell>
        </row>
        <row r="125">
          <cell r="C125">
            <v>2.2550699999999999</v>
          </cell>
          <cell r="D125">
            <v>3.5686770000000001</v>
          </cell>
          <cell r="E125">
            <v>3.8453560000000002</v>
          </cell>
          <cell r="F125">
            <v>1.629111</v>
          </cell>
          <cell r="G125">
            <v>0.11611100000000001</v>
          </cell>
          <cell r="H125">
            <v>6.6042000000000003E-2</v>
          </cell>
          <cell r="I125">
            <v>4.7959999999999999E-3</v>
          </cell>
          <cell r="J125">
            <v>2.2187999999999999E-2</v>
          </cell>
          <cell r="K125">
            <v>1.923E-3</v>
          </cell>
          <cell r="L125">
            <v>1.5422999999999999E-2</v>
          </cell>
          <cell r="M125">
            <v>1.1516E-2</v>
          </cell>
          <cell r="N125">
            <v>1.05E-4</v>
          </cell>
        </row>
        <row r="126">
          <cell r="C126">
            <v>35.035592999999999</v>
          </cell>
          <cell r="D126">
            <v>41.661408999999999</v>
          </cell>
          <cell r="E126">
            <v>56.140425999999998</v>
          </cell>
          <cell r="F126">
            <v>48.119847999999998</v>
          </cell>
          <cell r="G126">
            <v>10.048157</v>
          </cell>
          <cell r="H126">
            <v>1.752791</v>
          </cell>
          <cell r="I126">
            <v>1.053868</v>
          </cell>
          <cell r="J126">
            <v>0.417794</v>
          </cell>
          <cell r="K126">
            <v>9.8518999999999995E-2</v>
          </cell>
          <cell r="L126">
            <v>0.25211299999999998</v>
          </cell>
          <cell r="M126">
            <v>0.218502</v>
          </cell>
          <cell r="N126">
            <v>0.134635</v>
          </cell>
        </row>
        <row r="127">
          <cell r="C127">
            <v>30.377579000000001</v>
          </cell>
          <cell r="D127">
            <v>34.989794000000003</v>
          </cell>
          <cell r="E127">
            <v>35.882084999999996</v>
          </cell>
          <cell r="F127">
            <v>31.313013999999999</v>
          </cell>
          <cell r="G127">
            <v>14.582677</v>
          </cell>
          <cell r="H127">
            <v>7.0004600000000003</v>
          </cell>
          <cell r="I127">
            <v>8.2904769999999992</v>
          </cell>
          <cell r="J127">
            <v>9.4213240000000003</v>
          </cell>
          <cell r="K127">
            <v>20.690290999999998</v>
          </cell>
          <cell r="L127">
            <v>20.155899000000002</v>
          </cell>
          <cell r="M127">
            <v>22.670245000000001</v>
          </cell>
          <cell r="N127">
            <v>11.967598000000001</v>
          </cell>
        </row>
        <row r="128">
          <cell r="C128">
            <v>4663.8777040000004</v>
          </cell>
          <cell r="D128">
            <v>5551.3529330000001</v>
          </cell>
          <cell r="E128">
            <v>6228.6299570000001</v>
          </cell>
          <cell r="F128">
            <v>6221.2567669999999</v>
          </cell>
          <cell r="G128">
            <v>5851.0952729999999</v>
          </cell>
          <cell r="H128">
            <v>5439.9148500000001</v>
          </cell>
          <cell r="I128">
            <v>4905.7216040000003</v>
          </cell>
          <cell r="J128">
            <v>4135.5392970000003</v>
          </cell>
          <cell r="K128">
            <v>5332.5670899999996</v>
          </cell>
          <cell r="L128">
            <v>6895.4075089999997</v>
          </cell>
          <cell r="M128">
            <v>5617.8370519999999</v>
          </cell>
          <cell r="N128">
            <v>4987.1448229999996</v>
          </cell>
        </row>
        <row r="129">
          <cell r="C129">
            <v>3744.2960349999998</v>
          </cell>
          <cell r="D129">
            <v>3841.463647</v>
          </cell>
          <cell r="E129">
            <v>4017.9760379999998</v>
          </cell>
          <cell r="F129">
            <v>4782.6184439999997</v>
          </cell>
          <cell r="G129">
            <v>4562.6409620000004</v>
          </cell>
          <cell r="H129">
            <v>4218.9936980000002</v>
          </cell>
          <cell r="I129">
            <v>3950.5077379999998</v>
          </cell>
          <cell r="J129">
            <v>3632.4857010000001</v>
          </cell>
          <cell r="K129">
            <v>4399.3577649999997</v>
          </cell>
          <cell r="L129">
            <v>5052.1675180000002</v>
          </cell>
          <cell r="M129">
            <v>4727.664409</v>
          </cell>
          <cell r="N129">
            <v>4603.7653600000003</v>
          </cell>
        </row>
        <row r="130">
          <cell r="C130">
            <v>1020.1748229999999</v>
          </cell>
          <cell r="D130">
            <v>1023.65374</v>
          </cell>
          <cell r="E130">
            <v>1112.3486760000001</v>
          </cell>
          <cell r="F130">
            <v>981.49620800000002</v>
          </cell>
          <cell r="G130">
            <v>1317.729918</v>
          </cell>
          <cell r="H130">
            <v>996.177549</v>
          </cell>
          <cell r="I130">
            <v>1045.5299359999999</v>
          </cell>
          <cell r="J130">
            <v>958.32002799999998</v>
          </cell>
          <cell r="K130">
            <v>507.56908299999998</v>
          </cell>
          <cell r="L130">
            <v>859.70651299999997</v>
          </cell>
          <cell r="M130">
            <v>701.36429099999998</v>
          </cell>
          <cell r="N130">
            <v>574.90741300000002</v>
          </cell>
        </row>
        <row r="131">
          <cell r="C131">
            <v>995.210734</v>
          </cell>
          <cell r="D131">
            <v>1140.7572279999999</v>
          </cell>
          <cell r="E131">
            <v>855.93994899999996</v>
          </cell>
          <cell r="F131">
            <v>831.52495399999998</v>
          </cell>
          <cell r="G131">
            <v>894.69642199999998</v>
          </cell>
          <cell r="H131">
            <v>716.330691</v>
          </cell>
          <cell r="I131">
            <v>665.39895999999999</v>
          </cell>
          <cell r="J131">
            <v>595.19490299999995</v>
          </cell>
          <cell r="K131">
            <v>775.25173400000006</v>
          </cell>
          <cell r="L131">
            <v>739.73845700000004</v>
          </cell>
          <cell r="M131">
            <v>612.36995200000001</v>
          </cell>
          <cell r="N131">
            <v>933.55085999999994</v>
          </cell>
        </row>
        <row r="132">
          <cell r="C132">
            <v>13094.331953999999</v>
          </cell>
          <cell r="D132">
            <v>16885.095949999999</v>
          </cell>
          <cell r="E132">
            <v>20178.187578000001</v>
          </cell>
          <cell r="F132">
            <v>16565.650837000001</v>
          </cell>
          <cell r="G132">
            <v>19074.426630999998</v>
          </cell>
          <cell r="H132">
            <v>21482.524942</v>
          </cell>
          <cell r="I132">
            <v>11169.06156</v>
          </cell>
          <cell r="J132">
            <v>13457.528284</v>
          </cell>
          <cell r="K132">
            <v>14142.007613</v>
          </cell>
          <cell r="L132">
            <v>16785.329269999998</v>
          </cell>
          <cell r="M132">
            <v>15845.176727</v>
          </cell>
          <cell r="N132">
            <v>14176.158546000001</v>
          </cell>
        </row>
        <row r="133">
          <cell r="C133">
            <v>17847.538886999999</v>
          </cell>
          <cell r="D133">
            <v>18339.506636999999</v>
          </cell>
          <cell r="E133">
            <v>21400.301380000001</v>
          </cell>
          <cell r="F133">
            <v>19404.359869</v>
          </cell>
          <cell r="G133">
            <v>19769.138500000001</v>
          </cell>
          <cell r="H133">
            <v>16894.123049000002</v>
          </cell>
          <cell r="I133">
            <v>14387.469637</v>
          </cell>
          <cell r="J133">
            <v>18223.241477</v>
          </cell>
          <cell r="K133">
            <v>21893.33281</v>
          </cell>
          <cell r="L133">
            <v>20936.695414000002</v>
          </cell>
          <cell r="M133">
            <v>19723.52779</v>
          </cell>
          <cell r="N133">
            <v>17738.151997000001</v>
          </cell>
        </row>
        <row r="134">
          <cell r="C134">
            <v>1458.84337</v>
          </cell>
          <cell r="D134">
            <v>1664.762238</v>
          </cell>
          <cell r="E134">
            <v>1500.6128409999999</v>
          </cell>
          <cell r="F134">
            <v>1937.9306570000001</v>
          </cell>
          <cell r="G134">
            <v>1671.627084</v>
          </cell>
          <cell r="H134">
            <v>1496.764512</v>
          </cell>
          <cell r="I134">
            <v>813.42868099999998</v>
          </cell>
          <cell r="J134">
            <v>943.34689600000002</v>
          </cell>
          <cell r="K134">
            <v>1679.0980649999999</v>
          </cell>
          <cell r="L134">
            <v>2020.847522</v>
          </cell>
          <cell r="M134">
            <v>2007.3238899999999</v>
          </cell>
          <cell r="N134">
            <v>1478.0724130000001</v>
          </cell>
        </row>
        <row r="135">
          <cell r="C135">
            <v>3826.274148</v>
          </cell>
          <cell r="D135">
            <v>1512.801475</v>
          </cell>
          <cell r="E135">
            <v>2864.985698</v>
          </cell>
          <cell r="F135">
            <v>4208.2413530000003</v>
          </cell>
          <cell r="G135">
            <v>2622.52106</v>
          </cell>
          <cell r="H135">
            <v>4651.0148760000002</v>
          </cell>
          <cell r="I135">
            <v>14483.016310000001</v>
          </cell>
          <cell r="J135">
            <v>2391.161552</v>
          </cell>
          <cell r="K135">
            <v>1840.1751079999999</v>
          </cell>
          <cell r="L135">
            <v>3626.327096</v>
          </cell>
          <cell r="M135">
            <v>3756.7021089999998</v>
          </cell>
          <cell r="N135">
            <v>1671.8025270000001</v>
          </cell>
        </row>
        <row r="136">
          <cell r="C136">
            <v>729.39768200000003</v>
          </cell>
          <cell r="D136">
            <v>756.15293099999997</v>
          </cell>
          <cell r="E136">
            <v>1288.962581</v>
          </cell>
          <cell r="F136">
            <v>1008.551636</v>
          </cell>
          <cell r="G136">
            <v>816.60508900000002</v>
          </cell>
          <cell r="H136">
            <v>903.74632799999995</v>
          </cell>
          <cell r="I136">
            <v>852.90352199999995</v>
          </cell>
          <cell r="J136">
            <v>1034.906614</v>
          </cell>
          <cell r="K136">
            <v>617.51386600000001</v>
          </cell>
          <cell r="L136">
            <v>801.42800999999997</v>
          </cell>
          <cell r="M136">
            <v>718.69557299999997</v>
          </cell>
          <cell r="N136">
            <v>823.55215999999996</v>
          </cell>
        </row>
        <row r="137">
          <cell r="C137">
            <v>1602.9034360000001</v>
          </cell>
          <cell r="D137">
            <v>1653.494633</v>
          </cell>
          <cell r="E137">
            <v>1337.306981</v>
          </cell>
          <cell r="F137">
            <v>1464.18948</v>
          </cell>
          <cell r="G137">
            <v>1761.2892870000001</v>
          </cell>
          <cell r="H137">
            <v>1570.4969570000001</v>
          </cell>
          <cell r="I137">
            <v>1502.834445</v>
          </cell>
          <cell r="J137">
            <v>1224.685747</v>
          </cell>
          <cell r="K137">
            <v>1805.311841</v>
          </cell>
          <cell r="L137">
            <v>1835.0971050000001</v>
          </cell>
          <cell r="M137">
            <v>1809.165174</v>
          </cell>
          <cell r="N137">
            <v>1759.170797</v>
          </cell>
        </row>
        <row r="138">
          <cell r="C138">
            <v>379.74193000000002</v>
          </cell>
          <cell r="D138">
            <v>240.738629</v>
          </cell>
          <cell r="E138">
            <v>522.729555</v>
          </cell>
          <cell r="F138">
            <v>506.75238899999999</v>
          </cell>
          <cell r="G138">
            <v>590.84105799999998</v>
          </cell>
          <cell r="H138">
            <v>574.89070700000002</v>
          </cell>
          <cell r="I138">
            <v>593.33439299999998</v>
          </cell>
          <cell r="J138">
            <v>413.59551599999998</v>
          </cell>
          <cell r="K138">
            <v>292.69997599999999</v>
          </cell>
          <cell r="L138">
            <v>738.94503599999996</v>
          </cell>
          <cell r="M138">
            <v>600.76834199999996</v>
          </cell>
          <cell r="N138">
            <v>1120.4549019999999</v>
          </cell>
        </row>
        <row r="139">
          <cell r="C139">
            <v>823.88495699999999</v>
          </cell>
          <cell r="D139">
            <v>632.01264800000001</v>
          </cell>
          <cell r="E139">
            <v>1274.9881539999999</v>
          </cell>
          <cell r="F139">
            <v>1194.8580019999999</v>
          </cell>
          <cell r="G139">
            <v>1630.5999670000001</v>
          </cell>
          <cell r="H139">
            <v>1816.343155</v>
          </cell>
          <cell r="I139">
            <v>1991.848508</v>
          </cell>
          <cell r="J139">
            <v>1196.170486</v>
          </cell>
          <cell r="K139">
            <v>828.44367699999998</v>
          </cell>
          <cell r="L139">
            <v>1745.070109</v>
          </cell>
          <cell r="M139">
            <v>1971.5191789999999</v>
          </cell>
          <cell r="N139">
            <v>2657.5705849999999</v>
          </cell>
        </row>
        <row r="140">
          <cell r="C140">
            <v>0.65960399999999997</v>
          </cell>
          <cell r="D140">
            <v>0.48310599999999998</v>
          </cell>
          <cell r="E140">
            <v>0.95720300000000003</v>
          </cell>
          <cell r="F140">
            <v>0.143016</v>
          </cell>
          <cell r="G140">
            <v>4.3373910000000002</v>
          </cell>
          <cell r="H140">
            <v>0.79376999999999998</v>
          </cell>
          <cell r="I140">
            <v>0.21585399999999999</v>
          </cell>
          <cell r="J140">
            <v>3.7472599999999998</v>
          </cell>
          <cell r="K140">
            <v>0.77060399999999996</v>
          </cell>
          <cell r="L140">
            <v>0.70632899999999998</v>
          </cell>
          <cell r="M140">
            <v>0.31110700000000002</v>
          </cell>
          <cell r="N140">
            <v>5.0881999999999997E-2</v>
          </cell>
        </row>
        <row r="141">
          <cell r="C141">
            <v>400.68201800000003</v>
          </cell>
          <cell r="D141">
            <v>215.78918899999999</v>
          </cell>
          <cell r="E141">
            <v>514.73923100000002</v>
          </cell>
          <cell r="F141">
            <v>278.83679100000001</v>
          </cell>
          <cell r="G141">
            <v>367.07473199999998</v>
          </cell>
          <cell r="H141">
            <v>433.90953400000001</v>
          </cell>
          <cell r="I141">
            <v>408.85524400000003</v>
          </cell>
          <cell r="J141">
            <v>300.14166599999999</v>
          </cell>
          <cell r="K141">
            <v>363.43885599999999</v>
          </cell>
          <cell r="L141">
            <v>580.37279699999999</v>
          </cell>
          <cell r="M141">
            <v>373.22125899999998</v>
          </cell>
          <cell r="N141">
            <v>378.41495300000003</v>
          </cell>
        </row>
        <row r="142">
          <cell r="C142">
            <v>828.05601300000001</v>
          </cell>
          <cell r="D142">
            <v>799.67363799999998</v>
          </cell>
          <cell r="E142">
            <v>1392.52415</v>
          </cell>
          <cell r="F142">
            <v>1110.6687569999999</v>
          </cell>
          <cell r="G142">
            <v>1089.281943</v>
          </cell>
          <cell r="H142">
            <v>1266.9321769999999</v>
          </cell>
          <cell r="I142">
            <v>1055.6761509999999</v>
          </cell>
          <cell r="J142">
            <v>1000.930864</v>
          </cell>
          <cell r="K142">
            <v>735.03729399999997</v>
          </cell>
          <cell r="L142">
            <v>1432.6452770000001</v>
          </cell>
          <cell r="M142">
            <v>1307.164661</v>
          </cell>
          <cell r="N142">
            <v>1305.1142600000001</v>
          </cell>
        </row>
        <row r="143">
          <cell r="C143">
            <v>436.63845199999997</v>
          </cell>
          <cell r="D143">
            <v>572.02619400000003</v>
          </cell>
          <cell r="E143">
            <v>317.117233</v>
          </cell>
          <cell r="F143">
            <v>315.18272000000002</v>
          </cell>
          <cell r="G143">
            <v>395.29719999999998</v>
          </cell>
          <cell r="H143">
            <v>294.75522000000001</v>
          </cell>
          <cell r="I143">
            <v>413.4529</v>
          </cell>
          <cell r="J143">
            <v>246.03276700000001</v>
          </cell>
          <cell r="K143">
            <v>303.95131600000002</v>
          </cell>
          <cell r="L143">
            <v>357.47115000000002</v>
          </cell>
          <cell r="M143">
            <v>274.953124</v>
          </cell>
          <cell r="N143">
            <v>241.753534</v>
          </cell>
        </row>
        <row r="144">
          <cell r="C144">
            <v>25.689554999999999</v>
          </cell>
          <cell r="D144">
            <v>39.407169000000003</v>
          </cell>
          <cell r="E144">
            <v>69.240815999999995</v>
          </cell>
          <cell r="F144">
            <v>25.471015000000001</v>
          </cell>
          <cell r="G144">
            <v>5.6160829999999997</v>
          </cell>
          <cell r="H144">
            <v>2.1714820000000001</v>
          </cell>
          <cell r="I144">
            <v>0.94037300000000001</v>
          </cell>
          <cell r="J144">
            <v>2.1271680000000002</v>
          </cell>
          <cell r="K144">
            <v>0.70799999999999996</v>
          </cell>
          <cell r="L144">
            <v>1.015781</v>
          </cell>
          <cell r="M144">
            <v>1.002866</v>
          </cell>
          <cell r="N144">
            <v>1.6503620000000001</v>
          </cell>
        </row>
        <row r="145">
          <cell r="C145">
            <v>385.35515099999998</v>
          </cell>
          <cell r="D145">
            <v>515.28460900000005</v>
          </cell>
          <cell r="E145">
            <v>704.375766</v>
          </cell>
          <cell r="F145">
            <v>447.68792500000001</v>
          </cell>
          <cell r="G145">
            <v>186.947271</v>
          </cell>
          <cell r="H145">
            <v>42.391579</v>
          </cell>
          <cell r="I145">
            <v>23.018252</v>
          </cell>
          <cell r="J145">
            <v>17.849205999999999</v>
          </cell>
          <cell r="K145">
            <v>11.619486</v>
          </cell>
          <cell r="L145">
            <v>6.5085459999999999</v>
          </cell>
          <cell r="M145">
            <v>6.8747119999999997</v>
          </cell>
          <cell r="N145">
            <v>4.3683690000000004</v>
          </cell>
        </row>
        <row r="146">
          <cell r="C146">
            <v>279.10602799999998</v>
          </cell>
          <cell r="D146">
            <v>360.03572400000002</v>
          </cell>
          <cell r="E146">
            <v>466.21748700000001</v>
          </cell>
          <cell r="F146">
            <v>328.973522</v>
          </cell>
          <cell r="G146">
            <v>204.92591100000001</v>
          </cell>
          <cell r="H146">
            <v>162.09379999999999</v>
          </cell>
          <cell r="I146">
            <v>153.29296500000001</v>
          </cell>
          <cell r="J146">
            <v>120.86704400000001</v>
          </cell>
          <cell r="K146">
            <v>162.20883599999999</v>
          </cell>
          <cell r="L146">
            <v>259.54762899999997</v>
          </cell>
          <cell r="M146">
            <v>324.73535099999998</v>
          </cell>
          <cell r="N146">
            <v>292.01039300000002</v>
          </cell>
        </row>
        <row r="147">
          <cell r="C147">
            <v>2695.3838909999999</v>
          </cell>
          <cell r="D147">
            <v>2766.9721880000002</v>
          </cell>
          <cell r="E147">
            <v>1752.187224</v>
          </cell>
          <cell r="F147">
            <v>2178.4549019999999</v>
          </cell>
          <cell r="G147">
            <v>2504.1459169999998</v>
          </cell>
          <cell r="H147">
            <v>951.97860600000001</v>
          </cell>
          <cell r="I147">
            <v>840.209473</v>
          </cell>
          <cell r="J147">
            <v>1456.4706679999999</v>
          </cell>
          <cell r="K147">
            <v>3941.5840269999999</v>
          </cell>
          <cell r="L147">
            <v>1365.3936349999999</v>
          </cell>
          <cell r="M147">
            <v>1933.562152</v>
          </cell>
          <cell r="N147">
            <v>2071.4682069999999</v>
          </cell>
        </row>
        <row r="148">
          <cell r="C148">
            <v>2676.022966</v>
          </cell>
          <cell r="D148">
            <v>2183.3790239999998</v>
          </cell>
          <cell r="E148">
            <v>997.51505799999995</v>
          </cell>
          <cell r="F148">
            <v>-533.60322499999995</v>
          </cell>
          <cell r="G148">
            <v>189.461445</v>
          </cell>
          <cell r="H148">
            <v>154.58301399999999</v>
          </cell>
          <cell r="I148">
            <v>-537.49050899999997</v>
          </cell>
          <cell r="J148">
            <v>-627.39927499999999</v>
          </cell>
          <cell r="K148">
            <v>538.78595800000005</v>
          </cell>
          <cell r="L148">
            <v>-151.98426499999999</v>
          </cell>
          <cell r="M148">
            <v>940.61850700000002</v>
          </cell>
          <cell r="N148">
            <v>801.75106600000004</v>
          </cell>
        </row>
        <row r="149">
          <cell r="C149">
            <v>737.417958</v>
          </cell>
          <cell r="D149">
            <v>661.70782199999996</v>
          </cell>
          <cell r="E149">
            <v>42.690078</v>
          </cell>
          <cell r="F149">
            <v>205.96796800000001</v>
          </cell>
          <cell r="G149">
            <v>82.266034000000005</v>
          </cell>
          <cell r="H149">
            <v>82.432660999999996</v>
          </cell>
          <cell r="I149">
            <v>-135.93336400000001</v>
          </cell>
          <cell r="J149">
            <v>-6.4599330000000004</v>
          </cell>
          <cell r="K149">
            <v>327.988317</v>
          </cell>
          <cell r="L149">
            <v>84.006995000000003</v>
          </cell>
          <cell r="M149">
            <v>199.250124</v>
          </cell>
          <cell r="N149">
            <v>39.095785999999997</v>
          </cell>
        </row>
        <row r="150">
          <cell r="C150">
            <v>357.03534500000001</v>
          </cell>
          <cell r="D150">
            <v>227.631291</v>
          </cell>
          <cell r="E150">
            <v>-11.524792</v>
          </cell>
          <cell r="F150">
            <v>61.914777000000001</v>
          </cell>
          <cell r="G150">
            <v>197.786753</v>
          </cell>
          <cell r="H150">
            <v>186.053304</v>
          </cell>
          <cell r="I150">
            <v>17.754577999999999</v>
          </cell>
          <cell r="J150">
            <v>91.279202999999995</v>
          </cell>
          <cell r="K150">
            <v>355.52851900000002</v>
          </cell>
          <cell r="L150">
            <v>114.942255</v>
          </cell>
          <cell r="M150">
            <v>241.17432600000001</v>
          </cell>
          <cell r="N150">
            <v>242.72401400000001</v>
          </cell>
        </row>
        <row r="151">
          <cell r="C151">
            <v>9243.1727410000003</v>
          </cell>
          <cell r="D151">
            <v>8996.966273</v>
          </cell>
          <cell r="E151">
            <v>6513.2051369999999</v>
          </cell>
          <cell r="F151">
            <v>6602.8274190000002</v>
          </cell>
          <cell r="G151">
            <v>9538.1718720000008</v>
          </cell>
          <cell r="H151">
            <v>3791.4352090000002</v>
          </cell>
          <cell r="I151">
            <v>2123.182339</v>
          </cell>
          <cell r="J151">
            <v>4089.1279589999999</v>
          </cell>
          <cell r="K151">
            <v>6720.6928330000001</v>
          </cell>
          <cell r="L151">
            <v>5133.1977980000001</v>
          </cell>
          <cell r="M151">
            <v>4417.0209720000003</v>
          </cell>
          <cell r="N151">
            <v>2593.0310260000001</v>
          </cell>
        </row>
        <row r="152">
          <cell r="C152">
            <v>16732.261126000001</v>
          </cell>
          <cell r="D152">
            <v>14767.982849</v>
          </cell>
          <cell r="E152">
            <v>11573.973180000001</v>
          </cell>
          <cell r="F152">
            <v>13619.789070999999</v>
          </cell>
          <cell r="G152">
            <v>16291.365006</v>
          </cell>
          <cell r="H152">
            <v>4754.9878980000003</v>
          </cell>
          <cell r="I152">
            <v>6495.6216059999997</v>
          </cell>
          <cell r="J152">
            <v>10351.954055</v>
          </cell>
          <cell r="K152">
            <v>15648.388383</v>
          </cell>
          <cell r="L152">
            <v>10117.157273000001</v>
          </cell>
          <cell r="M152">
            <v>12736.83546</v>
          </cell>
          <cell r="N152">
            <v>7415.2475260000001</v>
          </cell>
        </row>
        <row r="153">
          <cell r="C153">
            <v>895.54843600000004</v>
          </cell>
          <cell r="D153">
            <v>1021.499813</v>
          </cell>
          <cell r="E153">
            <v>441.49507599999998</v>
          </cell>
          <cell r="F153">
            <v>839.32086500000003</v>
          </cell>
          <cell r="G153">
            <v>942.38948100000005</v>
          </cell>
          <cell r="H153">
            <v>171.99104199999999</v>
          </cell>
          <cell r="I153">
            <v>229.04104100000001</v>
          </cell>
          <cell r="J153">
            <v>316.92427800000002</v>
          </cell>
          <cell r="K153">
            <v>709.20677599999999</v>
          </cell>
          <cell r="L153">
            <v>630.46011999999996</v>
          </cell>
          <cell r="M153">
            <v>892.73148400000002</v>
          </cell>
          <cell r="N153">
            <v>257.74988000000002</v>
          </cell>
        </row>
        <row r="154">
          <cell r="C154">
            <v>1817.6787300000001</v>
          </cell>
          <cell r="D154">
            <v>616.61970899999994</v>
          </cell>
          <cell r="E154">
            <v>371.14834300000001</v>
          </cell>
          <cell r="F154">
            <v>757.30949699999996</v>
          </cell>
          <cell r="G154">
            <v>279.79945300000003</v>
          </cell>
          <cell r="H154">
            <v>-258.88783100000001</v>
          </cell>
          <cell r="I154">
            <v>2708.519456</v>
          </cell>
          <cell r="J154">
            <v>262.96145300000001</v>
          </cell>
          <cell r="K154">
            <v>79.39246</v>
          </cell>
          <cell r="L154">
            <v>-19.319310999999999</v>
          </cell>
          <cell r="M154">
            <v>845.27453000000003</v>
          </cell>
          <cell r="N154">
            <v>-132.18220299999999</v>
          </cell>
        </row>
        <row r="155">
          <cell r="C155">
            <v>5.2886030000000002</v>
          </cell>
          <cell r="D155">
            <v>-34.198892999999998</v>
          </cell>
          <cell r="E155">
            <v>-155.26736199999999</v>
          </cell>
          <cell r="F155">
            <v>-145.00415100000001</v>
          </cell>
          <cell r="G155">
            <v>-140.898651</v>
          </cell>
          <cell r="H155">
            <v>-416.95095500000002</v>
          </cell>
          <cell r="I155">
            <v>64.831344000000001</v>
          </cell>
          <cell r="J155">
            <v>-294.74122699999998</v>
          </cell>
          <cell r="K155">
            <v>-128.07396499999999</v>
          </cell>
          <cell r="L155">
            <v>-28.615784999999999</v>
          </cell>
          <cell r="M155">
            <v>-139.901926</v>
          </cell>
          <cell r="N155">
            <v>-256.20680499999997</v>
          </cell>
        </row>
        <row r="156">
          <cell r="C156">
            <v>285.44483400000001</v>
          </cell>
          <cell r="D156">
            <v>207.54724100000001</v>
          </cell>
          <cell r="E156">
            <v>153.64030700000001</v>
          </cell>
          <cell r="F156">
            <v>160.16261700000001</v>
          </cell>
          <cell r="G156">
            <v>190.34649200000001</v>
          </cell>
          <cell r="H156">
            <v>55.817273999999998</v>
          </cell>
          <cell r="I156">
            <v>40.406359000000002</v>
          </cell>
          <cell r="J156">
            <v>-164.90607299999999</v>
          </cell>
          <cell r="K156">
            <v>50.355904000000002</v>
          </cell>
          <cell r="L156">
            <v>29.796446</v>
          </cell>
          <cell r="M156">
            <v>-43.913468000000002</v>
          </cell>
          <cell r="N156">
            <v>-191.98868400000001</v>
          </cell>
        </row>
        <row r="157">
          <cell r="C157">
            <v>295.86329000000001</v>
          </cell>
          <cell r="D157">
            <v>231.02289400000001</v>
          </cell>
          <cell r="E157">
            <v>-15.693066</v>
          </cell>
          <cell r="F157">
            <v>73.011112999999995</v>
          </cell>
          <cell r="G157">
            <v>180.62459999999999</v>
          </cell>
          <cell r="H157">
            <v>102.83393100000001</v>
          </cell>
          <cell r="I157">
            <v>-3.3993660000000001</v>
          </cell>
          <cell r="J157">
            <v>293.41665</v>
          </cell>
          <cell r="K157">
            <v>251.88432800000001</v>
          </cell>
          <cell r="L157">
            <v>-185.887584</v>
          </cell>
          <cell r="M157">
            <v>24.132370999999999</v>
          </cell>
          <cell r="N157">
            <v>-689.94137699999999</v>
          </cell>
        </row>
        <row r="158">
          <cell r="C158">
            <v>740.23675300000002</v>
          </cell>
          <cell r="D158">
            <v>481.92071499999997</v>
          </cell>
          <cell r="E158">
            <v>-61.722375999999997</v>
          </cell>
          <cell r="F158">
            <v>124.482372</v>
          </cell>
          <cell r="G158">
            <v>-314.16854000000001</v>
          </cell>
          <cell r="H158">
            <v>-206.69590500000001</v>
          </cell>
          <cell r="I158">
            <v>-373.76763199999999</v>
          </cell>
          <cell r="J158">
            <v>801.50368300000002</v>
          </cell>
          <cell r="K158">
            <v>705.04392600000006</v>
          </cell>
          <cell r="L158">
            <v>-210.88596799999999</v>
          </cell>
          <cell r="M158">
            <v>-423.66991400000001</v>
          </cell>
          <cell r="N158">
            <v>-1344.597235</v>
          </cell>
        </row>
        <row r="159">
          <cell r="C159">
            <v>-1.9884360000000001</v>
          </cell>
          <cell r="D159">
            <v>-0.46600799999999998</v>
          </cell>
          <cell r="E159">
            <v>-1.674496</v>
          </cell>
          <cell r="F159">
            <v>-1.1646529999999999</v>
          </cell>
          <cell r="G159">
            <v>-5.8957059999999997</v>
          </cell>
          <cell r="H159">
            <v>-2.503072</v>
          </cell>
          <cell r="I159">
            <v>-1.5012490000000001</v>
          </cell>
          <cell r="J159">
            <v>-4.703525</v>
          </cell>
          <cell r="K159">
            <v>-1.620458</v>
          </cell>
          <cell r="L159">
            <v>-3.1357599999999999</v>
          </cell>
          <cell r="M159">
            <v>-0.410889</v>
          </cell>
          <cell r="N159">
            <v>-0.35990800000000001</v>
          </cell>
        </row>
        <row r="160">
          <cell r="C160">
            <v>82.812869000000006</v>
          </cell>
          <cell r="D160">
            <v>136.54754700000001</v>
          </cell>
          <cell r="E160">
            <v>-49.439013000000003</v>
          </cell>
          <cell r="F160">
            <v>50.261533999999997</v>
          </cell>
          <cell r="G160">
            <v>83.884309999999999</v>
          </cell>
          <cell r="H160">
            <v>70.961386000000005</v>
          </cell>
          <cell r="I160">
            <v>-44.760184000000002</v>
          </cell>
          <cell r="J160">
            <v>155.317049</v>
          </cell>
          <cell r="K160">
            <v>192.30460099999999</v>
          </cell>
          <cell r="L160">
            <v>-123.476917</v>
          </cell>
          <cell r="M160">
            <v>25.459903000000001</v>
          </cell>
          <cell r="N160">
            <v>-101.15331</v>
          </cell>
        </row>
        <row r="161">
          <cell r="C161">
            <v>345.78595300000001</v>
          </cell>
          <cell r="D161">
            <v>327.50670700000001</v>
          </cell>
          <cell r="E161">
            <v>-39.042316</v>
          </cell>
          <cell r="F161">
            <v>61.840091999999999</v>
          </cell>
          <cell r="G161">
            <v>215.221576</v>
          </cell>
          <cell r="H161">
            <v>90.130886000000004</v>
          </cell>
          <cell r="I161">
            <v>-26.818626999999999</v>
          </cell>
          <cell r="J161">
            <v>368.09465</v>
          </cell>
          <cell r="K161">
            <v>665.27519199999995</v>
          </cell>
          <cell r="L161">
            <v>-215.38564400000001</v>
          </cell>
          <cell r="M161">
            <v>-1.303013</v>
          </cell>
          <cell r="N161">
            <v>-422.43778200000003</v>
          </cell>
        </row>
        <row r="162">
          <cell r="C162">
            <v>169.042361</v>
          </cell>
          <cell r="D162">
            <v>243.53554099999999</v>
          </cell>
          <cell r="E162">
            <v>-10.036946</v>
          </cell>
          <cell r="F162">
            <v>80.574276999999995</v>
          </cell>
          <cell r="G162">
            <v>-19.003775999999998</v>
          </cell>
          <cell r="H162">
            <v>-84.046104</v>
          </cell>
          <cell r="I162">
            <v>-201.60343399999999</v>
          </cell>
          <cell r="J162">
            <v>-34.18047</v>
          </cell>
          <cell r="K162">
            <v>-47.909374999999997</v>
          </cell>
          <cell r="L162">
            <v>-139.92337900000001</v>
          </cell>
          <cell r="M162">
            <v>-138.31831299999999</v>
          </cell>
          <cell r="N162">
            <v>-149.41872900000001</v>
          </cell>
        </row>
        <row r="163">
          <cell r="C163">
            <v>-12.363379</v>
          </cell>
          <cell r="D163">
            <v>-11.686875000000001</v>
          </cell>
          <cell r="E163">
            <v>-19.315297999999999</v>
          </cell>
          <cell r="F163">
            <v>-0.92597099999999999</v>
          </cell>
          <cell r="G163">
            <v>-7.634347</v>
          </cell>
          <cell r="H163">
            <v>-7.4906800000000002</v>
          </cell>
          <cell r="I163">
            <v>-5.2927039999999996</v>
          </cell>
          <cell r="J163">
            <v>-2.8105880000000001</v>
          </cell>
          <cell r="K163">
            <v>-2.9928720000000002</v>
          </cell>
          <cell r="L163">
            <v>-9.1867289999999997</v>
          </cell>
          <cell r="M163">
            <v>-10.134532999999999</v>
          </cell>
          <cell r="N163">
            <v>-8.6365590000000001</v>
          </cell>
        </row>
        <row r="164">
          <cell r="C164">
            <v>-0.58848800000000001</v>
          </cell>
          <cell r="D164">
            <v>-163.54796300000001</v>
          </cell>
          <cell r="E164">
            <v>-90.427572999999995</v>
          </cell>
          <cell r="F164">
            <v>-32.844341999999997</v>
          </cell>
          <cell r="G164">
            <v>-36.433686000000002</v>
          </cell>
          <cell r="H164">
            <v>-59.882435000000001</v>
          </cell>
          <cell r="I164">
            <v>-29.954965999999999</v>
          </cell>
          <cell r="J164">
            <v>-35.990454999999997</v>
          </cell>
          <cell r="K164">
            <v>-24.762740000000001</v>
          </cell>
          <cell r="L164">
            <v>-37.715358000000002</v>
          </cell>
          <cell r="M164">
            <v>-76.254873000000003</v>
          </cell>
          <cell r="N164">
            <v>-88.421417000000005</v>
          </cell>
        </row>
        <row r="165">
          <cell r="C165">
            <v>47.544068000000003</v>
          </cell>
          <cell r="D165">
            <v>-24.927465000000002</v>
          </cell>
          <cell r="E165">
            <v>-20.737798000000002</v>
          </cell>
          <cell r="F165">
            <v>58.161897000000003</v>
          </cell>
          <cell r="G165">
            <v>-7.6701560000000004</v>
          </cell>
          <cell r="H165">
            <v>-99.466639999999998</v>
          </cell>
          <cell r="I165">
            <v>-96.354637999999994</v>
          </cell>
          <cell r="J165">
            <v>-58.638624</v>
          </cell>
          <cell r="K165">
            <v>-69.922685999999999</v>
          </cell>
          <cell r="L165">
            <v>-143.270689</v>
          </cell>
          <cell r="M165">
            <v>-255.68066999999999</v>
          </cell>
          <cell r="N165">
            <v>-216.666549</v>
          </cell>
        </row>
        <row r="166">
          <cell r="C166" t="e">
            <v>#REF!</v>
          </cell>
          <cell r="D166" t="e">
            <v>#REF!</v>
          </cell>
          <cell r="E166" t="e">
            <v>#REF!</v>
          </cell>
          <cell r="F166" t="e">
            <v>#REF!</v>
          </cell>
          <cell r="G166" t="e">
            <v>#REF!</v>
          </cell>
          <cell r="H166" t="e">
            <v>#REF!</v>
          </cell>
          <cell r="I166" t="e">
            <v>#REF!</v>
          </cell>
          <cell r="J166" t="e">
            <v>#REF!</v>
          </cell>
          <cell r="K166" t="e">
            <v>#REF!</v>
          </cell>
          <cell r="L166" t="e">
            <v>#REF!</v>
          </cell>
          <cell r="M166" t="e">
            <v>#REF!</v>
          </cell>
          <cell r="N166" t="e">
            <v>#REF!</v>
          </cell>
        </row>
        <row r="167">
          <cell r="C167" t="e">
            <v>#REF!</v>
          </cell>
          <cell r="D167" t="e">
            <v>#REF!</v>
          </cell>
          <cell r="E167" t="e">
            <v>#REF!</v>
          </cell>
          <cell r="F167" t="e">
            <v>#REF!</v>
          </cell>
          <cell r="G167" t="e">
            <v>#REF!</v>
          </cell>
          <cell r="H167" t="e">
            <v>#REF!</v>
          </cell>
          <cell r="I167" t="e">
            <v>#REF!</v>
          </cell>
          <cell r="J167" t="e">
            <v>#REF!</v>
          </cell>
          <cell r="K167" t="e">
            <v>#REF!</v>
          </cell>
          <cell r="L167" t="e">
            <v>#REF!</v>
          </cell>
          <cell r="M167" t="e">
            <v>#REF!</v>
          </cell>
          <cell r="N167" t="e">
            <v>#REF!</v>
          </cell>
        </row>
        <row r="168">
          <cell r="C168" t="e">
            <v>#REF!</v>
          </cell>
          <cell r="D168" t="e">
            <v>#REF!</v>
          </cell>
          <cell r="E168" t="e">
            <v>#REF!</v>
          </cell>
          <cell r="F168" t="e">
            <v>#REF!</v>
          </cell>
          <cell r="G168" t="e">
            <v>#REF!</v>
          </cell>
          <cell r="H168" t="e">
            <v>#REF!</v>
          </cell>
          <cell r="I168" t="e">
            <v>#REF!</v>
          </cell>
          <cell r="J168" t="e">
            <v>#REF!</v>
          </cell>
          <cell r="K168" t="e">
            <v>#REF!</v>
          </cell>
          <cell r="L168" t="e">
            <v>#REF!</v>
          </cell>
          <cell r="M168" t="e">
            <v>#REF!</v>
          </cell>
          <cell r="N168" t="e">
            <v>#REF!</v>
          </cell>
        </row>
        <row r="169">
          <cell r="C169" t="e">
            <v>#REF!</v>
          </cell>
          <cell r="D169" t="e">
            <v>#REF!</v>
          </cell>
          <cell r="E169" t="e">
            <v>#REF!</v>
          </cell>
          <cell r="F169" t="e">
            <v>#REF!</v>
          </cell>
          <cell r="G169" t="e">
            <v>#REF!</v>
          </cell>
          <cell r="H169" t="e">
            <v>#REF!</v>
          </cell>
          <cell r="I169" t="e">
            <v>#REF!</v>
          </cell>
          <cell r="J169" t="e">
            <v>#REF!</v>
          </cell>
          <cell r="K169" t="e">
            <v>#REF!</v>
          </cell>
          <cell r="L169" t="e">
            <v>#REF!</v>
          </cell>
          <cell r="M169" t="e">
            <v>#REF!</v>
          </cell>
          <cell r="N169" t="e">
            <v>#REF!</v>
          </cell>
        </row>
        <row r="170">
          <cell r="C170" t="e">
            <v>#REF!</v>
          </cell>
          <cell r="D170" t="e">
            <v>#REF!</v>
          </cell>
          <cell r="E170" t="e">
            <v>#REF!</v>
          </cell>
          <cell r="F170" t="e">
            <v>#REF!</v>
          </cell>
          <cell r="G170" t="e">
            <v>#REF!</v>
          </cell>
          <cell r="H170" t="e">
            <v>#REF!</v>
          </cell>
          <cell r="I170" t="e">
            <v>#REF!</v>
          </cell>
          <cell r="J170" t="e">
            <v>#REF!</v>
          </cell>
          <cell r="K170" t="e">
            <v>#REF!</v>
          </cell>
          <cell r="L170" t="e">
            <v>#REF!</v>
          </cell>
          <cell r="M170" t="e">
            <v>#REF!</v>
          </cell>
          <cell r="N170" t="e">
            <v>#REF!</v>
          </cell>
        </row>
        <row r="171">
          <cell r="C171" t="e">
            <v>#REF!</v>
          </cell>
          <cell r="D171" t="e">
            <v>#REF!</v>
          </cell>
          <cell r="E171" t="e">
            <v>#REF!</v>
          </cell>
          <cell r="F171" t="e">
            <v>#REF!</v>
          </cell>
          <cell r="G171" t="e">
            <v>#REF!</v>
          </cell>
          <cell r="H171" t="e">
            <v>#REF!</v>
          </cell>
          <cell r="I171" t="e">
            <v>#REF!</v>
          </cell>
          <cell r="J171" t="e">
            <v>#REF!</v>
          </cell>
          <cell r="K171" t="e">
            <v>#REF!</v>
          </cell>
          <cell r="L171" t="e">
            <v>#REF!</v>
          </cell>
          <cell r="M171" t="e">
            <v>#REF!</v>
          </cell>
          <cell r="N171" t="e">
            <v>#REF!</v>
          </cell>
        </row>
        <row r="172">
          <cell r="C172" t="e">
            <v>#REF!</v>
          </cell>
          <cell r="D172" t="e">
            <v>#REF!</v>
          </cell>
          <cell r="E172" t="e">
            <v>#REF!</v>
          </cell>
          <cell r="F172" t="e">
            <v>#REF!</v>
          </cell>
          <cell r="G172" t="e">
            <v>#REF!</v>
          </cell>
          <cell r="H172" t="e">
            <v>#REF!</v>
          </cell>
          <cell r="I172" t="e">
            <v>#REF!</v>
          </cell>
          <cell r="J172" t="e">
            <v>#REF!</v>
          </cell>
          <cell r="K172" t="e">
            <v>#REF!</v>
          </cell>
          <cell r="L172" t="e">
            <v>#REF!</v>
          </cell>
          <cell r="M172" t="e">
            <v>#REF!</v>
          </cell>
          <cell r="N172" t="e">
            <v>#REF!</v>
          </cell>
        </row>
        <row r="173">
          <cell r="C173" t="e">
            <v>#REF!</v>
          </cell>
          <cell r="D173" t="e">
            <v>#REF!</v>
          </cell>
          <cell r="E173" t="e">
            <v>#REF!</v>
          </cell>
          <cell r="F173" t="e">
            <v>#REF!</v>
          </cell>
          <cell r="G173" t="e">
            <v>#REF!</v>
          </cell>
          <cell r="H173" t="e">
            <v>#REF!</v>
          </cell>
          <cell r="I173" t="e">
            <v>#REF!</v>
          </cell>
          <cell r="J173" t="e">
            <v>#REF!</v>
          </cell>
          <cell r="K173" t="e">
            <v>#REF!</v>
          </cell>
          <cell r="L173" t="e">
            <v>#REF!</v>
          </cell>
          <cell r="M173" t="e">
            <v>#REF!</v>
          </cell>
          <cell r="N173" t="e">
            <v>#REF!</v>
          </cell>
        </row>
        <row r="174">
          <cell r="C174" t="e">
            <v>#REF!</v>
          </cell>
          <cell r="D174" t="e">
            <v>#REF!</v>
          </cell>
          <cell r="E174" t="e">
            <v>#REF!</v>
          </cell>
          <cell r="F174" t="e">
            <v>#REF!</v>
          </cell>
          <cell r="G174" t="e">
            <v>#REF!</v>
          </cell>
          <cell r="H174" t="e">
            <v>#REF!</v>
          </cell>
          <cell r="I174" t="e">
            <v>#REF!</v>
          </cell>
          <cell r="J174" t="e">
            <v>#REF!</v>
          </cell>
          <cell r="K174" t="e">
            <v>#REF!</v>
          </cell>
          <cell r="L174" t="e">
            <v>#REF!</v>
          </cell>
          <cell r="M174" t="e">
            <v>#REF!</v>
          </cell>
          <cell r="N174" t="e">
            <v>#REF!</v>
          </cell>
        </row>
        <row r="175">
          <cell r="C175" t="e">
            <v>#REF!</v>
          </cell>
          <cell r="D175" t="e">
            <v>#REF!</v>
          </cell>
          <cell r="E175" t="e">
            <v>#REF!</v>
          </cell>
          <cell r="F175" t="e">
            <v>#REF!</v>
          </cell>
          <cell r="G175" t="e">
            <v>#REF!</v>
          </cell>
          <cell r="H175" t="e">
            <v>#REF!</v>
          </cell>
          <cell r="I175" t="e">
            <v>#REF!</v>
          </cell>
          <cell r="J175" t="e">
            <v>#REF!</v>
          </cell>
          <cell r="K175" t="e">
            <v>#REF!</v>
          </cell>
          <cell r="L175" t="e">
            <v>#REF!</v>
          </cell>
          <cell r="M175" t="e">
            <v>#REF!</v>
          </cell>
          <cell r="N175" t="e">
            <v>#REF!</v>
          </cell>
        </row>
        <row r="176">
          <cell r="C176" t="e">
            <v>#REF!</v>
          </cell>
          <cell r="D176" t="e">
            <v>#REF!</v>
          </cell>
          <cell r="E176" t="e">
            <v>#REF!</v>
          </cell>
          <cell r="F176" t="e">
            <v>#REF!</v>
          </cell>
          <cell r="G176" t="e">
            <v>#REF!</v>
          </cell>
          <cell r="H176" t="e">
            <v>#REF!</v>
          </cell>
          <cell r="I176" t="e">
            <v>#REF!</v>
          </cell>
          <cell r="J176" t="e">
            <v>#REF!</v>
          </cell>
          <cell r="K176" t="e">
            <v>#REF!</v>
          </cell>
          <cell r="L176" t="e">
            <v>#REF!</v>
          </cell>
          <cell r="M176" t="e">
            <v>#REF!</v>
          </cell>
          <cell r="N176" t="e">
            <v>#REF!</v>
          </cell>
        </row>
        <row r="177">
          <cell r="C177" t="e">
            <v>#REF!</v>
          </cell>
          <cell r="D177" t="e">
            <v>#REF!</v>
          </cell>
          <cell r="E177" t="e">
            <v>#REF!</v>
          </cell>
          <cell r="F177" t="e">
            <v>#REF!</v>
          </cell>
          <cell r="G177" t="e">
            <v>#REF!</v>
          </cell>
          <cell r="H177" t="e">
            <v>#REF!</v>
          </cell>
          <cell r="I177" t="e">
            <v>#REF!</v>
          </cell>
          <cell r="J177" t="e">
            <v>#REF!</v>
          </cell>
          <cell r="K177" t="e">
            <v>#REF!</v>
          </cell>
          <cell r="L177" t="e">
            <v>#REF!</v>
          </cell>
          <cell r="M177" t="e">
            <v>#REF!</v>
          </cell>
          <cell r="N177" t="e">
            <v>#REF!</v>
          </cell>
        </row>
        <row r="178">
          <cell r="C178" t="e">
            <v>#REF!</v>
          </cell>
          <cell r="D178" t="e">
            <v>#REF!</v>
          </cell>
          <cell r="E178" t="e">
            <v>#REF!</v>
          </cell>
          <cell r="F178" t="e">
            <v>#REF!</v>
          </cell>
          <cell r="G178" t="e">
            <v>#REF!</v>
          </cell>
          <cell r="H178" t="e">
            <v>#REF!</v>
          </cell>
          <cell r="I178" t="e">
            <v>#REF!</v>
          </cell>
          <cell r="J178" t="e">
            <v>#REF!</v>
          </cell>
          <cell r="K178" t="e">
            <v>#REF!</v>
          </cell>
          <cell r="L178" t="e">
            <v>#REF!</v>
          </cell>
          <cell r="M178" t="e">
            <v>#REF!</v>
          </cell>
          <cell r="N178" t="e">
            <v>#REF!</v>
          </cell>
        </row>
        <row r="179">
          <cell r="C179" t="e">
            <v>#REF!</v>
          </cell>
          <cell r="D179" t="e">
            <v>#REF!</v>
          </cell>
          <cell r="E179" t="e">
            <v>#REF!</v>
          </cell>
          <cell r="F179" t="e">
            <v>#REF!</v>
          </cell>
          <cell r="G179" t="e">
            <v>#REF!</v>
          </cell>
          <cell r="H179" t="e">
            <v>#REF!</v>
          </cell>
          <cell r="I179" t="e">
            <v>#REF!</v>
          </cell>
          <cell r="J179" t="e">
            <v>#REF!</v>
          </cell>
          <cell r="K179" t="e">
            <v>#REF!</v>
          </cell>
          <cell r="L179" t="e">
            <v>#REF!</v>
          </cell>
          <cell r="M179" t="e">
            <v>#REF!</v>
          </cell>
          <cell r="N179" t="e">
            <v>#REF!</v>
          </cell>
        </row>
        <row r="180">
          <cell r="C180" t="e">
            <v>#REF!</v>
          </cell>
          <cell r="D180" t="e">
            <v>#REF!</v>
          </cell>
          <cell r="E180" t="e">
            <v>#REF!</v>
          </cell>
          <cell r="F180" t="e">
            <v>#REF!</v>
          </cell>
          <cell r="G180" t="e">
            <v>#REF!</v>
          </cell>
          <cell r="H180" t="e">
            <v>#REF!</v>
          </cell>
          <cell r="I180" t="e">
            <v>#REF!</v>
          </cell>
          <cell r="J180" t="e">
            <v>#REF!</v>
          </cell>
          <cell r="K180" t="e">
            <v>#REF!</v>
          </cell>
          <cell r="L180" t="e">
            <v>#REF!</v>
          </cell>
          <cell r="M180" t="e">
            <v>#REF!</v>
          </cell>
          <cell r="N180" t="e">
            <v>#REF!</v>
          </cell>
        </row>
        <row r="181">
          <cell r="C181" t="e">
            <v>#REF!</v>
          </cell>
          <cell r="D181" t="e">
            <v>#REF!</v>
          </cell>
          <cell r="E181" t="e">
            <v>#REF!</v>
          </cell>
          <cell r="F181" t="e">
            <v>#REF!</v>
          </cell>
          <cell r="G181" t="e">
            <v>#REF!</v>
          </cell>
          <cell r="H181" t="e">
            <v>#REF!</v>
          </cell>
          <cell r="I181" t="e">
            <v>#REF!</v>
          </cell>
          <cell r="J181" t="e">
            <v>#REF!</v>
          </cell>
          <cell r="K181" t="e">
            <v>#REF!</v>
          </cell>
          <cell r="L181" t="e">
            <v>#REF!</v>
          </cell>
          <cell r="M181" t="e">
            <v>#REF!</v>
          </cell>
          <cell r="N181" t="e">
            <v>#REF!</v>
          </cell>
        </row>
        <row r="182">
          <cell r="C182" t="e">
            <v>#REF!</v>
          </cell>
          <cell r="D182" t="e">
            <v>#REF!</v>
          </cell>
          <cell r="E182" t="e">
            <v>#REF!</v>
          </cell>
          <cell r="F182" t="e">
            <v>#REF!</v>
          </cell>
          <cell r="G182" t="e">
            <v>#REF!</v>
          </cell>
          <cell r="H182" t="e">
            <v>#REF!</v>
          </cell>
          <cell r="I182" t="e">
            <v>#REF!</v>
          </cell>
          <cell r="J182" t="e">
            <v>#REF!</v>
          </cell>
          <cell r="K182" t="e">
            <v>#REF!</v>
          </cell>
          <cell r="L182" t="e">
            <v>#REF!</v>
          </cell>
          <cell r="M182" t="e">
            <v>#REF!</v>
          </cell>
          <cell r="N182" t="e">
            <v>#REF!</v>
          </cell>
        </row>
        <row r="183">
          <cell r="C183" t="e">
            <v>#REF!</v>
          </cell>
          <cell r="D183" t="e">
            <v>#REF!</v>
          </cell>
          <cell r="E183" t="e">
            <v>#REF!</v>
          </cell>
          <cell r="F183" t="e">
            <v>#REF!</v>
          </cell>
          <cell r="G183" t="e">
            <v>#REF!</v>
          </cell>
          <cell r="H183" t="e">
            <v>#REF!</v>
          </cell>
          <cell r="I183" t="e">
            <v>#REF!</v>
          </cell>
          <cell r="J183" t="e">
            <v>#REF!</v>
          </cell>
          <cell r="K183" t="e">
            <v>#REF!</v>
          </cell>
          <cell r="L183" t="e">
            <v>#REF!</v>
          </cell>
          <cell r="M183" t="e">
            <v>#REF!</v>
          </cell>
          <cell r="N183" t="e">
            <v>#REF!</v>
          </cell>
        </row>
        <row r="184">
          <cell r="C184" t="e">
            <v>#REF!</v>
          </cell>
          <cell r="D184" t="e">
            <v>#REF!</v>
          </cell>
          <cell r="E184" t="e">
            <v>#REF!</v>
          </cell>
          <cell r="F184" t="e">
            <v>#REF!</v>
          </cell>
          <cell r="G184" t="e">
            <v>#REF!</v>
          </cell>
          <cell r="H184" t="e">
            <v>#REF!</v>
          </cell>
          <cell r="I184" t="e">
            <v>#REF!</v>
          </cell>
          <cell r="J184" t="e">
            <v>#REF!</v>
          </cell>
          <cell r="K184" t="e">
            <v>#REF!</v>
          </cell>
          <cell r="L184" t="e">
            <v>#REF!</v>
          </cell>
          <cell r="M184" t="e">
            <v>#REF!</v>
          </cell>
          <cell r="N184" t="e">
            <v>#REF!</v>
          </cell>
        </row>
        <row r="185">
          <cell r="C185" t="e">
            <v>#REF!</v>
          </cell>
          <cell r="D185" t="e">
            <v>#REF!</v>
          </cell>
          <cell r="E185" t="e">
            <v>#REF!</v>
          </cell>
          <cell r="F185" t="e">
            <v>#REF!</v>
          </cell>
          <cell r="G185" t="e">
            <v>#REF!</v>
          </cell>
          <cell r="H185" t="e">
            <v>#REF!</v>
          </cell>
          <cell r="I185" t="e">
            <v>#REF!</v>
          </cell>
          <cell r="J185" t="e">
            <v>#REF!</v>
          </cell>
          <cell r="K185" t="e">
            <v>#REF!</v>
          </cell>
          <cell r="L185" t="e">
            <v>#REF!</v>
          </cell>
          <cell r="M185" t="e">
            <v>#REF!</v>
          </cell>
          <cell r="N185" t="e">
            <v>#REF!</v>
          </cell>
        </row>
        <row r="186">
          <cell r="C186" t="e">
            <v>#REF!</v>
          </cell>
          <cell r="D186" t="e">
            <v>#REF!</v>
          </cell>
          <cell r="E186" t="e">
            <v>#REF!</v>
          </cell>
          <cell r="F186" t="e">
            <v>#REF!</v>
          </cell>
          <cell r="G186" t="e">
            <v>#REF!</v>
          </cell>
          <cell r="H186" t="e">
            <v>#REF!</v>
          </cell>
          <cell r="I186" t="e">
            <v>#REF!</v>
          </cell>
          <cell r="J186" t="e">
            <v>#REF!</v>
          </cell>
          <cell r="K186" t="e">
            <v>#REF!</v>
          </cell>
          <cell r="L186" t="e">
            <v>#REF!</v>
          </cell>
          <cell r="M186" t="e">
            <v>#REF!</v>
          </cell>
          <cell r="N186" t="e">
            <v>#REF!</v>
          </cell>
        </row>
        <row r="187">
          <cell r="C187" t="e">
            <v>#REF!</v>
          </cell>
          <cell r="D187" t="e">
            <v>#REF!</v>
          </cell>
          <cell r="E187" t="e">
            <v>#REF!</v>
          </cell>
          <cell r="F187" t="e">
            <v>#REF!</v>
          </cell>
          <cell r="G187" t="e">
            <v>#REF!</v>
          </cell>
          <cell r="H187" t="e">
            <v>#REF!</v>
          </cell>
          <cell r="I187" t="e">
            <v>#REF!</v>
          </cell>
          <cell r="J187" t="e">
            <v>#REF!</v>
          </cell>
          <cell r="K187" t="e">
            <v>#REF!</v>
          </cell>
          <cell r="L187" t="e">
            <v>#REF!</v>
          </cell>
          <cell r="M187" t="e">
            <v>#REF!</v>
          </cell>
          <cell r="N187" t="e">
            <v>#REF!</v>
          </cell>
        </row>
        <row r="188">
          <cell r="C188" t="e">
            <v>#REF!</v>
          </cell>
          <cell r="D188" t="e">
            <v>#REF!</v>
          </cell>
          <cell r="E188" t="e">
            <v>#REF!</v>
          </cell>
          <cell r="F188" t="e">
            <v>#REF!</v>
          </cell>
          <cell r="G188" t="e">
            <v>#REF!</v>
          </cell>
          <cell r="H188" t="e">
            <v>#REF!</v>
          </cell>
          <cell r="I188" t="e">
            <v>#REF!</v>
          </cell>
          <cell r="J188" t="e">
            <v>#REF!</v>
          </cell>
          <cell r="K188" t="e">
            <v>#REF!</v>
          </cell>
          <cell r="L188" t="e">
            <v>#REF!</v>
          </cell>
          <cell r="M188" t="e">
            <v>#REF!</v>
          </cell>
          <cell r="N188" t="e">
            <v>#REF!</v>
          </cell>
        </row>
        <row r="189">
          <cell r="C189" t="e">
            <v>#REF!</v>
          </cell>
          <cell r="D189" t="e">
            <v>#REF!</v>
          </cell>
          <cell r="E189" t="e">
            <v>#REF!</v>
          </cell>
          <cell r="F189" t="e">
            <v>#REF!</v>
          </cell>
          <cell r="G189" t="e">
            <v>#REF!</v>
          </cell>
          <cell r="H189" t="e">
            <v>#REF!</v>
          </cell>
          <cell r="I189" t="e">
            <v>#REF!</v>
          </cell>
          <cell r="J189" t="e">
            <v>#REF!</v>
          </cell>
          <cell r="K189" t="e">
            <v>#REF!</v>
          </cell>
          <cell r="L189" t="e">
            <v>#REF!</v>
          </cell>
          <cell r="M189" t="e">
            <v>#REF!</v>
          </cell>
          <cell r="N189" t="e">
            <v>#REF!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20호(1)"/>
      <sheetName val="20호(2)"/>
      <sheetName val="20호(3)"/>
      <sheetName val="26호(갑)"/>
      <sheetName val="26호(을)"/>
      <sheetName val="35호"/>
      <sheetName val="39호"/>
      <sheetName val="48호"/>
      <sheetName val="51호"/>
      <sheetName val="54호(갑)"/>
      <sheetName val="54호(을)"/>
      <sheetName val="63호"/>
      <sheetName val="3-4현"/>
      <sheetName val="SALE"/>
      <sheetName val="제품분류코드"/>
      <sheetName val="Sheet2"/>
      <sheetName val="basic_info"/>
      <sheetName val="계수원본(99.2.28)"/>
      <sheetName val="제품(수출)매출"/>
      <sheetName val="상품보조수불"/>
      <sheetName val="제조원가계산서 (2)"/>
      <sheetName val="제품입고(생산)"/>
      <sheetName val="IN"/>
      <sheetName val="1999년"/>
    </sheetNames>
    <sheetDataSet>
      <sheetData sheetId="0" refreshError="1">
        <row r="8">
          <cell r="C8" t="str">
            <v>610-81-08943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상각률표"/>
      <sheetName val="기계장치현황"/>
      <sheetName val="기계장치(법인)"/>
      <sheetName val="유형고정자산"/>
      <sheetName val="회사정보"/>
      <sheetName val="기본사항"/>
    </sheetNames>
    <sheetDataSet>
      <sheetData sheetId="0" refreshError="1">
        <row r="1">
          <cell r="A1" t="str">
            <v>내용년수</v>
          </cell>
          <cell r="B1" t="str">
            <v>정액법</v>
          </cell>
          <cell r="C1" t="str">
            <v>정률10</v>
          </cell>
          <cell r="D1" t="str">
            <v>정률5</v>
          </cell>
        </row>
        <row r="2">
          <cell r="A2">
            <v>2</v>
          </cell>
          <cell r="B2">
            <v>0.5</v>
          </cell>
          <cell r="C2">
            <v>0.68400000000000005</v>
          </cell>
          <cell r="D2">
            <v>0.77700000000000002</v>
          </cell>
        </row>
        <row r="3">
          <cell r="A3">
            <v>3</v>
          </cell>
          <cell r="B3">
            <v>0.33300000000000002</v>
          </cell>
          <cell r="C3">
            <v>0.53600000000000003</v>
          </cell>
          <cell r="D3">
            <v>0.63200000000000001</v>
          </cell>
        </row>
        <row r="4">
          <cell r="A4">
            <v>4</v>
          </cell>
          <cell r="B4">
            <v>0.25</v>
          </cell>
          <cell r="C4">
            <v>0.438</v>
          </cell>
          <cell r="D4">
            <v>0.52800000000000002</v>
          </cell>
        </row>
        <row r="5">
          <cell r="A5">
            <v>5</v>
          </cell>
          <cell r="B5">
            <v>0.2</v>
          </cell>
          <cell r="C5">
            <v>0.36899999999999999</v>
          </cell>
          <cell r="D5">
            <v>0.45100000000000001</v>
          </cell>
        </row>
        <row r="6">
          <cell r="A6">
            <v>6</v>
          </cell>
          <cell r="B6">
            <v>0.16600000000000001</v>
          </cell>
          <cell r="C6">
            <v>0.31900000000000001</v>
          </cell>
          <cell r="D6">
            <v>0.39400000000000002</v>
          </cell>
        </row>
        <row r="7">
          <cell r="A7">
            <v>7</v>
          </cell>
          <cell r="B7">
            <v>0.14199999999999999</v>
          </cell>
          <cell r="C7">
            <v>0.28000000000000003</v>
          </cell>
          <cell r="D7">
            <v>0.34899999999999998</v>
          </cell>
        </row>
        <row r="8">
          <cell r="A8">
            <v>8</v>
          </cell>
          <cell r="B8">
            <v>0.125</v>
          </cell>
          <cell r="C8">
            <v>0.25</v>
          </cell>
          <cell r="D8">
            <v>0.313</v>
          </cell>
        </row>
        <row r="9">
          <cell r="A9">
            <v>9</v>
          </cell>
          <cell r="B9">
            <v>0.111</v>
          </cell>
          <cell r="C9">
            <v>0.22600000000000001</v>
          </cell>
          <cell r="D9">
            <v>0.28399999999999997</v>
          </cell>
        </row>
        <row r="10">
          <cell r="A10">
            <v>10</v>
          </cell>
          <cell r="B10">
            <v>0.1</v>
          </cell>
          <cell r="C10">
            <v>0.20599999999999999</v>
          </cell>
          <cell r="D10">
            <v>0.25900000000000001</v>
          </cell>
        </row>
        <row r="11">
          <cell r="A11">
            <v>11</v>
          </cell>
          <cell r="B11">
            <v>0.09</v>
          </cell>
          <cell r="C11">
            <v>0.189</v>
          </cell>
          <cell r="D11">
            <v>0.23899999999999999</v>
          </cell>
        </row>
        <row r="12">
          <cell r="A12">
            <v>12</v>
          </cell>
          <cell r="B12">
            <v>8.3000000000000004E-2</v>
          </cell>
          <cell r="C12">
            <v>0.17499999999999999</v>
          </cell>
          <cell r="D12">
            <v>0.221</v>
          </cell>
        </row>
        <row r="13">
          <cell r="A13">
            <v>13</v>
          </cell>
          <cell r="B13">
            <v>7.5999999999999998E-2</v>
          </cell>
          <cell r="C13">
            <v>0.16200000000000001</v>
          </cell>
          <cell r="D13">
            <v>0.20599999999999999</v>
          </cell>
        </row>
        <row r="14">
          <cell r="A14">
            <v>14</v>
          </cell>
          <cell r="B14">
            <v>7.0999999999999994E-2</v>
          </cell>
          <cell r="C14">
            <v>0.152</v>
          </cell>
          <cell r="D14">
            <v>0.193</v>
          </cell>
        </row>
        <row r="15">
          <cell r="A15">
            <v>15</v>
          </cell>
          <cell r="B15">
            <v>6.6000000000000003E-2</v>
          </cell>
          <cell r="C15">
            <v>0.14199999999999999</v>
          </cell>
          <cell r="D15">
            <v>0.182</v>
          </cell>
        </row>
        <row r="16">
          <cell r="A16">
            <v>16</v>
          </cell>
          <cell r="B16">
            <v>6.2E-2</v>
          </cell>
          <cell r="C16">
            <v>0.13400000000000001</v>
          </cell>
          <cell r="D16">
            <v>0.17100000000000001</v>
          </cell>
        </row>
        <row r="17">
          <cell r="A17">
            <v>17</v>
          </cell>
          <cell r="B17">
            <v>5.8000000000000003E-2</v>
          </cell>
          <cell r="C17">
            <v>0.127</v>
          </cell>
          <cell r="D17">
            <v>0.16200000000000001</v>
          </cell>
        </row>
        <row r="18">
          <cell r="A18">
            <v>18</v>
          </cell>
          <cell r="B18">
            <v>5.5E-2</v>
          </cell>
          <cell r="C18">
            <v>0.12</v>
          </cell>
          <cell r="D18">
            <v>0.154</v>
          </cell>
        </row>
        <row r="19">
          <cell r="A19">
            <v>19</v>
          </cell>
          <cell r="B19">
            <v>5.1999999999999998E-2</v>
          </cell>
          <cell r="C19">
            <v>0.114</v>
          </cell>
          <cell r="D19">
            <v>0.14599999999999999</v>
          </cell>
        </row>
        <row r="20">
          <cell r="A20">
            <v>20</v>
          </cell>
          <cell r="B20">
            <v>0.05</v>
          </cell>
          <cell r="C20">
            <v>0.109</v>
          </cell>
          <cell r="D20">
            <v>0.14000000000000001</v>
          </cell>
        </row>
        <row r="21">
          <cell r="A21">
            <v>21</v>
          </cell>
          <cell r="B21">
            <v>4.8000000000000001E-2</v>
          </cell>
          <cell r="C21">
            <v>0.104</v>
          </cell>
          <cell r="D21">
            <v>0.13300000000000001</v>
          </cell>
        </row>
        <row r="22">
          <cell r="A22">
            <v>22</v>
          </cell>
          <cell r="B22">
            <v>4.5999999999999999E-2</v>
          </cell>
          <cell r="C22">
            <v>9.9000000000000005E-2</v>
          </cell>
          <cell r="D22">
            <v>0.128</v>
          </cell>
        </row>
        <row r="23">
          <cell r="A23">
            <v>23</v>
          </cell>
          <cell r="B23">
            <v>4.3999999999999997E-2</v>
          </cell>
          <cell r="C23">
            <v>9.5000000000000001E-2</v>
          </cell>
          <cell r="D23">
            <v>0.123</v>
          </cell>
        </row>
        <row r="24">
          <cell r="A24">
            <v>24</v>
          </cell>
          <cell r="B24">
            <v>4.2000000000000003E-2</v>
          </cell>
          <cell r="C24">
            <v>9.1999999999999998E-2</v>
          </cell>
          <cell r="D24">
            <v>0.11799999999999999</v>
          </cell>
        </row>
        <row r="25">
          <cell r="A25">
            <v>25</v>
          </cell>
          <cell r="B25">
            <v>0.04</v>
          </cell>
          <cell r="C25">
            <v>8.7999999999999995E-2</v>
          </cell>
          <cell r="D25">
            <v>0.113</v>
          </cell>
        </row>
        <row r="26">
          <cell r="A26">
            <v>26</v>
          </cell>
          <cell r="B26">
            <v>3.9E-2</v>
          </cell>
          <cell r="C26">
            <v>8.5000000000000006E-2</v>
          </cell>
          <cell r="D26">
            <v>0.109</v>
          </cell>
        </row>
        <row r="27">
          <cell r="A27">
            <v>27</v>
          </cell>
          <cell r="B27">
            <v>3.6999999999999998E-2</v>
          </cell>
          <cell r="C27">
            <v>8.2000000000000003E-2</v>
          </cell>
          <cell r="D27">
            <v>0.106</v>
          </cell>
        </row>
        <row r="28">
          <cell r="A28">
            <v>28</v>
          </cell>
          <cell r="B28">
            <v>3.5999999999999997E-2</v>
          </cell>
          <cell r="C28">
            <v>0.79</v>
          </cell>
          <cell r="D28">
            <v>0.10199999999999999</v>
          </cell>
        </row>
        <row r="29">
          <cell r="A29">
            <v>29</v>
          </cell>
          <cell r="B29">
            <v>3.5000000000000003E-2</v>
          </cell>
          <cell r="C29">
            <v>7.5999999999999998E-2</v>
          </cell>
          <cell r="D29">
            <v>0.99</v>
          </cell>
        </row>
        <row r="30">
          <cell r="A30">
            <v>30</v>
          </cell>
          <cell r="B30">
            <v>3.4000000000000002E-2</v>
          </cell>
          <cell r="C30">
            <v>7.3999999999999996E-2</v>
          </cell>
          <cell r="D30">
            <v>9.6000000000000002E-2</v>
          </cell>
        </row>
        <row r="31">
          <cell r="A31">
            <v>31</v>
          </cell>
          <cell r="B31">
            <v>3.3000000000000002E-2</v>
          </cell>
          <cell r="C31">
            <v>7.1999999999999995E-2</v>
          </cell>
          <cell r="D31">
            <v>9.2999999999999999E-2</v>
          </cell>
        </row>
        <row r="32">
          <cell r="A32">
            <v>32</v>
          </cell>
          <cell r="B32">
            <v>3.2000000000000001E-2</v>
          </cell>
          <cell r="C32">
            <v>6.9000000000000006E-2</v>
          </cell>
          <cell r="D32">
            <v>0.09</v>
          </cell>
        </row>
        <row r="33">
          <cell r="A33">
            <v>33</v>
          </cell>
          <cell r="B33">
            <v>3.1E-2</v>
          </cell>
          <cell r="C33">
            <v>6.7000000000000004E-2</v>
          </cell>
          <cell r="D33">
            <v>8.6999999999999994E-2</v>
          </cell>
        </row>
        <row r="34">
          <cell r="A34">
            <v>34</v>
          </cell>
          <cell r="B34">
            <v>0.03</v>
          </cell>
          <cell r="C34">
            <v>6.6000000000000003E-2</v>
          </cell>
          <cell r="D34">
            <v>8.5000000000000006E-2</v>
          </cell>
        </row>
        <row r="35">
          <cell r="A35">
            <v>35</v>
          </cell>
          <cell r="B35">
            <v>2.9000000000000001E-2</v>
          </cell>
          <cell r="C35">
            <v>6.4000000000000001E-2</v>
          </cell>
          <cell r="D35">
            <v>8.3000000000000004E-2</v>
          </cell>
        </row>
        <row r="36">
          <cell r="A36">
            <v>36</v>
          </cell>
          <cell r="B36">
            <v>2.8000000000000001E-2</v>
          </cell>
          <cell r="C36">
            <v>6.2E-2</v>
          </cell>
          <cell r="D36">
            <v>0.08</v>
          </cell>
        </row>
        <row r="37">
          <cell r="A37">
            <v>37</v>
          </cell>
          <cell r="B37">
            <v>2.7E-2</v>
          </cell>
          <cell r="C37">
            <v>0.06</v>
          </cell>
          <cell r="D37">
            <v>7.8E-2</v>
          </cell>
        </row>
        <row r="38">
          <cell r="A38">
            <v>38</v>
          </cell>
          <cell r="B38">
            <v>2.7E-2</v>
          </cell>
          <cell r="C38">
            <v>5.8999999999999997E-2</v>
          </cell>
          <cell r="D38">
            <v>7.5999999999999998E-2</v>
          </cell>
        </row>
        <row r="39">
          <cell r="A39">
            <v>39</v>
          </cell>
          <cell r="B39">
            <v>2.5999999999999999E-2</v>
          </cell>
          <cell r="C39">
            <v>5.7000000000000002E-2</v>
          </cell>
          <cell r="D39">
            <v>7.3999999999999996E-2</v>
          </cell>
        </row>
        <row r="40">
          <cell r="A40">
            <v>40</v>
          </cell>
          <cell r="B40">
            <v>2.5000000000000001E-2</v>
          </cell>
          <cell r="C40">
            <v>5.6000000000000001E-2</v>
          </cell>
          <cell r="D40">
            <v>7.2999999999999995E-2</v>
          </cell>
        </row>
        <row r="41">
          <cell r="A41">
            <v>41</v>
          </cell>
          <cell r="B41">
            <v>2.5000000000000001E-2</v>
          </cell>
          <cell r="C41">
            <v>5.5E-2</v>
          </cell>
          <cell r="D41">
            <v>7.0999999999999994E-2</v>
          </cell>
        </row>
        <row r="42">
          <cell r="A42">
            <v>42</v>
          </cell>
          <cell r="B42">
            <v>2.4E-2</v>
          </cell>
          <cell r="C42">
            <v>5.2999999999999999E-2</v>
          </cell>
          <cell r="D42">
            <v>6.9000000000000006E-2</v>
          </cell>
        </row>
        <row r="43">
          <cell r="A43">
            <v>43</v>
          </cell>
          <cell r="B43">
            <v>2.4E-2</v>
          </cell>
          <cell r="C43">
            <v>5.1999999999999998E-2</v>
          </cell>
          <cell r="D43">
            <v>6.8000000000000005E-2</v>
          </cell>
        </row>
        <row r="44">
          <cell r="A44">
            <v>44</v>
          </cell>
          <cell r="B44">
            <v>2.3E-2</v>
          </cell>
          <cell r="C44">
            <v>5.0999999999999997E-2</v>
          </cell>
          <cell r="D44">
            <v>6.6000000000000003E-2</v>
          </cell>
        </row>
        <row r="45">
          <cell r="A45">
            <v>45</v>
          </cell>
          <cell r="B45">
            <v>2.3E-2</v>
          </cell>
          <cell r="C45">
            <v>0.05</v>
          </cell>
          <cell r="D45">
            <v>6.5000000000000002E-2</v>
          </cell>
        </row>
        <row r="46">
          <cell r="A46">
            <v>46</v>
          </cell>
          <cell r="B46">
            <v>2.1999999999999999E-2</v>
          </cell>
          <cell r="C46">
            <v>4.9000000000000002E-2</v>
          </cell>
          <cell r="D46">
            <v>6.4000000000000001E-2</v>
          </cell>
        </row>
        <row r="47">
          <cell r="A47">
            <v>47</v>
          </cell>
          <cell r="B47">
            <v>2.1999999999999999E-2</v>
          </cell>
          <cell r="C47">
            <v>4.8000000000000001E-2</v>
          </cell>
          <cell r="D47">
            <v>6.2E-2</v>
          </cell>
        </row>
        <row r="48">
          <cell r="A48">
            <v>48</v>
          </cell>
          <cell r="B48">
            <v>2.1000000000000001E-2</v>
          </cell>
          <cell r="C48">
            <v>4.7E-2</v>
          </cell>
          <cell r="D48">
            <v>6.0999999999999999E-2</v>
          </cell>
        </row>
        <row r="49">
          <cell r="A49">
            <v>49</v>
          </cell>
          <cell r="B49">
            <v>2.1000000000000001E-2</v>
          </cell>
          <cell r="C49">
            <v>4.5999999999999999E-2</v>
          </cell>
          <cell r="D49">
            <v>0.06</v>
          </cell>
        </row>
        <row r="50">
          <cell r="A50">
            <v>50</v>
          </cell>
          <cell r="B50">
            <v>0.02</v>
          </cell>
          <cell r="C50">
            <v>4.4999999999999998E-2</v>
          </cell>
          <cell r="D50">
            <v>5.8999999999999997E-2</v>
          </cell>
        </row>
        <row r="51">
          <cell r="A51">
            <v>51</v>
          </cell>
          <cell r="B51">
            <v>0.02</v>
          </cell>
          <cell r="C51">
            <v>4.3999999999999997E-2</v>
          </cell>
          <cell r="D51">
            <v>5.8000000000000003E-2</v>
          </cell>
        </row>
        <row r="52">
          <cell r="A52">
            <v>52</v>
          </cell>
          <cell r="B52">
            <v>0.02</v>
          </cell>
          <cell r="C52">
            <v>4.2999999999999997E-2</v>
          </cell>
          <cell r="D52">
            <v>5.6000000000000001E-2</v>
          </cell>
        </row>
        <row r="53">
          <cell r="A53">
            <v>53</v>
          </cell>
          <cell r="B53">
            <v>1.9E-2</v>
          </cell>
          <cell r="C53">
            <v>4.2999999999999997E-2</v>
          </cell>
          <cell r="D53">
            <v>5.5E-2</v>
          </cell>
        </row>
        <row r="54">
          <cell r="A54">
            <v>54</v>
          </cell>
          <cell r="B54">
            <v>1.9E-2</v>
          </cell>
          <cell r="C54">
            <v>4.2000000000000003E-2</v>
          </cell>
          <cell r="D54">
            <v>5.3999999999999999E-2</v>
          </cell>
        </row>
        <row r="55">
          <cell r="A55">
            <v>55</v>
          </cell>
          <cell r="B55">
            <v>1.9E-2</v>
          </cell>
          <cell r="C55">
            <v>4.1000000000000002E-2</v>
          </cell>
          <cell r="D55">
            <v>5.3999999999999999E-2</v>
          </cell>
        </row>
        <row r="56">
          <cell r="A56">
            <v>56</v>
          </cell>
          <cell r="B56">
            <v>1.7999999999999999E-2</v>
          </cell>
          <cell r="C56">
            <v>0.04</v>
          </cell>
          <cell r="D56">
            <v>5.2999999999999999E-2</v>
          </cell>
        </row>
        <row r="57">
          <cell r="A57">
            <v>57</v>
          </cell>
          <cell r="B57">
            <v>1.7999999999999999E-2</v>
          </cell>
          <cell r="C57">
            <v>0.04</v>
          </cell>
          <cell r="D57">
            <v>5.1999999999999998E-2</v>
          </cell>
        </row>
        <row r="58">
          <cell r="A58">
            <v>58</v>
          </cell>
          <cell r="B58">
            <v>1.7999999999999999E-2</v>
          </cell>
          <cell r="C58">
            <v>3.9E-2</v>
          </cell>
          <cell r="D58">
            <v>5.0999999999999997E-2</v>
          </cell>
        </row>
        <row r="59">
          <cell r="A59">
            <v>59</v>
          </cell>
          <cell r="B59">
            <v>1.7000000000000001E-2</v>
          </cell>
          <cell r="C59">
            <v>3.7999999999999999E-2</v>
          </cell>
          <cell r="D59">
            <v>0.05</v>
          </cell>
        </row>
        <row r="60">
          <cell r="A60">
            <v>60</v>
          </cell>
          <cell r="B60">
            <v>1.7000000000000001E-2</v>
          </cell>
          <cell r="C60">
            <v>3.7999999999999999E-2</v>
          </cell>
          <cell r="D60">
            <v>4.9000000000000002E-2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감사"/>
      <sheetName val="INPUT"/>
      <sheetName val="INDEX"/>
      <sheetName val="2500"/>
      <sheetName val="2600"/>
      <sheetName val="3100"/>
      <sheetName val="3150"/>
      <sheetName val="3160"/>
      <sheetName val="3250"/>
      <sheetName val="3300"/>
      <sheetName val="3400"/>
      <sheetName val="3530"/>
      <sheetName val="3700"/>
      <sheetName val="3800"/>
    </sheetNames>
    <sheetDataSet>
      <sheetData sheetId="0" refreshError="1"/>
      <sheetData sheetId="1">
        <row r="5">
          <cell r="B5">
            <v>40543</v>
          </cell>
        </row>
        <row r="7">
          <cell r="B7" t="str">
            <v>이찬호/박홍규</v>
          </cell>
        </row>
        <row r="8">
          <cell r="B8">
            <v>40599</v>
          </cell>
        </row>
        <row r="10">
          <cell r="B10" t="str">
            <v>푸른김포주식회사</v>
          </cell>
        </row>
        <row r="17">
          <cell r="B17">
            <v>40599</v>
          </cell>
        </row>
        <row r="27">
          <cell r="B27" t="str">
            <v>강기창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미수금"/>
      <sheetName val="선급금"/>
      <sheetName val="종업원"/>
      <sheetName val="임차보증"/>
      <sheetName val="외상매입"/>
      <sheetName val="외화외상"/>
      <sheetName val="선수금"/>
    </sheetNames>
    <sheetDataSet>
      <sheetData sheetId="0" refreshError="1"/>
      <sheetData sheetId="1">
        <row r="7">
          <cell r="E7" t="str">
            <v>선급금</v>
          </cell>
        </row>
        <row r="8">
          <cell r="A8" t="str">
            <v>1.</v>
          </cell>
          <cell r="B8" t="str">
            <v>엘지에드</v>
          </cell>
          <cell r="C8" t="str">
            <v>121-020</v>
          </cell>
          <cell r="D8" t="str">
            <v>서울시 마포구 공덕동 275</v>
          </cell>
        </row>
        <row r="9">
          <cell r="A9" t="str">
            <v>2.</v>
          </cell>
          <cell r="B9" t="str">
            <v>SK텔레콤</v>
          </cell>
          <cell r="C9" t="str">
            <v>100-095</v>
          </cell>
          <cell r="D9" t="str">
            <v>서울시 중구 남대문5가 267</v>
          </cell>
        </row>
        <row r="10">
          <cell r="A10" t="str">
            <v>3.</v>
          </cell>
          <cell r="B10" t="str">
            <v>㈜한성직물</v>
          </cell>
          <cell r="C10" t="str">
            <v>137-070</v>
          </cell>
          <cell r="D10" t="str">
            <v>서울시 서초구 서초동 1443-10</v>
          </cell>
        </row>
        <row r="11">
          <cell r="A11" t="str">
            <v>4.</v>
          </cell>
          <cell r="B11" t="str">
            <v>경우</v>
          </cell>
          <cell r="C11" t="str">
            <v>425-110</v>
          </cell>
          <cell r="D11" t="str">
            <v>경기도 안산시 성곡동 611-10</v>
          </cell>
          <cell r="E11">
            <v>286544122</v>
          </cell>
        </row>
        <row r="12">
          <cell r="A12" t="str">
            <v>5.</v>
          </cell>
          <cell r="B12" t="str">
            <v>CLK통상</v>
          </cell>
          <cell r="C12" t="str">
            <v>135-778</v>
          </cell>
          <cell r="D12" t="str">
            <v>서울시 강남구 대치동 은마APT 12-804호</v>
          </cell>
          <cell r="E12">
            <v>157734965</v>
          </cell>
        </row>
        <row r="13">
          <cell r="A13" t="str">
            <v>6.</v>
          </cell>
          <cell r="B13" t="str">
            <v>오상돈 상무이사</v>
          </cell>
        </row>
        <row r="14">
          <cell r="A14" t="str">
            <v>7.</v>
          </cell>
          <cell r="B14" t="str">
            <v>심규섭 전무이사</v>
          </cell>
        </row>
        <row r="15">
          <cell r="A15" t="str">
            <v>8.</v>
          </cell>
          <cell r="B15" t="str">
            <v>기산금고</v>
          </cell>
          <cell r="C15" t="str">
            <v>135-091</v>
          </cell>
          <cell r="D15" t="str">
            <v>서울시 강남구 삼성동 78</v>
          </cell>
        </row>
        <row r="16">
          <cell r="A16" t="str">
            <v>9.</v>
          </cell>
          <cell r="B16" t="str">
            <v>㈜에넥스</v>
          </cell>
          <cell r="C16" t="str">
            <v>135-080</v>
          </cell>
          <cell r="D16" t="str">
            <v>서울시 강남구 역삼동 809-10</v>
          </cell>
        </row>
        <row r="17">
          <cell r="A17" t="str">
            <v>10.</v>
          </cell>
          <cell r="B17" t="str">
            <v>성진피혁</v>
          </cell>
          <cell r="C17" t="str">
            <v>425-100</v>
          </cell>
          <cell r="D17" t="str">
            <v>경기도 안산시 목내동 403-1</v>
          </cell>
        </row>
        <row r="18">
          <cell r="A18" t="str">
            <v>11.</v>
          </cell>
          <cell r="B18" t="str">
            <v>신양피혁</v>
          </cell>
          <cell r="C18" t="str">
            <v>425-110</v>
          </cell>
          <cell r="D18" t="str">
            <v>경기도 안산시 성곡동 605-1</v>
          </cell>
        </row>
        <row r="19">
          <cell r="A19" t="str">
            <v>12.</v>
          </cell>
          <cell r="B19" t="str">
            <v>신오</v>
          </cell>
          <cell r="C19" t="str">
            <v>425-090</v>
          </cell>
          <cell r="D19" t="str">
            <v>경기도 안산시 원시동 727</v>
          </cell>
        </row>
        <row r="20">
          <cell r="A20" t="str">
            <v>13.</v>
          </cell>
          <cell r="B20" t="str">
            <v>우영상사</v>
          </cell>
          <cell r="C20" t="str">
            <v>130-101</v>
          </cell>
          <cell r="D20" t="str">
            <v>서울시 동대문구 장안동 433-11</v>
          </cell>
        </row>
        <row r="21">
          <cell r="A21" t="str">
            <v>14.</v>
          </cell>
          <cell r="B21" t="str">
            <v>유풍양행</v>
          </cell>
          <cell r="C21" t="str">
            <v>133-121</v>
          </cell>
          <cell r="D21" t="str">
            <v>서울시 성동구 성수2가 315-69 홍일빌딩4층</v>
          </cell>
        </row>
        <row r="22">
          <cell r="A22" t="str">
            <v>15.</v>
          </cell>
          <cell r="B22" t="str">
            <v>삼일씨엔씨</v>
          </cell>
          <cell r="C22" t="str">
            <v>121-040</v>
          </cell>
          <cell r="D22" t="str">
            <v>서울시 마포구 도화동 22</v>
          </cell>
          <cell r="E22">
            <v>73000000</v>
          </cell>
        </row>
        <row r="23">
          <cell r="A23" t="str">
            <v>16.</v>
          </cell>
          <cell r="B23" t="str">
            <v>복고상사</v>
          </cell>
          <cell r="C23" t="str">
            <v>131-200</v>
          </cell>
          <cell r="D23" t="str">
            <v>서울시 중랑구 면목동 183-27</v>
          </cell>
          <cell r="E23">
            <v>17244000</v>
          </cell>
        </row>
        <row r="24">
          <cell r="A24" t="str">
            <v>17.</v>
          </cell>
          <cell r="B24" t="str">
            <v>엠씨코리아</v>
          </cell>
          <cell r="C24" t="str">
            <v>100-430</v>
          </cell>
          <cell r="D24" t="str">
            <v>서울시 중구 흥인동 3-4 우일타운 814호</v>
          </cell>
          <cell r="E24">
            <v>220000</v>
          </cell>
        </row>
        <row r="25">
          <cell r="A25" t="str">
            <v>18.</v>
          </cell>
          <cell r="B25" t="str">
            <v>우신관세사</v>
          </cell>
          <cell r="C25" t="str">
            <v>157-240</v>
          </cell>
          <cell r="D25" t="str">
            <v>서울시 강서구 공항동 60-173</v>
          </cell>
          <cell r="E25">
            <v>8975610</v>
          </cell>
        </row>
        <row r="26">
          <cell r="A26" t="str">
            <v>19.</v>
          </cell>
          <cell r="B26" t="str">
            <v>오진통상</v>
          </cell>
          <cell r="C26" t="str">
            <v>134-030</v>
          </cell>
          <cell r="D26" t="str">
            <v>서울시 강동구 성내동 444-2</v>
          </cell>
        </row>
        <row r="27">
          <cell r="A27" t="str">
            <v>20.</v>
          </cell>
          <cell r="B27" t="str">
            <v>제우섬유</v>
          </cell>
          <cell r="C27" t="str">
            <v>133-121</v>
          </cell>
          <cell r="D27" t="str">
            <v>서울시 성동구 성수2가 234-37</v>
          </cell>
        </row>
        <row r="28">
          <cell r="A28" t="str">
            <v>21.</v>
          </cell>
          <cell r="B28" t="str">
            <v>한성직물</v>
          </cell>
          <cell r="C28" t="str">
            <v>137-070</v>
          </cell>
          <cell r="D28" t="str">
            <v>서울시 서초구 서초동 1443-10</v>
          </cell>
        </row>
        <row r="29">
          <cell r="A29" t="str">
            <v>22.</v>
          </cell>
          <cell r="B29" t="str">
            <v>합동</v>
          </cell>
          <cell r="C29" t="str">
            <v>604-041</v>
          </cell>
          <cell r="D29" t="str">
            <v>부산광역시 사하구 장림동 1084-1</v>
          </cell>
        </row>
        <row r="30">
          <cell r="A30" t="str">
            <v>23.</v>
          </cell>
          <cell r="B30" t="str">
            <v>대양통상</v>
          </cell>
          <cell r="C30" t="str">
            <v>138-051</v>
          </cell>
          <cell r="D30" t="str">
            <v>서울시 송파구 방이동 193-24</v>
          </cell>
        </row>
        <row r="31">
          <cell r="A31" t="str">
            <v>24.</v>
          </cell>
          <cell r="B31" t="str">
            <v>천웅상사</v>
          </cell>
          <cell r="C31" t="str">
            <v>121-718</v>
          </cell>
          <cell r="D31" t="str">
            <v>서울시 마포구 공덕동 404 풍림 VIP텔 1524호</v>
          </cell>
        </row>
        <row r="38">
          <cell r="B38" t="str">
            <v>합계</v>
          </cell>
          <cell r="E38">
            <v>543718697</v>
          </cell>
          <cell r="F38">
            <v>0</v>
          </cell>
          <cell r="G38">
            <v>0</v>
          </cell>
          <cell r="H38">
            <v>0</v>
          </cell>
        </row>
        <row r="40">
          <cell r="B40" t="str">
            <v>98.9.30 잔액</v>
          </cell>
          <cell r="D40" t="str">
            <v>모집단총액</v>
          </cell>
          <cell r="E40">
            <v>1068624922</v>
          </cell>
        </row>
        <row r="41">
          <cell r="D41" t="str">
            <v>조회율</v>
          </cell>
        </row>
        <row r="42">
          <cell r="D42" t="str">
            <v>회신액</v>
          </cell>
        </row>
        <row r="43">
          <cell r="D43" t="str">
            <v>회신율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차대조표"/>
      <sheetName val="전체종합BS"/>
      <sheetName val="국내종합BS"/>
      <sheetName val="전체종합PL"/>
      <sheetName val="국내종합PL"/>
      <sheetName val="차이분석"/>
      <sheetName val="결손금처리계산서"/>
      <sheetName val="잉여금"/>
      <sheetName val="합계잔액시산표"/>
      <sheetName val="보고서CF"/>
      <sheetName val="?????"/>
      <sheetName val="계수원본(99.2.28)"/>
      <sheetName val="I一般比"/>
      <sheetName val="BM_NEW2"/>
      <sheetName val="외상매입금점별현황"/>
      <sheetName val="당월손익계산서★"/>
      <sheetName val="샤워실위생"/>
      <sheetName val="협조전"/>
      <sheetName val="매입계산서"/>
      <sheetName val="부분품"/>
      <sheetName val="생산부대통지서"/>
      <sheetName val="93상각비"/>
      <sheetName val="반도체"/>
      <sheetName val="H.P견적(참조)"/>
      <sheetName val="Ctrl"/>
      <sheetName val="회사정보"/>
      <sheetName val="LIST"/>
    </sheetNames>
    <sheetDataSet>
      <sheetData sheetId="0" refreshError="1">
        <row r="13">
          <cell r="E13" t="str">
            <v>외상매출금</v>
          </cell>
          <cell r="F13">
            <v>5082464183</v>
          </cell>
          <cell r="H13">
            <v>5944818452</v>
          </cell>
          <cell r="K13">
            <v>100000</v>
          </cell>
          <cell r="L13">
            <v>5944718452</v>
          </cell>
          <cell r="M13" t="str">
            <v/>
          </cell>
        </row>
        <row r="14">
          <cell r="E14" t="str">
            <v>대손충당금</v>
          </cell>
          <cell r="F14">
            <v>11994615</v>
          </cell>
          <cell r="G14">
            <v>5070469568</v>
          </cell>
          <cell r="H14">
            <v>23838721</v>
          </cell>
          <cell r="I14">
            <v>5920979731</v>
          </cell>
          <cell r="L14">
            <v>23838721</v>
          </cell>
          <cell r="M14">
            <v>5920879731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4A"/>
    </sheetNames>
    <definedNames>
      <definedName name="입출고삭제"/>
    </definedNames>
    <sheetDataSet>
      <sheetData sheetId="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약10일"/>
      <sheetName val="자산가치"/>
    </sheetNames>
    <definedNames>
      <definedName name="don"/>
    </definedNames>
    <sheetDataSet>
      <sheetData sheetId="0" refreshError="1"/>
      <sheetData sheetId="1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20호(1)"/>
      <sheetName val="20호(2)"/>
      <sheetName val="20호(3)"/>
      <sheetName val="26호(갑)"/>
      <sheetName val="26호(을)"/>
      <sheetName val="타법인주식"/>
      <sheetName val="35호"/>
      <sheetName val="39호"/>
      <sheetName val="48호"/>
      <sheetName val="51호"/>
      <sheetName val="54호(갑)"/>
      <sheetName val="54호(을)"/>
      <sheetName val="63호"/>
      <sheetName val="대차대조표"/>
      <sheetName val="SALE"/>
      <sheetName val="시산표"/>
      <sheetName val="원가"/>
      <sheetName val="사업"/>
      <sheetName val="제품분류코드"/>
      <sheetName val="Sheet2"/>
      <sheetName val="basic_info"/>
      <sheetName val="5월"/>
      <sheetName val="감가상각"/>
    </sheetNames>
    <sheetDataSet>
      <sheetData sheetId="0" refreshError="1">
        <row r="6">
          <cell r="C6" t="str">
            <v>성진기계㈜</v>
          </cell>
        </row>
        <row r="8">
          <cell r="C8" t="str">
            <v>610-81-08943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색인"/>
      <sheetName val="기본"/>
      <sheetName val="수정"/>
      <sheetName val="제조원가"/>
      <sheetName val="주석 (2)"/>
      <sheetName val="중요성"/>
      <sheetName val="대차"/>
      <sheetName val="손익"/>
      <sheetName val="잉여금"/>
      <sheetName val="현금흐름표"/>
      <sheetName val="법인세"/>
      <sheetName val="현금과예금"/>
      <sheetName val="현금"/>
      <sheetName val="유가증권"/>
      <sheetName val="매출채권"/>
      <sheetName val="매출"/>
      <sheetName val="VAT대조"/>
      <sheetName val="투자"/>
      <sheetName val="차입금"/>
      <sheetName val="자본"/>
      <sheetName val="어음수불"/>
      <sheetName val="미회수어음"/>
      <sheetName val="판관비"/>
      <sheetName val="영업외손익"/>
      <sheetName val="외환익"/>
      <sheetName val="외환손"/>
      <sheetName val="이자비용"/>
      <sheetName val="이자수익"/>
      <sheetName val="법인세등"/>
      <sheetName val="Sheet1"/>
      <sheetName val="기타당좌 (2)"/>
      <sheetName val="재고 (2)"/>
      <sheetName val="재고2 (2)"/>
      <sheetName val="재고3"/>
      <sheetName val="재고명세"/>
      <sheetName val="상품"/>
      <sheetName val="제품"/>
      <sheetName val="제품2"/>
      <sheetName val="반제품"/>
      <sheetName val="재공품"/>
      <sheetName val="원재료"/>
      <sheetName val="포장재"/>
      <sheetName val="매출원가 (2)"/>
      <sheetName val="매출명세"/>
      <sheetName val="유형 (2)"/>
      <sheetName val="토지"/>
      <sheetName val="상각"/>
      <sheetName val="매입채무 (2)"/>
      <sheetName val="매입"/>
      <sheetName val="특수"/>
      <sheetName val="외매입"/>
      <sheetName val="미지급"/>
      <sheetName val="기타유동 (2)"/>
      <sheetName val="퇴직급여 (2)"/>
      <sheetName val="급여 (2)"/>
      <sheetName val="급여2"/>
      <sheetName val="매출채권처분"/>
      <sheetName val="경영지표"/>
      <sheetName val="내부"/>
      <sheetName val="조정"/>
      <sheetName val="리앤리"/>
      <sheetName val="주석"/>
      <sheetName val="조회"/>
      <sheetName val="환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4">
          <cell r="A4" t="str">
            <v>계정과목</v>
          </cell>
          <cell r="B4" t="str">
            <v>거래처</v>
          </cell>
        </row>
        <row r="5">
          <cell r="A5" t="str">
            <v>외화환산이익</v>
          </cell>
          <cell r="B5" t="str">
            <v>기업은행</v>
          </cell>
          <cell r="C5" t="str">
            <v>USD242740.02</v>
          </cell>
        </row>
        <row r="6">
          <cell r="C6" t="str">
            <v>JPY133533</v>
          </cell>
        </row>
        <row r="7">
          <cell r="C7" t="str">
            <v>EUR155992.91</v>
          </cell>
        </row>
        <row r="8">
          <cell r="C8" t="str">
            <v>HKD11078.42</v>
          </cell>
        </row>
        <row r="9">
          <cell r="B9" t="str">
            <v>하나은행</v>
          </cell>
          <cell r="C9" t="str">
            <v>USD1</v>
          </cell>
        </row>
        <row r="10">
          <cell r="B10" t="str">
            <v>매출채권</v>
          </cell>
          <cell r="C10" t="str">
            <v>USD6,547.84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6"/>
  <dimension ref="A2:J102"/>
  <sheetViews>
    <sheetView tabSelected="1" view="pageBreakPreview" zoomScale="60" zoomScaleNormal="100" workbookViewId="0">
      <selection activeCell="F5" sqref="F5:F6"/>
    </sheetView>
  </sheetViews>
  <sheetFormatPr defaultColWidth="9" defaultRowHeight="14.25"/>
  <cols>
    <col min="1" max="2" width="2" style="6" customWidth="1"/>
    <col min="3" max="3" width="30.25" style="6" customWidth="1"/>
    <col min="4" max="4" width="12.625" style="16" customWidth="1"/>
    <col min="5" max="5" width="13.375" style="16" customWidth="1"/>
    <col min="6" max="6" width="12.625" style="16" customWidth="1"/>
    <col min="7" max="7" width="9.125" style="16" customWidth="1"/>
    <col min="8" max="8" width="11.375" style="16" customWidth="1"/>
    <col min="9" max="9" width="8" style="16" customWidth="1"/>
    <col min="10" max="10" width="17.75" style="16" customWidth="1"/>
    <col min="11" max="16384" width="9" style="16"/>
  </cols>
  <sheetData>
    <row r="2" spans="1:10" s="4" customFormat="1" ht="20.100000000000001" customHeight="1">
      <c r="A2" s="83" t="s">
        <v>90</v>
      </c>
      <c r="B2" s="83"/>
      <c r="C2" s="83"/>
      <c r="D2" s="83"/>
      <c r="E2" s="83"/>
      <c r="F2" s="83"/>
      <c r="G2" s="83"/>
      <c r="H2" s="83"/>
      <c r="I2" s="83"/>
      <c r="J2" s="83"/>
    </row>
    <row r="3" spans="1:10" s="6" customFormat="1">
      <c r="A3" s="5"/>
      <c r="B3" s="5"/>
    </row>
    <row r="4" spans="1:10" s="11" customFormat="1">
      <c r="A4" s="6"/>
      <c r="B4" s="6"/>
      <c r="C4" s="7" t="s">
        <v>6</v>
      </c>
      <c r="D4" s="2"/>
      <c r="E4" s="6"/>
      <c r="F4" s="6"/>
      <c r="G4" s="8" t="s">
        <v>93</v>
      </c>
      <c r="H4" s="1"/>
      <c r="I4" s="9" t="s">
        <v>7</v>
      </c>
      <c r="J4" s="10"/>
    </row>
    <row r="5" spans="1:10" s="11" customFormat="1">
      <c r="A5" s="6"/>
      <c r="B5" s="6"/>
      <c r="C5" s="7" t="s">
        <v>8</v>
      </c>
      <c r="D5" s="3"/>
      <c r="E5" s="6"/>
      <c r="F5" s="6"/>
      <c r="G5" s="9" t="s">
        <v>94</v>
      </c>
      <c r="H5" s="1"/>
      <c r="I5" s="9" t="s">
        <v>7</v>
      </c>
      <c r="J5" s="12"/>
    </row>
    <row r="6" spans="1:10" s="15" customFormat="1" ht="18.75">
      <c r="A6" s="6"/>
      <c r="B6" s="6"/>
      <c r="C6" s="6"/>
      <c r="D6" s="13"/>
      <c r="E6" s="14"/>
    </row>
    <row r="7" spans="1:10">
      <c r="A7" s="6" t="s">
        <v>91</v>
      </c>
    </row>
    <row r="8" spans="1:10" s="6" customFormat="1" ht="20.100000000000001" customHeight="1">
      <c r="A8" s="84" t="s">
        <v>95</v>
      </c>
      <c r="B8" s="85"/>
      <c r="C8" s="85"/>
      <c r="D8" s="85"/>
      <c r="E8" s="85"/>
      <c r="F8" s="85"/>
      <c r="G8" s="85"/>
      <c r="H8" s="85"/>
      <c r="I8" s="85"/>
      <c r="J8" s="86"/>
    </row>
    <row r="9" spans="1:10" s="6" customFormat="1" ht="20.100000000000001" customHeight="1">
      <c r="A9" s="87"/>
      <c r="B9" s="88"/>
      <c r="C9" s="88"/>
      <c r="D9" s="88"/>
      <c r="E9" s="88"/>
      <c r="F9" s="88"/>
      <c r="G9" s="88"/>
      <c r="H9" s="88"/>
      <c r="I9" s="88"/>
      <c r="J9" s="89"/>
    </row>
    <row r="10" spans="1:10" s="6" customFormat="1" ht="20.100000000000001" customHeight="1">
      <c r="A10" s="87"/>
      <c r="B10" s="88"/>
      <c r="C10" s="88"/>
      <c r="D10" s="88"/>
      <c r="E10" s="88"/>
      <c r="F10" s="88"/>
      <c r="G10" s="88"/>
      <c r="H10" s="88"/>
      <c r="I10" s="88"/>
      <c r="J10" s="89"/>
    </row>
    <row r="11" spans="1:10" s="6" customFormat="1" ht="20.100000000000001" customHeight="1">
      <c r="A11" s="90"/>
      <c r="B11" s="91"/>
      <c r="C11" s="91"/>
      <c r="D11" s="91"/>
      <c r="E11" s="91"/>
      <c r="F11" s="91"/>
      <c r="G11" s="91"/>
      <c r="H11" s="91"/>
      <c r="I11" s="91"/>
      <c r="J11" s="92"/>
    </row>
    <row r="13" spans="1:10" ht="20.100000000000001" customHeight="1">
      <c r="A13" s="17"/>
      <c r="B13" s="17"/>
      <c r="C13" s="17"/>
      <c r="D13" s="73" t="s">
        <v>56</v>
      </c>
      <c r="E13" s="73" t="s">
        <v>57</v>
      </c>
      <c r="F13" s="75" t="s">
        <v>5</v>
      </c>
      <c r="G13" s="76"/>
      <c r="H13" s="79" t="s">
        <v>58</v>
      </c>
      <c r="I13" s="79"/>
      <c r="J13" s="80" t="s">
        <v>10</v>
      </c>
    </row>
    <row r="14" spans="1:10" ht="20.100000000000001" customHeight="1">
      <c r="A14" s="18"/>
      <c r="B14" s="18"/>
      <c r="C14" s="18"/>
      <c r="D14" s="74"/>
      <c r="E14" s="74"/>
      <c r="F14" s="77"/>
      <c r="G14" s="78"/>
      <c r="H14" s="79" t="s">
        <v>60</v>
      </c>
      <c r="I14" s="79"/>
      <c r="J14" s="81"/>
    </row>
    <row r="15" spans="1:10" ht="20.100000000000001" customHeight="1">
      <c r="A15" s="18"/>
      <c r="B15" s="18"/>
      <c r="C15" s="18"/>
      <c r="D15" s="19" t="s">
        <v>4</v>
      </c>
      <c r="E15" s="19" t="s">
        <v>9</v>
      </c>
      <c r="F15" s="20" t="s">
        <v>61</v>
      </c>
      <c r="G15" s="21" t="s">
        <v>3</v>
      </c>
      <c r="H15" s="22" t="s">
        <v>2</v>
      </c>
      <c r="I15" s="22" t="s">
        <v>1</v>
      </c>
      <c r="J15" s="82"/>
    </row>
    <row r="16" spans="1:10" ht="20.100000000000001" customHeight="1">
      <c r="A16" s="23" t="s">
        <v>11</v>
      </c>
      <c r="B16" s="24"/>
      <c r="C16" s="24"/>
      <c r="D16" s="25"/>
      <c r="E16" s="25"/>
      <c r="F16" s="25"/>
      <c r="G16" s="26"/>
      <c r="H16" s="25"/>
      <c r="I16" s="25"/>
      <c r="J16" s="27"/>
    </row>
    <row r="17" spans="1:10" ht="17.25" customHeight="1">
      <c r="A17" s="28" t="s">
        <v>12</v>
      </c>
      <c r="B17" s="29"/>
      <c r="C17" s="30"/>
      <c r="D17" s="31">
        <f>D18+D23</f>
        <v>0</v>
      </c>
      <c r="E17" s="31">
        <f>E18+E23</f>
        <v>0</v>
      </c>
      <c r="F17" s="31">
        <f t="shared" ref="F17:F48" si="0">+E17-D17</f>
        <v>0</v>
      </c>
      <c r="G17" s="32" t="e">
        <f t="shared" ref="G17:G48" si="1">F17/D17</f>
        <v>#DIV/0!</v>
      </c>
      <c r="H17" s="33"/>
      <c r="I17" s="34"/>
      <c r="J17" s="35"/>
    </row>
    <row r="18" spans="1:10" ht="17.25" customHeight="1">
      <c r="A18" s="28"/>
      <c r="B18" s="29" t="s">
        <v>13</v>
      </c>
      <c r="C18" s="30"/>
      <c r="D18" s="31">
        <f>SUM(D19:D22)</f>
        <v>0</v>
      </c>
      <c r="E18" s="31">
        <f>SUM(E19:E22)</f>
        <v>0</v>
      </c>
      <c r="F18" s="31">
        <f t="shared" si="0"/>
        <v>0</v>
      </c>
      <c r="G18" s="32" t="e">
        <f t="shared" si="1"/>
        <v>#DIV/0!</v>
      </c>
      <c r="H18" s="33"/>
      <c r="I18" s="34"/>
      <c r="J18" s="35"/>
    </row>
    <row r="19" spans="1:10" ht="17.25" customHeight="1">
      <c r="A19" s="28"/>
      <c r="B19" s="29"/>
      <c r="C19" s="30" t="s">
        <v>14</v>
      </c>
      <c r="D19" s="31"/>
      <c r="E19" s="31"/>
      <c r="F19" s="31">
        <f t="shared" si="0"/>
        <v>0</v>
      </c>
      <c r="G19" s="32" t="e">
        <f t="shared" si="1"/>
        <v>#DIV/0!</v>
      </c>
      <c r="H19" s="33"/>
      <c r="I19" s="33"/>
      <c r="J19" s="35"/>
    </row>
    <row r="20" spans="1:10" ht="17.25" customHeight="1">
      <c r="A20" s="28"/>
      <c r="B20" s="29"/>
      <c r="C20" s="30" t="s">
        <v>15</v>
      </c>
      <c r="D20" s="31"/>
      <c r="E20" s="31"/>
      <c r="F20" s="31">
        <f t="shared" si="0"/>
        <v>0</v>
      </c>
      <c r="G20" s="32" t="e">
        <f t="shared" si="1"/>
        <v>#DIV/0!</v>
      </c>
      <c r="H20" s="33"/>
      <c r="I20" s="33"/>
      <c r="J20" s="35"/>
    </row>
    <row r="21" spans="1:10" ht="17.25" customHeight="1">
      <c r="A21" s="28"/>
      <c r="B21" s="29"/>
      <c r="C21" s="30" t="s">
        <v>16</v>
      </c>
      <c r="D21" s="31"/>
      <c r="E21" s="31"/>
      <c r="F21" s="31">
        <f t="shared" si="0"/>
        <v>0</v>
      </c>
      <c r="G21" s="32" t="e">
        <f t="shared" si="1"/>
        <v>#DIV/0!</v>
      </c>
      <c r="H21" s="33"/>
      <c r="I21" s="33"/>
      <c r="J21" s="35"/>
    </row>
    <row r="22" spans="1:10" ht="17.25" customHeight="1">
      <c r="A22" s="28"/>
      <c r="B22" s="29"/>
      <c r="C22" s="30" t="s">
        <v>17</v>
      </c>
      <c r="D22" s="31"/>
      <c r="E22" s="31"/>
      <c r="F22" s="31">
        <f t="shared" si="0"/>
        <v>0</v>
      </c>
      <c r="G22" s="32" t="e">
        <f t="shared" si="1"/>
        <v>#DIV/0!</v>
      </c>
      <c r="H22" s="33"/>
      <c r="I22" s="33"/>
      <c r="J22" s="35"/>
    </row>
    <row r="23" spans="1:10" ht="17.25" customHeight="1">
      <c r="A23" s="28"/>
      <c r="B23" s="29" t="s">
        <v>18</v>
      </c>
      <c r="C23" s="30"/>
      <c r="D23" s="31"/>
      <c r="E23" s="31"/>
      <c r="F23" s="31">
        <f t="shared" si="0"/>
        <v>0</v>
      </c>
      <c r="G23" s="32" t="e">
        <f t="shared" si="1"/>
        <v>#DIV/0!</v>
      </c>
      <c r="H23" s="33"/>
      <c r="I23" s="33"/>
      <c r="J23" s="35"/>
    </row>
    <row r="24" spans="1:10" ht="17.25" customHeight="1">
      <c r="A24" s="28" t="s">
        <v>19</v>
      </c>
      <c r="B24" s="29"/>
      <c r="C24" s="30"/>
      <c r="D24" s="31">
        <f>D25+D29+D30+D31</f>
        <v>0</v>
      </c>
      <c r="E24" s="31">
        <f>E25+E29+E30+E31</f>
        <v>0</v>
      </c>
      <c r="F24" s="31">
        <f t="shared" si="0"/>
        <v>0</v>
      </c>
      <c r="G24" s="32" t="e">
        <f t="shared" si="1"/>
        <v>#DIV/0!</v>
      </c>
      <c r="H24" s="33"/>
      <c r="I24" s="33"/>
      <c r="J24" s="35"/>
    </row>
    <row r="25" spans="1:10" ht="17.25" customHeight="1">
      <c r="A25" s="28"/>
      <c r="B25" s="29" t="s">
        <v>20</v>
      </c>
      <c r="C25" s="30"/>
      <c r="D25" s="31">
        <f>SUM(D26:D28)</f>
        <v>0</v>
      </c>
      <c r="E25" s="31">
        <f>SUM(E26:E28)</f>
        <v>0</v>
      </c>
      <c r="F25" s="31">
        <f t="shared" si="0"/>
        <v>0</v>
      </c>
      <c r="G25" s="32" t="e">
        <f t="shared" si="1"/>
        <v>#DIV/0!</v>
      </c>
      <c r="H25" s="33"/>
      <c r="I25" s="33"/>
      <c r="J25" s="35"/>
    </row>
    <row r="26" spans="1:10" ht="17.25" customHeight="1">
      <c r="A26" s="28"/>
      <c r="B26" s="29"/>
      <c r="C26" s="30" t="s">
        <v>21</v>
      </c>
      <c r="D26" s="31"/>
      <c r="E26" s="31"/>
      <c r="F26" s="31">
        <f t="shared" si="0"/>
        <v>0</v>
      </c>
      <c r="G26" s="32" t="e">
        <f t="shared" si="1"/>
        <v>#DIV/0!</v>
      </c>
      <c r="H26" s="33"/>
      <c r="I26" s="33"/>
      <c r="J26" s="35"/>
    </row>
    <row r="27" spans="1:10" ht="17.25" customHeight="1">
      <c r="A27" s="28"/>
      <c r="B27" s="29"/>
      <c r="C27" s="30" t="s">
        <v>22</v>
      </c>
      <c r="D27" s="31"/>
      <c r="E27" s="31"/>
      <c r="F27" s="31">
        <f t="shared" si="0"/>
        <v>0</v>
      </c>
      <c r="G27" s="32" t="e">
        <f t="shared" si="1"/>
        <v>#DIV/0!</v>
      </c>
      <c r="H27" s="33"/>
      <c r="I27" s="33"/>
      <c r="J27" s="35"/>
    </row>
    <row r="28" spans="1:10" ht="17.25" customHeight="1">
      <c r="A28" s="28"/>
      <c r="B28" s="29"/>
      <c r="C28" s="30" t="s">
        <v>17</v>
      </c>
      <c r="D28" s="31"/>
      <c r="E28" s="31"/>
      <c r="F28" s="31">
        <f t="shared" si="0"/>
        <v>0</v>
      </c>
      <c r="G28" s="32" t="e">
        <f t="shared" si="1"/>
        <v>#DIV/0!</v>
      </c>
      <c r="H28" s="33"/>
      <c r="I28" s="33"/>
      <c r="J28" s="35"/>
    </row>
    <row r="29" spans="1:10" ht="17.25" customHeight="1">
      <c r="A29" s="28"/>
      <c r="B29" s="29" t="s">
        <v>23</v>
      </c>
      <c r="C29" s="30"/>
      <c r="D29" s="31"/>
      <c r="E29" s="31"/>
      <c r="F29" s="31">
        <f t="shared" si="0"/>
        <v>0</v>
      </c>
      <c r="G29" s="32" t="e">
        <f t="shared" si="1"/>
        <v>#DIV/0!</v>
      </c>
      <c r="H29" s="33"/>
      <c r="I29" s="33"/>
      <c r="J29" s="35"/>
    </row>
    <row r="30" spans="1:10" ht="17.25" customHeight="1">
      <c r="A30" s="28"/>
      <c r="B30" s="29" t="s">
        <v>24</v>
      </c>
      <c r="C30" s="30"/>
      <c r="D30" s="31"/>
      <c r="E30" s="31"/>
      <c r="F30" s="31">
        <f t="shared" si="0"/>
        <v>0</v>
      </c>
      <c r="G30" s="32" t="e">
        <f t="shared" si="1"/>
        <v>#DIV/0!</v>
      </c>
      <c r="H30" s="33"/>
      <c r="I30" s="33"/>
      <c r="J30" s="35"/>
    </row>
    <row r="31" spans="1:10">
      <c r="A31" s="28"/>
      <c r="B31" s="29" t="s">
        <v>25</v>
      </c>
      <c r="C31" s="30"/>
      <c r="D31" s="31"/>
      <c r="E31" s="31"/>
      <c r="F31" s="31">
        <f t="shared" si="0"/>
        <v>0</v>
      </c>
      <c r="G31" s="32" t="e">
        <f t="shared" si="1"/>
        <v>#DIV/0!</v>
      </c>
      <c r="H31" s="33"/>
      <c r="I31" s="33"/>
      <c r="J31" s="35"/>
    </row>
    <row r="32" spans="1:10">
      <c r="A32" s="36" t="s">
        <v>26</v>
      </c>
      <c r="B32" s="37"/>
      <c r="C32" s="38"/>
      <c r="D32" s="39">
        <f>D17+D24</f>
        <v>0</v>
      </c>
      <c r="E32" s="39">
        <f>E17+E24</f>
        <v>0</v>
      </c>
      <c r="F32" s="40">
        <f t="shared" si="0"/>
        <v>0</v>
      </c>
      <c r="G32" s="41" t="e">
        <f t="shared" si="1"/>
        <v>#DIV/0!</v>
      </c>
      <c r="H32" s="42"/>
      <c r="I32" s="43"/>
      <c r="J32" s="44"/>
    </row>
    <row r="33" spans="1:10">
      <c r="A33" s="28" t="s">
        <v>27</v>
      </c>
      <c r="B33" s="37"/>
      <c r="C33" s="38"/>
      <c r="D33" s="31">
        <f>SUM(D34:D40)</f>
        <v>0</v>
      </c>
      <c r="E33" s="31">
        <f>SUM(E34:E40)</f>
        <v>0</v>
      </c>
      <c r="F33" s="31">
        <f t="shared" si="0"/>
        <v>0</v>
      </c>
      <c r="G33" s="32" t="e">
        <f t="shared" si="1"/>
        <v>#DIV/0!</v>
      </c>
      <c r="H33" s="42"/>
      <c r="I33" s="43"/>
      <c r="J33" s="44"/>
    </row>
    <row r="34" spans="1:10">
      <c r="A34" s="36"/>
      <c r="B34" s="29" t="s">
        <v>28</v>
      </c>
      <c r="C34" s="38"/>
      <c r="D34" s="39"/>
      <c r="E34" s="39"/>
      <c r="F34" s="31">
        <f t="shared" si="0"/>
        <v>0</v>
      </c>
      <c r="G34" s="32" t="e">
        <f t="shared" si="1"/>
        <v>#DIV/0!</v>
      </c>
      <c r="H34" s="42"/>
      <c r="I34" s="43"/>
      <c r="J34" s="44"/>
    </row>
    <row r="35" spans="1:10">
      <c r="A35" s="28"/>
      <c r="B35" s="29" t="s">
        <v>29</v>
      </c>
      <c r="C35" s="45"/>
      <c r="D35" s="39"/>
      <c r="E35" s="39"/>
      <c r="F35" s="31">
        <f t="shared" si="0"/>
        <v>0</v>
      </c>
      <c r="G35" s="32" t="e">
        <f t="shared" si="1"/>
        <v>#DIV/0!</v>
      </c>
      <c r="H35" s="42"/>
      <c r="I35" s="43"/>
      <c r="J35" s="44"/>
    </row>
    <row r="36" spans="1:10">
      <c r="A36" s="28"/>
      <c r="B36" s="29" t="s">
        <v>30</v>
      </c>
      <c r="C36" s="45"/>
      <c r="D36" s="39"/>
      <c r="E36" s="39"/>
      <c r="F36" s="31">
        <f t="shared" si="0"/>
        <v>0</v>
      </c>
      <c r="G36" s="32" t="e">
        <f t="shared" si="1"/>
        <v>#DIV/0!</v>
      </c>
      <c r="H36" s="42"/>
      <c r="I36" s="43"/>
      <c r="J36" s="44"/>
    </row>
    <row r="37" spans="1:10">
      <c r="A37" s="28"/>
      <c r="B37" s="29" t="s">
        <v>31</v>
      </c>
      <c r="C37" s="45"/>
      <c r="D37" s="39"/>
      <c r="E37" s="39"/>
      <c r="F37" s="31">
        <f t="shared" si="0"/>
        <v>0</v>
      </c>
      <c r="G37" s="32" t="e">
        <f t="shared" si="1"/>
        <v>#DIV/0!</v>
      </c>
      <c r="H37" s="42"/>
      <c r="I37" s="43"/>
      <c r="J37" s="44"/>
    </row>
    <row r="38" spans="1:10">
      <c r="A38" s="28"/>
      <c r="B38" s="29" t="s">
        <v>32</v>
      </c>
      <c r="C38" s="45"/>
      <c r="D38" s="39"/>
      <c r="E38" s="39"/>
      <c r="F38" s="31">
        <f t="shared" si="0"/>
        <v>0</v>
      </c>
      <c r="G38" s="32" t="e">
        <f t="shared" si="1"/>
        <v>#DIV/0!</v>
      </c>
      <c r="H38" s="42"/>
      <c r="I38" s="43"/>
      <c r="J38" s="44"/>
    </row>
    <row r="39" spans="1:10">
      <c r="A39" s="28"/>
      <c r="B39" s="29" t="s">
        <v>33</v>
      </c>
      <c r="C39" s="45"/>
      <c r="D39" s="39"/>
      <c r="E39" s="39"/>
      <c r="F39" s="31">
        <f t="shared" si="0"/>
        <v>0</v>
      </c>
      <c r="G39" s="32" t="e">
        <f t="shared" si="1"/>
        <v>#DIV/0!</v>
      </c>
      <c r="H39" s="42"/>
      <c r="I39" s="43"/>
      <c r="J39" s="44"/>
    </row>
    <row r="40" spans="1:10">
      <c r="A40" s="28"/>
      <c r="B40" s="29" t="s">
        <v>17</v>
      </c>
      <c r="C40" s="45"/>
      <c r="D40" s="39"/>
      <c r="E40" s="39"/>
      <c r="F40" s="31">
        <f t="shared" si="0"/>
        <v>0</v>
      </c>
      <c r="G40" s="32" t="e">
        <f t="shared" si="1"/>
        <v>#DIV/0!</v>
      </c>
      <c r="H40" s="42"/>
      <c r="I40" s="43"/>
      <c r="J40" s="44"/>
    </row>
    <row r="41" spans="1:10">
      <c r="A41" s="28" t="s">
        <v>34</v>
      </c>
      <c r="B41" s="29"/>
      <c r="C41" s="30"/>
      <c r="D41" s="31">
        <f>SUM(D42:D47)</f>
        <v>0</v>
      </c>
      <c r="E41" s="31">
        <f>SUM(E42:E47)</f>
        <v>0</v>
      </c>
      <c r="F41" s="31">
        <f t="shared" si="0"/>
        <v>0</v>
      </c>
      <c r="G41" s="32" t="e">
        <f t="shared" si="1"/>
        <v>#DIV/0!</v>
      </c>
      <c r="H41" s="33"/>
      <c r="I41" s="33"/>
      <c r="J41" s="35"/>
    </row>
    <row r="42" spans="1:10">
      <c r="A42" s="28"/>
      <c r="B42" s="29" t="s">
        <v>35</v>
      </c>
      <c r="C42" s="30"/>
      <c r="D42" s="31"/>
      <c r="E42" s="31"/>
      <c r="F42" s="31">
        <f t="shared" si="0"/>
        <v>0</v>
      </c>
      <c r="G42" s="32" t="e">
        <f t="shared" si="1"/>
        <v>#DIV/0!</v>
      </c>
      <c r="H42" s="33"/>
      <c r="I42" s="33"/>
      <c r="J42" s="35"/>
    </row>
    <row r="43" spans="1:10">
      <c r="A43" s="28"/>
      <c r="B43" s="29" t="s">
        <v>36</v>
      </c>
      <c r="C43" s="30"/>
      <c r="D43" s="31"/>
      <c r="E43" s="31"/>
      <c r="F43" s="31">
        <f t="shared" si="0"/>
        <v>0</v>
      </c>
      <c r="G43" s="32" t="e">
        <f t="shared" si="1"/>
        <v>#DIV/0!</v>
      </c>
      <c r="H43" s="33"/>
      <c r="I43" s="33"/>
      <c r="J43" s="35"/>
    </row>
    <row r="44" spans="1:10">
      <c r="A44" s="28"/>
      <c r="B44" s="29" t="s">
        <v>37</v>
      </c>
      <c r="C44" s="30"/>
      <c r="D44" s="31"/>
      <c r="E44" s="31"/>
      <c r="F44" s="31">
        <f t="shared" si="0"/>
        <v>0</v>
      </c>
      <c r="G44" s="32" t="e">
        <f t="shared" si="1"/>
        <v>#DIV/0!</v>
      </c>
      <c r="H44" s="33"/>
      <c r="I44" s="33"/>
      <c r="J44" s="35"/>
    </row>
    <row r="45" spans="1:10">
      <c r="A45" s="28"/>
      <c r="B45" s="29" t="s">
        <v>38</v>
      </c>
      <c r="C45" s="30"/>
      <c r="D45" s="31"/>
      <c r="E45" s="31"/>
      <c r="F45" s="31">
        <f t="shared" si="0"/>
        <v>0</v>
      </c>
      <c r="G45" s="32" t="e">
        <f t="shared" si="1"/>
        <v>#DIV/0!</v>
      </c>
      <c r="H45" s="33"/>
      <c r="I45" s="33"/>
      <c r="J45" s="35"/>
    </row>
    <row r="46" spans="1:10">
      <c r="A46" s="28"/>
      <c r="B46" s="29" t="s">
        <v>31</v>
      </c>
      <c r="C46" s="30"/>
      <c r="D46" s="31"/>
      <c r="E46" s="31"/>
      <c r="F46" s="31">
        <f t="shared" si="0"/>
        <v>0</v>
      </c>
      <c r="G46" s="32" t="e">
        <f t="shared" si="1"/>
        <v>#DIV/0!</v>
      </c>
      <c r="H46" s="33"/>
      <c r="I46" s="33"/>
      <c r="J46" s="35"/>
    </row>
    <row r="47" spans="1:10">
      <c r="A47" s="28"/>
      <c r="B47" s="29" t="s">
        <v>17</v>
      </c>
      <c r="C47" s="30"/>
      <c r="D47" s="31"/>
      <c r="E47" s="31"/>
      <c r="F47" s="31">
        <f t="shared" si="0"/>
        <v>0</v>
      </c>
      <c r="G47" s="32" t="e">
        <f t="shared" si="1"/>
        <v>#DIV/0!</v>
      </c>
      <c r="H47" s="33"/>
      <c r="I47" s="33"/>
      <c r="J47" s="35"/>
    </row>
    <row r="48" spans="1:10">
      <c r="A48" s="36" t="s">
        <v>39</v>
      </c>
      <c r="B48" s="29"/>
      <c r="C48" s="30"/>
      <c r="D48" s="39">
        <f>D41+D33</f>
        <v>0</v>
      </c>
      <c r="E48" s="39">
        <f>E41+E33</f>
        <v>0</v>
      </c>
      <c r="F48" s="40">
        <f t="shared" si="0"/>
        <v>0</v>
      </c>
      <c r="G48" s="41" t="e">
        <f t="shared" si="1"/>
        <v>#DIV/0!</v>
      </c>
      <c r="H48" s="33"/>
      <c r="I48" s="33"/>
      <c r="J48" s="35"/>
    </row>
    <row r="49" spans="1:10">
      <c r="A49" s="28" t="s">
        <v>40</v>
      </c>
      <c r="B49" s="29"/>
      <c r="C49" s="30"/>
      <c r="D49" s="31"/>
      <c r="E49" s="31"/>
      <c r="F49" s="31">
        <f t="shared" ref="F49:F65" si="2">+E49-D49</f>
        <v>0</v>
      </c>
      <c r="G49" s="32" t="e">
        <f t="shared" ref="G49:G65" si="3">F49/D49</f>
        <v>#DIV/0!</v>
      </c>
      <c r="H49" s="33"/>
      <c r="I49" s="33"/>
      <c r="J49" s="35"/>
    </row>
    <row r="50" spans="1:10">
      <c r="A50" s="28" t="s">
        <v>41</v>
      </c>
      <c r="B50" s="29"/>
      <c r="C50" s="30"/>
      <c r="D50" s="31">
        <f>SUM(D51:D52)</f>
        <v>0</v>
      </c>
      <c r="E50" s="31">
        <f>SUM(E51:E52)</f>
        <v>0</v>
      </c>
      <c r="F50" s="31">
        <f t="shared" si="2"/>
        <v>0</v>
      </c>
      <c r="G50" s="32" t="e">
        <f t="shared" si="3"/>
        <v>#DIV/0!</v>
      </c>
      <c r="H50" s="33"/>
      <c r="I50" s="33"/>
      <c r="J50" s="35"/>
    </row>
    <row r="51" spans="1:10">
      <c r="A51" s="28"/>
      <c r="B51" s="29" t="s">
        <v>42</v>
      </c>
      <c r="C51" s="30"/>
      <c r="D51" s="31"/>
      <c r="E51" s="31"/>
      <c r="F51" s="31">
        <f t="shared" si="2"/>
        <v>0</v>
      </c>
      <c r="G51" s="32" t="e">
        <f t="shared" si="3"/>
        <v>#DIV/0!</v>
      </c>
      <c r="H51" s="33"/>
      <c r="I51" s="33"/>
      <c r="J51" s="35"/>
    </row>
    <row r="52" spans="1:10">
      <c r="A52" s="28"/>
      <c r="B52" s="29" t="s">
        <v>43</v>
      </c>
      <c r="C52" s="30"/>
      <c r="D52" s="31"/>
      <c r="E52" s="31"/>
      <c r="F52" s="31">
        <f t="shared" si="2"/>
        <v>0</v>
      </c>
      <c r="G52" s="32" t="e">
        <f t="shared" si="3"/>
        <v>#DIV/0!</v>
      </c>
      <c r="H52" s="33"/>
      <c r="I52" s="33"/>
      <c r="J52" s="35"/>
    </row>
    <row r="53" spans="1:10">
      <c r="A53" s="28" t="s">
        <v>44</v>
      </c>
      <c r="B53" s="29"/>
      <c r="C53" s="30"/>
      <c r="D53" s="31">
        <f>SUM(D54:D55)</f>
        <v>0</v>
      </c>
      <c r="E53" s="31">
        <f>SUM(E54:E55)</f>
        <v>0</v>
      </c>
      <c r="F53" s="31">
        <f t="shared" si="2"/>
        <v>0</v>
      </c>
      <c r="G53" s="32" t="e">
        <f t="shared" si="3"/>
        <v>#DIV/0!</v>
      </c>
      <c r="H53" s="33"/>
      <c r="I53" s="33"/>
      <c r="J53" s="35"/>
    </row>
    <row r="54" spans="1:10">
      <c r="A54" s="28"/>
      <c r="B54" s="29" t="s">
        <v>45</v>
      </c>
      <c r="C54" s="30"/>
      <c r="D54" s="31"/>
      <c r="E54" s="31"/>
      <c r="F54" s="31">
        <f t="shared" si="2"/>
        <v>0</v>
      </c>
      <c r="G54" s="32" t="e">
        <f t="shared" si="3"/>
        <v>#DIV/0!</v>
      </c>
      <c r="H54" s="33"/>
      <c r="I54" s="33"/>
      <c r="J54" s="35"/>
    </row>
    <row r="55" spans="1:10">
      <c r="A55" s="28"/>
      <c r="B55" s="29" t="s">
        <v>46</v>
      </c>
      <c r="C55" s="30"/>
      <c r="D55" s="31"/>
      <c r="E55" s="31"/>
      <c r="F55" s="31">
        <f t="shared" si="2"/>
        <v>0</v>
      </c>
      <c r="G55" s="32" t="e">
        <f t="shared" si="3"/>
        <v>#DIV/0!</v>
      </c>
      <c r="H55" s="33"/>
      <c r="I55" s="33"/>
      <c r="J55" s="35"/>
    </row>
    <row r="56" spans="1:10">
      <c r="A56" s="28" t="s">
        <v>47</v>
      </c>
      <c r="B56" s="29"/>
      <c r="C56" s="30"/>
      <c r="D56" s="31">
        <f>SUM(D57:D59)</f>
        <v>0</v>
      </c>
      <c r="E56" s="31">
        <f>SUM(E57:E59)</f>
        <v>0</v>
      </c>
      <c r="F56" s="31">
        <f t="shared" si="2"/>
        <v>0</v>
      </c>
      <c r="G56" s="32" t="e">
        <f t="shared" si="3"/>
        <v>#DIV/0!</v>
      </c>
      <c r="H56" s="33"/>
      <c r="I56" s="33"/>
      <c r="J56" s="35"/>
    </row>
    <row r="57" spans="1:10">
      <c r="A57" s="28"/>
      <c r="B57" s="29" t="s">
        <v>48</v>
      </c>
      <c r="C57" s="30"/>
      <c r="D57" s="31"/>
      <c r="E57" s="31"/>
      <c r="F57" s="31">
        <f t="shared" si="2"/>
        <v>0</v>
      </c>
      <c r="G57" s="32" t="e">
        <f t="shared" si="3"/>
        <v>#DIV/0!</v>
      </c>
      <c r="H57" s="33"/>
      <c r="I57" s="33"/>
      <c r="J57" s="35"/>
    </row>
    <row r="58" spans="1:10">
      <c r="A58" s="28"/>
      <c r="B58" s="29" t="s">
        <v>49</v>
      </c>
      <c r="C58" s="30"/>
      <c r="D58" s="31"/>
      <c r="E58" s="31"/>
      <c r="F58" s="31">
        <f t="shared" si="2"/>
        <v>0</v>
      </c>
      <c r="G58" s="32" t="e">
        <f t="shared" si="3"/>
        <v>#DIV/0!</v>
      </c>
      <c r="H58" s="33"/>
      <c r="I58" s="33"/>
      <c r="J58" s="35"/>
    </row>
    <row r="59" spans="1:10">
      <c r="A59" s="28"/>
      <c r="B59" s="29" t="s">
        <v>92</v>
      </c>
      <c r="C59" s="30"/>
      <c r="D59" s="31"/>
      <c r="E59" s="31"/>
      <c r="F59" s="31">
        <f t="shared" si="2"/>
        <v>0</v>
      </c>
      <c r="G59" s="32" t="e">
        <f t="shared" si="3"/>
        <v>#DIV/0!</v>
      </c>
      <c r="H59" s="33"/>
      <c r="I59" s="33"/>
      <c r="J59" s="35"/>
    </row>
    <row r="60" spans="1:10">
      <c r="A60" s="28" t="s">
        <v>50</v>
      </c>
      <c r="B60" s="29"/>
      <c r="C60" s="30"/>
      <c r="D60" s="31">
        <f>SUM(D61:D63)</f>
        <v>0</v>
      </c>
      <c r="E60" s="31">
        <f>SUM(E61:E63)</f>
        <v>0</v>
      </c>
      <c r="F60" s="31">
        <f t="shared" si="2"/>
        <v>0</v>
      </c>
      <c r="G60" s="32" t="e">
        <f t="shared" si="3"/>
        <v>#DIV/0!</v>
      </c>
      <c r="H60" s="33"/>
      <c r="I60" s="33"/>
      <c r="J60" s="35"/>
    </row>
    <row r="61" spans="1:10">
      <c r="A61" s="28"/>
      <c r="B61" s="29" t="s">
        <v>51</v>
      </c>
      <c r="C61" s="30"/>
      <c r="D61" s="31"/>
      <c r="E61" s="31"/>
      <c r="F61" s="31">
        <f t="shared" si="2"/>
        <v>0</v>
      </c>
      <c r="G61" s="32" t="e">
        <f t="shared" si="3"/>
        <v>#DIV/0!</v>
      </c>
      <c r="H61" s="33"/>
      <c r="I61" s="33"/>
      <c r="J61" s="35"/>
    </row>
    <row r="62" spans="1:10">
      <c r="A62" s="28"/>
      <c r="B62" s="29" t="s">
        <v>52</v>
      </c>
      <c r="C62" s="30"/>
      <c r="D62" s="31"/>
      <c r="E62" s="31"/>
      <c r="F62" s="31">
        <f t="shared" si="2"/>
        <v>0</v>
      </c>
      <c r="G62" s="32" t="e">
        <f t="shared" si="3"/>
        <v>#DIV/0!</v>
      </c>
      <c r="H62" s="33"/>
      <c r="I62" s="33"/>
      <c r="J62" s="35"/>
    </row>
    <row r="63" spans="1:10">
      <c r="A63" s="28"/>
      <c r="B63" s="29" t="s">
        <v>53</v>
      </c>
      <c r="C63" s="30"/>
      <c r="D63" s="31"/>
      <c r="E63" s="31"/>
      <c r="F63" s="31">
        <f t="shared" si="2"/>
        <v>0</v>
      </c>
      <c r="G63" s="32" t="e">
        <f t="shared" si="3"/>
        <v>#DIV/0!</v>
      </c>
      <c r="H63" s="33"/>
      <c r="I63" s="33"/>
      <c r="J63" s="35"/>
    </row>
    <row r="64" spans="1:10">
      <c r="A64" s="36" t="s">
        <v>54</v>
      </c>
      <c r="B64" s="29"/>
      <c r="C64" s="30"/>
      <c r="D64" s="39">
        <f>D60+D56+D53+D50+D49</f>
        <v>0</v>
      </c>
      <c r="E64" s="39">
        <f>E60+E56+E53+E50+E49</f>
        <v>0</v>
      </c>
      <c r="F64" s="39">
        <f t="shared" si="2"/>
        <v>0</v>
      </c>
      <c r="G64" s="41" t="e">
        <f t="shared" si="3"/>
        <v>#DIV/0!</v>
      </c>
      <c r="H64" s="33"/>
      <c r="I64" s="33"/>
      <c r="J64" s="35"/>
    </row>
    <row r="65" spans="1:10">
      <c r="A65" s="36" t="s">
        <v>55</v>
      </c>
      <c r="B65" s="29"/>
      <c r="C65" s="38"/>
      <c r="D65" s="39">
        <f>D64+D48</f>
        <v>0</v>
      </c>
      <c r="E65" s="39">
        <f>E64+E48</f>
        <v>0</v>
      </c>
      <c r="F65" s="40">
        <f t="shared" si="2"/>
        <v>0</v>
      </c>
      <c r="G65" s="46" t="e">
        <f t="shared" si="3"/>
        <v>#DIV/0!</v>
      </c>
      <c r="H65" s="42"/>
      <c r="I65" s="43"/>
      <c r="J65" s="44"/>
    </row>
    <row r="66" spans="1:10">
      <c r="A66" s="47"/>
      <c r="B66" s="47"/>
      <c r="C66" s="47"/>
      <c r="D66" s="48"/>
      <c r="E66" s="48"/>
      <c r="F66" s="48"/>
      <c r="G66" s="49"/>
      <c r="H66" s="50"/>
      <c r="I66" s="51"/>
      <c r="J66" s="52"/>
    </row>
    <row r="67" spans="1:10" ht="20.100000000000001" customHeight="1">
      <c r="A67" s="17"/>
      <c r="B67" s="17"/>
      <c r="C67" s="17"/>
      <c r="D67" s="73" t="s">
        <v>56</v>
      </c>
      <c r="E67" s="73" t="s">
        <v>57</v>
      </c>
      <c r="F67" s="75" t="s">
        <v>5</v>
      </c>
      <c r="G67" s="76"/>
      <c r="H67" s="79" t="s">
        <v>58</v>
      </c>
      <c r="I67" s="79"/>
      <c r="J67" s="80" t="s">
        <v>59</v>
      </c>
    </row>
    <row r="68" spans="1:10" ht="20.100000000000001" customHeight="1">
      <c r="A68" s="18"/>
      <c r="B68" s="18"/>
      <c r="C68" s="18"/>
      <c r="D68" s="74"/>
      <c r="E68" s="74"/>
      <c r="F68" s="77"/>
      <c r="G68" s="78"/>
      <c r="H68" s="79" t="s">
        <v>60</v>
      </c>
      <c r="I68" s="79"/>
      <c r="J68" s="81"/>
    </row>
    <row r="69" spans="1:10" ht="20.100000000000001" customHeight="1">
      <c r="A69" s="18"/>
      <c r="B69" s="18"/>
      <c r="C69" s="18"/>
      <c r="D69" s="19" t="s">
        <v>4</v>
      </c>
      <c r="E69" s="19" t="s">
        <v>9</v>
      </c>
      <c r="F69" s="20" t="s">
        <v>61</v>
      </c>
      <c r="G69" s="21" t="s">
        <v>3</v>
      </c>
      <c r="H69" s="22" t="s">
        <v>2</v>
      </c>
      <c r="I69" s="22" t="s">
        <v>1</v>
      </c>
      <c r="J69" s="82"/>
    </row>
    <row r="70" spans="1:10" ht="20.100000000000001" customHeight="1">
      <c r="A70" s="23" t="s">
        <v>62</v>
      </c>
      <c r="B70" s="24"/>
      <c r="C70" s="53"/>
      <c r="D70" s="54"/>
      <c r="E70" s="54"/>
      <c r="F70" s="55"/>
      <c r="G70" s="56"/>
      <c r="H70" s="55"/>
      <c r="I70" s="55"/>
      <c r="J70" s="57"/>
    </row>
    <row r="71" spans="1:10">
      <c r="A71" s="28" t="s">
        <v>63</v>
      </c>
      <c r="B71" s="29"/>
      <c r="C71" s="30"/>
      <c r="D71" s="31"/>
      <c r="E71" s="31"/>
      <c r="F71" s="31">
        <f>+E71-D71</f>
        <v>0</v>
      </c>
      <c r="G71" s="32" t="e">
        <f>F71/D71</f>
        <v>#DIV/0!</v>
      </c>
      <c r="H71" s="33"/>
      <c r="I71" s="58"/>
      <c r="J71" s="59"/>
    </row>
    <row r="72" spans="1:10">
      <c r="A72" s="28" t="s">
        <v>64</v>
      </c>
      <c r="B72" s="29"/>
      <c r="C72" s="30"/>
      <c r="D72" s="31"/>
      <c r="E72" s="31"/>
      <c r="F72" s="31">
        <f>+E72-D72</f>
        <v>0</v>
      </c>
      <c r="G72" s="32" t="e">
        <f>F72/D72</f>
        <v>#DIV/0!</v>
      </c>
      <c r="H72" s="33"/>
      <c r="I72" s="58"/>
      <c r="J72" s="35"/>
    </row>
    <row r="73" spans="1:10">
      <c r="A73" s="28" t="s">
        <v>65</v>
      </c>
      <c r="B73" s="29"/>
      <c r="C73" s="30" t="s">
        <v>0</v>
      </c>
      <c r="D73" s="31">
        <f>+D71-D72</f>
        <v>0</v>
      </c>
      <c r="E73" s="31">
        <f>+E71-E72</f>
        <v>0</v>
      </c>
      <c r="F73" s="31">
        <f>+F71-F72</f>
        <v>0</v>
      </c>
      <c r="G73" s="32" t="e">
        <f>F73/D73</f>
        <v>#DIV/0!</v>
      </c>
      <c r="H73" s="33"/>
      <c r="I73" s="58"/>
      <c r="J73" s="35"/>
    </row>
    <row r="74" spans="1:10">
      <c r="A74" s="28"/>
      <c r="B74" s="29" t="s">
        <v>66</v>
      </c>
      <c r="C74" s="30"/>
      <c r="D74" s="60" t="e">
        <f>D73/D71</f>
        <v>#DIV/0!</v>
      </c>
      <c r="E74" s="60" t="e">
        <f>E73/E71</f>
        <v>#DIV/0!</v>
      </c>
      <c r="F74" s="31"/>
      <c r="G74" s="32"/>
      <c r="H74" s="33"/>
      <c r="I74" s="58"/>
      <c r="J74" s="35"/>
    </row>
    <row r="75" spans="1:10">
      <c r="A75" s="28" t="s">
        <v>67</v>
      </c>
      <c r="B75" s="29"/>
      <c r="C75" s="30"/>
      <c r="D75" s="31"/>
      <c r="E75" s="31"/>
      <c r="F75" s="31">
        <f>+E75-D75</f>
        <v>0</v>
      </c>
      <c r="G75" s="32" t="e">
        <f t="shared" ref="G75:G96" si="4">F75/D75</f>
        <v>#DIV/0!</v>
      </c>
      <c r="H75" s="33"/>
      <c r="I75" s="58"/>
      <c r="J75" s="35"/>
    </row>
    <row r="76" spans="1:10">
      <c r="A76" s="28" t="s">
        <v>68</v>
      </c>
      <c r="B76" s="29"/>
      <c r="C76" s="30"/>
      <c r="D76" s="31">
        <f>D73-D75</f>
        <v>0</v>
      </c>
      <c r="E76" s="31">
        <f>E73-E75</f>
        <v>0</v>
      </c>
      <c r="F76" s="31">
        <f t="shared" ref="F76:F96" si="5">+F74-F75</f>
        <v>0</v>
      </c>
      <c r="G76" s="32" t="e">
        <f t="shared" si="4"/>
        <v>#DIV/0!</v>
      </c>
      <c r="H76" s="33"/>
      <c r="I76" s="58"/>
      <c r="J76" s="35"/>
    </row>
    <row r="77" spans="1:10">
      <c r="A77" s="28" t="s">
        <v>69</v>
      </c>
      <c r="B77" s="29"/>
      <c r="C77" s="30"/>
      <c r="D77" s="31">
        <f>SUM(D78:D85)</f>
        <v>0</v>
      </c>
      <c r="E77" s="31">
        <f>SUM(E78:E85)</f>
        <v>0</v>
      </c>
      <c r="F77" s="31">
        <f t="shared" si="5"/>
        <v>0</v>
      </c>
      <c r="G77" s="32" t="e">
        <f t="shared" si="4"/>
        <v>#DIV/0!</v>
      </c>
      <c r="H77" s="33"/>
      <c r="I77" s="58"/>
      <c r="J77" s="35"/>
    </row>
    <row r="78" spans="1:10">
      <c r="A78" s="28"/>
      <c r="B78" s="29" t="s">
        <v>70</v>
      </c>
      <c r="C78" s="30"/>
      <c r="D78" s="31"/>
      <c r="E78" s="31"/>
      <c r="F78" s="31">
        <f t="shared" si="5"/>
        <v>0</v>
      </c>
      <c r="G78" s="32" t="e">
        <f t="shared" si="4"/>
        <v>#DIV/0!</v>
      </c>
      <c r="H78" s="33"/>
      <c r="I78" s="58"/>
      <c r="J78" s="35"/>
    </row>
    <row r="79" spans="1:10">
      <c r="A79" s="28"/>
      <c r="B79" s="29" t="s">
        <v>71</v>
      </c>
      <c r="C79" s="30"/>
      <c r="D79" s="31"/>
      <c r="E79" s="31"/>
      <c r="F79" s="31">
        <f t="shared" si="5"/>
        <v>0</v>
      </c>
      <c r="G79" s="32" t="e">
        <f t="shared" si="4"/>
        <v>#DIV/0!</v>
      </c>
      <c r="H79" s="33"/>
      <c r="I79" s="58"/>
      <c r="J79" s="35"/>
    </row>
    <row r="80" spans="1:10">
      <c r="A80" s="28"/>
      <c r="B80" s="29" t="s">
        <v>72</v>
      </c>
      <c r="C80" s="30"/>
      <c r="D80" s="31"/>
      <c r="E80" s="31"/>
      <c r="F80" s="31">
        <f t="shared" si="5"/>
        <v>0</v>
      </c>
      <c r="G80" s="32" t="e">
        <f t="shared" si="4"/>
        <v>#DIV/0!</v>
      </c>
      <c r="H80" s="33"/>
      <c r="I80" s="58"/>
      <c r="J80" s="35"/>
    </row>
    <row r="81" spans="1:10">
      <c r="A81" s="28"/>
      <c r="B81" s="29" t="s">
        <v>73</v>
      </c>
      <c r="C81" s="30"/>
      <c r="D81" s="31"/>
      <c r="E81" s="31"/>
      <c r="F81" s="31">
        <f t="shared" si="5"/>
        <v>0</v>
      </c>
      <c r="G81" s="32" t="e">
        <f t="shared" si="4"/>
        <v>#DIV/0!</v>
      </c>
      <c r="H81" s="33"/>
      <c r="I81" s="58"/>
      <c r="J81" s="35"/>
    </row>
    <row r="82" spans="1:10">
      <c r="A82" s="28"/>
      <c r="B82" s="29" t="s">
        <v>74</v>
      </c>
      <c r="C82" s="30"/>
      <c r="D82" s="31"/>
      <c r="E82" s="31"/>
      <c r="F82" s="31">
        <f t="shared" si="5"/>
        <v>0</v>
      </c>
      <c r="G82" s="32" t="e">
        <f t="shared" si="4"/>
        <v>#DIV/0!</v>
      </c>
      <c r="H82" s="33"/>
      <c r="I82" s="58"/>
      <c r="J82" s="35"/>
    </row>
    <row r="83" spans="1:10">
      <c r="A83" s="28"/>
      <c r="B83" s="29" t="s">
        <v>75</v>
      </c>
      <c r="C83" s="30"/>
      <c r="D83" s="31"/>
      <c r="E83" s="31"/>
      <c r="F83" s="31">
        <f t="shared" si="5"/>
        <v>0</v>
      </c>
      <c r="G83" s="32" t="e">
        <f t="shared" si="4"/>
        <v>#DIV/0!</v>
      </c>
      <c r="H83" s="33"/>
      <c r="I83" s="58"/>
      <c r="J83" s="35"/>
    </row>
    <row r="84" spans="1:10">
      <c r="A84" s="28"/>
      <c r="B84" s="29" t="s">
        <v>76</v>
      </c>
      <c r="C84" s="30"/>
      <c r="D84" s="31"/>
      <c r="E84" s="31"/>
      <c r="F84" s="31">
        <f t="shared" si="5"/>
        <v>0</v>
      </c>
      <c r="G84" s="32" t="e">
        <f t="shared" si="4"/>
        <v>#DIV/0!</v>
      </c>
      <c r="H84" s="33"/>
      <c r="I84" s="58"/>
      <c r="J84" s="35"/>
    </row>
    <row r="85" spans="1:10">
      <c r="A85" s="28"/>
      <c r="B85" s="29" t="s">
        <v>17</v>
      </c>
      <c r="C85" s="30"/>
      <c r="D85" s="31"/>
      <c r="E85" s="31"/>
      <c r="F85" s="31">
        <f t="shared" si="5"/>
        <v>0</v>
      </c>
      <c r="G85" s="32" t="e">
        <f t="shared" si="4"/>
        <v>#DIV/0!</v>
      </c>
      <c r="H85" s="33"/>
      <c r="I85" s="58"/>
      <c r="J85" s="35"/>
    </row>
    <row r="86" spans="1:10">
      <c r="A86" s="28" t="s">
        <v>77</v>
      </c>
      <c r="B86" s="29"/>
      <c r="C86" s="30"/>
      <c r="D86" s="31">
        <f>SUM(D87:D93)</f>
        <v>0</v>
      </c>
      <c r="E86" s="31">
        <f>SUM(E87:E93)</f>
        <v>0</v>
      </c>
      <c r="F86" s="31">
        <f t="shared" si="5"/>
        <v>0</v>
      </c>
      <c r="G86" s="32" t="e">
        <f t="shared" si="4"/>
        <v>#DIV/0!</v>
      </c>
      <c r="H86" s="33"/>
      <c r="I86" s="58"/>
      <c r="J86" s="35"/>
    </row>
    <row r="87" spans="1:10">
      <c r="A87" s="28"/>
      <c r="B87" s="29" t="s">
        <v>78</v>
      </c>
      <c r="C87" s="30"/>
      <c r="D87" s="31"/>
      <c r="E87" s="31"/>
      <c r="F87" s="31">
        <f t="shared" si="5"/>
        <v>0</v>
      </c>
      <c r="G87" s="32" t="e">
        <f t="shared" si="4"/>
        <v>#DIV/0!</v>
      </c>
      <c r="H87" s="33"/>
      <c r="I87" s="58"/>
      <c r="J87" s="35"/>
    </row>
    <row r="88" spans="1:10">
      <c r="A88" s="28"/>
      <c r="B88" s="29" t="s">
        <v>79</v>
      </c>
      <c r="C88" s="30"/>
      <c r="D88" s="31"/>
      <c r="E88" s="31"/>
      <c r="F88" s="31">
        <f t="shared" si="5"/>
        <v>0</v>
      </c>
      <c r="G88" s="32" t="e">
        <f t="shared" si="4"/>
        <v>#DIV/0!</v>
      </c>
      <c r="H88" s="33"/>
      <c r="I88" s="58"/>
      <c r="J88" s="35"/>
    </row>
    <row r="89" spans="1:10">
      <c r="A89" s="28"/>
      <c r="B89" s="29" t="s">
        <v>80</v>
      </c>
      <c r="C89" s="30"/>
      <c r="D89" s="31"/>
      <c r="E89" s="31"/>
      <c r="F89" s="31">
        <f t="shared" si="5"/>
        <v>0</v>
      </c>
      <c r="G89" s="32" t="e">
        <f t="shared" si="4"/>
        <v>#DIV/0!</v>
      </c>
      <c r="H89" s="33"/>
      <c r="I89" s="58"/>
      <c r="J89" s="35"/>
    </row>
    <row r="90" spans="1:10">
      <c r="A90" s="28"/>
      <c r="B90" s="29" t="s">
        <v>81</v>
      </c>
      <c r="C90" s="30"/>
      <c r="D90" s="31"/>
      <c r="E90" s="31"/>
      <c r="F90" s="31">
        <f t="shared" si="5"/>
        <v>0</v>
      </c>
      <c r="G90" s="32" t="e">
        <f t="shared" si="4"/>
        <v>#DIV/0!</v>
      </c>
      <c r="H90" s="33"/>
      <c r="I90" s="58"/>
      <c r="J90" s="35"/>
    </row>
    <row r="91" spans="1:10">
      <c r="A91" s="28"/>
      <c r="B91" s="29" t="s">
        <v>82</v>
      </c>
      <c r="C91" s="30"/>
      <c r="D91" s="31"/>
      <c r="E91" s="31"/>
      <c r="F91" s="31">
        <f t="shared" si="5"/>
        <v>0</v>
      </c>
      <c r="G91" s="32" t="e">
        <f t="shared" si="4"/>
        <v>#DIV/0!</v>
      </c>
      <c r="H91" s="33"/>
      <c r="I91" s="58"/>
      <c r="J91" s="35"/>
    </row>
    <row r="92" spans="1:10">
      <c r="A92" s="28"/>
      <c r="B92" s="29" t="s">
        <v>83</v>
      </c>
      <c r="C92" s="30"/>
      <c r="D92" s="31"/>
      <c r="E92" s="31"/>
      <c r="F92" s="31">
        <f t="shared" si="5"/>
        <v>0</v>
      </c>
      <c r="G92" s="32" t="e">
        <f t="shared" si="4"/>
        <v>#DIV/0!</v>
      </c>
      <c r="H92" s="33"/>
      <c r="I92" s="58"/>
      <c r="J92" s="35"/>
    </row>
    <row r="93" spans="1:10">
      <c r="A93" s="28"/>
      <c r="B93" s="29" t="s">
        <v>17</v>
      </c>
      <c r="C93" s="30"/>
      <c r="D93" s="31"/>
      <c r="E93" s="31"/>
      <c r="F93" s="31">
        <f t="shared" si="5"/>
        <v>0</v>
      </c>
      <c r="G93" s="32" t="e">
        <f t="shared" si="4"/>
        <v>#DIV/0!</v>
      </c>
      <c r="H93" s="33"/>
      <c r="I93" s="58"/>
      <c r="J93" s="35"/>
    </row>
    <row r="94" spans="1:10">
      <c r="A94" s="28" t="s">
        <v>84</v>
      </c>
      <c r="B94" s="29"/>
      <c r="C94" s="30"/>
      <c r="D94" s="31">
        <f>D76+D77-D86</f>
        <v>0</v>
      </c>
      <c r="E94" s="31">
        <f>E76+E77-E86</f>
        <v>0</v>
      </c>
      <c r="F94" s="31">
        <f t="shared" si="5"/>
        <v>0</v>
      </c>
      <c r="G94" s="32" t="e">
        <f t="shared" si="4"/>
        <v>#DIV/0!</v>
      </c>
      <c r="H94" s="33"/>
      <c r="I94" s="58"/>
      <c r="J94" s="35"/>
    </row>
    <row r="95" spans="1:10">
      <c r="A95" s="28"/>
      <c r="B95" s="29" t="s">
        <v>85</v>
      </c>
      <c r="C95" s="30"/>
      <c r="D95" s="31"/>
      <c r="E95" s="31"/>
      <c r="F95" s="31">
        <f t="shared" si="5"/>
        <v>0</v>
      </c>
      <c r="G95" s="32" t="e">
        <f t="shared" si="4"/>
        <v>#DIV/0!</v>
      </c>
      <c r="H95" s="33"/>
      <c r="I95" s="58"/>
      <c r="J95" s="35"/>
    </row>
    <row r="96" spans="1:10">
      <c r="A96" s="28" t="s">
        <v>86</v>
      </c>
      <c r="B96" s="29"/>
      <c r="C96" s="30"/>
      <c r="D96" s="31">
        <f>D94-D95</f>
        <v>0</v>
      </c>
      <c r="E96" s="31">
        <f>E94-E95</f>
        <v>0</v>
      </c>
      <c r="F96" s="31">
        <f t="shared" si="5"/>
        <v>0</v>
      </c>
      <c r="G96" s="32" t="e">
        <f t="shared" si="4"/>
        <v>#DIV/0!</v>
      </c>
      <c r="H96" s="33"/>
      <c r="I96" s="58"/>
      <c r="J96" s="35"/>
    </row>
    <row r="97" spans="1:10">
      <c r="A97" s="28" t="s">
        <v>87</v>
      </c>
      <c r="B97" s="29"/>
      <c r="C97" s="30"/>
      <c r="D97" s="31"/>
      <c r="E97" s="31"/>
      <c r="F97" s="31"/>
      <c r="G97" s="32"/>
      <c r="H97" s="33"/>
      <c r="I97" s="58"/>
      <c r="J97" s="35"/>
    </row>
    <row r="98" spans="1:10">
      <c r="A98" s="28"/>
      <c r="B98" s="29" t="s">
        <v>88</v>
      </c>
      <c r="C98" s="30"/>
      <c r="D98" s="31"/>
      <c r="E98" s="31"/>
      <c r="F98" s="31"/>
      <c r="G98" s="32"/>
      <c r="H98" s="34"/>
      <c r="I98" s="61"/>
      <c r="J98" s="35"/>
    </row>
    <row r="99" spans="1:10">
      <c r="A99" s="47"/>
      <c r="B99" s="47"/>
      <c r="C99" s="47"/>
      <c r="D99" s="62"/>
      <c r="E99" s="62"/>
      <c r="F99" s="62"/>
      <c r="G99" s="49"/>
      <c r="H99" s="50"/>
      <c r="I99" s="50"/>
      <c r="J99" s="52"/>
    </row>
    <row r="100" spans="1:10" ht="20.100000000000001" customHeight="1">
      <c r="A100" s="63" t="s">
        <v>89</v>
      </c>
      <c r="B100" s="64"/>
      <c r="C100" s="65"/>
      <c r="D100" s="69"/>
      <c r="E100" s="69"/>
      <c r="F100" s="69"/>
      <c r="G100" s="69"/>
      <c r="H100" s="69"/>
      <c r="I100" s="69"/>
      <c r="J100" s="70"/>
    </row>
    <row r="101" spans="1:10" ht="20.100000000000001" customHeight="1">
      <c r="A101" s="66"/>
      <c r="B101" s="67"/>
      <c r="C101" s="68"/>
      <c r="D101" s="71"/>
      <c r="E101" s="71"/>
      <c r="F101" s="71"/>
      <c r="G101" s="71"/>
      <c r="H101" s="71"/>
      <c r="I101" s="71"/>
      <c r="J101" s="72"/>
    </row>
    <row r="102" spans="1:10" ht="20.100000000000001" customHeight="1"/>
  </sheetData>
  <mergeCells count="16">
    <mergeCell ref="A2:J2"/>
    <mergeCell ref="A8:J11"/>
    <mergeCell ref="D13:D14"/>
    <mergeCell ref="E13:E14"/>
    <mergeCell ref="F13:G14"/>
    <mergeCell ref="H13:I13"/>
    <mergeCell ref="J13:J15"/>
    <mergeCell ref="H14:I14"/>
    <mergeCell ref="A100:C101"/>
    <mergeCell ref="D100:J101"/>
    <mergeCell ref="D67:D68"/>
    <mergeCell ref="E67:E68"/>
    <mergeCell ref="F67:G68"/>
    <mergeCell ref="H67:I67"/>
    <mergeCell ref="J67:J69"/>
    <mergeCell ref="H68:I68"/>
  </mergeCells>
  <phoneticPr fontId="2" type="noConversion"/>
  <pageMargins left="0.70866141732283472" right="0.70866141732283472" top="0.74803149606299213" bottom="0.74803149606299213" header="0.31496062992125984" footer="0.31496062992125984"/>
  <pageSetup paperSize="9" fitToHeight="17" orientation="landscape" r:id="rId1"/>
  <headerFooter>
    <oddFooter>&amp;R&amp;"-,굵게"&amp;12조서번호:&amp;A&amp; -&amp;P</oddFooter>
  </headerFooter>
  <rowBreaks count="1" manualBreakCount="1">
    <brk id="66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8110A</vt:lpstr>
      <vt:lpstr>'8110A'!Print_Area</vt:lpstr>
      <vt:lpstr>'8110A'!Print_Titles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조연주</dc:creator>
  <cp:lastModifiedBy>Datalobby</cp:lastModifiedBy>
  <cp:lastPrinted>2016-09-24T03:55:51Z</cp:lastPrinted>
  <dcterms:created xsi:type="dcterms:W3CDTF">2014-10-15T09:22:45Z</dcterms:created>
  <dcterms:modified xsi:type="dcterms:W3CDTF">2018-11-06T06:01:21Z</dcterms:modified>
</cp:coreProperties>
</file>