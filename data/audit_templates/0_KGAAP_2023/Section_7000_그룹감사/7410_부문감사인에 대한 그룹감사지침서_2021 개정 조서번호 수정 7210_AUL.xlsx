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IFRS 변경\"/>
    </mc:Choice>
  </mc:AlternateContent>
  <xr:revisionPtr revIDLastSave="0" documentId="8_{96E62D08-F330-4804-B648-F7F12C9383AA}" xr6:coauthVersionLast="47" xr6:coauthVersionMax="47" xr10:uidLastSave="{00000000-0000-0000-0000-000000000000}"/>
  <bookViews>
    <workbookView xWindow="-110" yWindow="-110" windowWidth="25820" windowHeight="14160" activeTab="1" xr2:uid="{00000000-000D-0000-FFFF-FFFF00000000}"/>
  </bookViews>
  <sheets>
    <sheet name="기본입력사항" sheetId="2" r:id="rId1"/>
    <sheet name="7210"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#N/A</definedName>
    <definedName name="___EPS2">#REF!</definedName>
    <definedName name="__123Graph_D" hidden="1">[1]IS!#REF!</definedName>
    <definedName name="__123Graph_F" hidden="1">'[2]2600'!#REF!</definedName>
    <definedName name="__DAT14">#REF!</definedName>
    <definedName name="__DemandLoad">TRUE</definedName>
    <definedName name="__EPS2">#REF!</definedName>
    <definedName name="__G79999">#REF!</definedName>
    <definedName name="__G99998">[3]임대!#REF!</definedName>
    <definedName name="__G99999">#REF!</definedName>
    <definedName name="__IntlFixup" hidden="1">TRUE</definedName>
    <definedName name="__KEY2" hidden="1">#REF!</definedName>
    <definedName name="__N84081">#REF!</definedName>
    <definedName name="__N94081">#REF!</definedName>
    <definedName name="_10">#N/A</definedName>
    <definedName name="_100P4_">#N/A</definedName>
    <definedName name="_101P5_">#N/A</definedName>
    <definedName name="_102P6_">#N/A</definedName>
    <definedName name="_10320">#N/A</definedName>
    <definedName name="_103P7_">#N/A</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0B00__27__.DATABASEUPLOAD">#N/A</definedName>
    <definedName name="_10T1">#N/A</definedName>
    <definedName name="_10T2">#N/A</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118y23_">'[2]2500'!#REF!</definedName>
    <definedName name="_11B00__3__.DATABASEUPLOAD">#N/A</definedName>
    <definedName name="_12_31_97">#N/A</definedName>
    <definedName name="_12_31_98">#N/A</definedName>
    <definedName name="_12_31_99">#N/A</definedName>
    <definedName name="_12B00__4__.DATABASEUPLOAD">#N/A</definedName>
    <definedName name="_13B00__40__.DATABASEUPLOAD">#N/A</definedName>
    <definedName name="_14B00__44__.DATABASEUPLOAD">#N/A</definedName>
    <definedName name="_15A">#N/A</definedName>
    <definedName name="_15B00__45__.DATABASEUPLOAD">#N/A</definedName>
    <definedName name="_16B00__46__.DATABASEUPLOAD">#N/A</definedName>
    <definedName name="_17B00__48__.DATABASEUPLOAD">#N/A</definedName>
    <definedName name="_18B00__5__.DATABASEUPLOAD">#N/A</definedName>
    <definedName name="_1999_01_29">#N/A</definedName>
    <definedName name="_19B00__50__.DATABASEUPLOAD">#N/A</definedName>
    <definedName name="_1B">#N/A</definedName>
    <definedName name="_1B00__10__.DATABASEUPLOAD">#N/A</definedName>
    <definedName name="_1C">#N/A</definedName>
    <definedName name="_1D">#N/A</definedName>
    <definedName name="_1E">#N/A</definedName>
    <definedName name="_1F">#N/A</definedName>
    <definedName name="_1G">#N/A</definedName>
    <definedName name="_1H">#N/A</definedName>
    <definedName name="_1I">#N/A</definedName>
    <definedName name="_1J">#N/A</definedName>
    <definedName name="_1K">#N/A</definedName>
    <definedName name="_1S">#N/A</definedName>
    <definedName name="_2">#N/A</definedName>
    <definedName name="_2000년_하반기_계획">[1]IS!$J$7:$J$35</definedName>
    <definedName name="_20B00__51__.DATABASEUPLOAD">#N/A</definedName>
    <definedName name="_20T1">#N/A</definedName>
    <definedName name="_20T2">#N/A</definedName>
    <definedName name="_20세기상사">[2]INDEX!#REF!</definedName>
    <definedName name="_21B00__57__.DATABASEUPLOAD">#N/A</definedName>
    <definedName name="_22B00__6__.DATABASEUPLOAD">#N/A</definedName>
    <definedName name="_23B00__60__.DATABASEUPLOAD">#N/A</definedName>
    <definedName name="_24B00__61__.DATABASEUPLOAD">#N/A</definedName>
    <definedName name="_25B00__62__.DATABASEUPLOAD">#N/A</definedName>
    <definedName name="_26B00__7__.DATABASEUPLOAD">#N/A</definedName>
    <definedName name="_27B00__8__.DATABASEUPLOAD">#N/A</definedName>
    <definedName name="_28B00__9__.DATABASEUPLOAD">#N/A</definedName>
    <definedName name="_29C00__1__.DATABASEUPLOAD">#N/A</definedName>
    <definedName name="_2B00__11__.DATABASEUPLOAD">#N/A</definedName>
    <definedName name="_2S">#N/A</definedName>
    <definedName name="_3">#N/A</definedName>
    <definedName name="_30C00__12__.DATABASEUPLOAD">#N/A</definedName>
    <definedName name="_31C00__13__.DATABASEUPLOAD">#N/A</definedName>
    <definedName name="_32C00__14__.DATABASEUPLOAD">#N/A</definedName>
    <definedName name="_33C00__2__.DATABASEUPLOAD">#N/A</definedName>
    <definedName name="_34C00__20__.DATABASEUPLOAD">#N/A</definedName>
    <definedName name="_35C00__22__.DATABASEUPLOAD">#N/A</definedName>
    <definedName name="_36C00__5__.DATABASEUPLOAD">#N/A</definedName>
    <definedName name="_37C00__7__.DATABASEUPLOAD">#N/A</definedName>
    <definedName name="_38D00__1__.DATABASEUPLOAD">#N/A</definedName>
    <definedName name="_39D00__10__.DATABASEUPLOAD">#N/A</definedName>
    <definedName name="_3B00__16__.DATABASEUPLOAD">#N/A</definedName>
    <definedName name="_4">#N/A</definedName>
    <definedName name="_40D00__2__.DATABASEUPLOAD">#N/A</definedName>
    <definedName name="_40T1">#N/A</definedName>
    <definedName name="_40T2">#N/A</definedName>
    <definedName name="_41D00__7__.DATABASEUPLOAD">#N/A</definedName>
    <definedName name="_42D00__9__.DATABASEUPLOAD">#N/A</definedName>
    <definedName name="_43Module4_B001__.LOGIN">#N/A</definedName>
    <definedName name="_44Module4_B0017__.LOGIN">#N/A</definedName>
    <definedName name="_45Module4_B002__.LOGIN">#N/A</definedName>
    <definedName name="_46Module4_B0025__.LOGIN">#N/A</definedName>
    <definedName name="_47Module4_B0026__.LOGIN">#N/A</definedName>
    <definedName name="_48Module4_B0027__.LOGIN">#N/A</definedName>
    <definedName name="_49Module4_B003__.LOGIN">#N/A</definedName>
    <definedName name="_4B00__17__.DATABASEUPLOAD">#N/A</definedName>
    <definedName name="_5">#N/A</definedName>
    <definedName name="_50Module4_B004__.LOGIN">#N/A</definedName>
    <definedName name="_50T1">#N/A</definedName>
    <definedName name="_50T2">#N/A</definedName>
    <definedName name="_51Module4_B005__.LOGIN">#N/A</definedName>
    <definedName name="_52Module4_B006__.LOGIN">#N/A</definedName>
    <definedName name="_53Module4_B007__.LOGIN">#N/A</definedName>
    <definedName name="_54Module4_B008__.LOGIN">#N/A</definedName>
    <definedName name="_55Module4_B009__.LOGIN">#N/A</definedName>
    <definedName name="_56Module4_B010__.LOGIN">#N/A</definedName>
    <definedName name="_57Module4_B011__.LOGIN">#N/A</definedName>
    <definedName name="_58Module4_B016__.LOGIN">#N/A</definedName>
    <definedName name="_59Module4_B021__.LOGIN">#N/A</definedName>
    <definedName name="_5B00__2__.DATABASEUPLOAD">#N/A</definedName>
    <definedName name="_6">#N/A</definedName>
    <definedName name="_60Module4_B022__.LOGIN">#N/A</definedName>
    <definedName name="_60T1">#N/A</definedName>
    <definedName name="_60T2">#N/A</definedName>
    <definedName name="_61Module4_B038__.LOGIN">#N/A</definedName>
    <definedName name="_62Module4_B040__.LOGIN">#N/A</definedName>
    <definedName name="_63Module4_B044__.LOGIN">#N/A</definedName>
    <definedName name="_64Module4_B045__.LOGIN">#N/A</definedName>
    <definedName name="_65Module4_B046__.LOGIN">#N/A</definedName>
    <definedName name="_66Module4_B048__.LOGIN">#N/A</definedName>
    <definedName name="_67Module4_B050__.LOGIN">#N/A</definedName>
    <definedName name="_68Module4_B051__.LOGIN">#N/A</definedName>
    <definedName name="_69Module4_B057__.LOGIN">#N/A</definedName>
    <definedName name="_6B00__21__.DATABASEUPLOAD">#N/A</definedName>
    <definedName name="_7">#N/A</definedName>
    <definedName name="_70Module4_B060__.LOGIN">#N/A</definedName>
    <definedName name="_70T1">#N/A</definedName>
    <definedName name="_70T2">#N/A</definedName>
    <definedName name="_71Module4_C001__.LOGIN">#N/A</definedName>
    <definedName name="_72Module4_C002__.LOGIN">#N/A</definedName>
    <definedName name="_73Module4_C005__.LOGIN">#N/A</definedName>
    <definedName name="_74Module4_C007__.LOGIN">#N/A</definedName>
    <definedName name="_75Module4_C012__.LOGIN">#N/A</definedName>
    <definedName name="_76Module4_C013__.LOGIN">#N/A</definedName>
    <definedName name="_77">'[2]3100'!#REF!</definedName>
    <definedName name="_77Module4_C014__.LOGIN">#N/A</definedName>
    <definedName name="_78Module4_C020__.LOGIN">#N/A</definedName>
    <definedName name="_79Module4_D001__.LOGIN">#N/A</definedName>
    <definedName name="_7B00__22__.DATABASEUPLOAD">#N/A</definedName>
    <definedName name="_8">#N/A</definedName>
    <definedName name="_80Module4_D002__.LOGIN">#N/A</definedName>
    <definedName name="_81Module4_D007__.LOGIN">#N/A</definedName>
    <definedName name="_82Module4_D009__.LOGIN">#N/A</definedName>
    <definedName name="_83Module4_D010__.LOGIN">#N/A</definedName>
    <definedName name="_87_3__Crite">[2]INDEX!#REF!</definedName>
    <definedName name="_88_3__Criteria">[2]INDEX!#REF!</definedName>
    <definedName name="_89a1_">#N/A</definedName>
    <definedName name="_8B00__25__.DATABASEUPLOAD">#N/A</definedName>
    <definedName name="_9">#N/A</definedName>
    <definedName name="_90">#N/A</definedName>
    <definedName name="_90T1">#N/A</definedName>
    <definedName name="_90T2">#N/A</definedName>
    <definedName name="_91Database">#N/A</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5G__Extr">[2]INDEX!#REF!</definedName>
    <definedName name="_96G__Extract">[2]INDEX!#REF!</definedName>
    <definedName name="_97H31285_">'[2]2500'!#REF!</definedName>
    <definedName name="_98p11_">#N/A</definedName>
    <definedName name="_99P3_">#N/A</definedName>
    <definedName name="_9B00__26__.DATABASEUPLOAD">#N/A</definedName>
    <definedName name="_A">'[2]3100'!#REF!</definedName>
    <definedName name="_AMO1">#N/A</definedName>
    <definedName name="_AMO2">#N/A</definedName>
    <definedName name="_AMO3">#N/A</definedName>
    <definedName name="_AMO4">#N/A</definedName>
    <definedName name="_AMO5">#N/A</definedName>
    <definedName name="_AMO6">#N/A</definedName>
    <definedName name="_AUD1">#N/A</definedName>
    <definedName name="_AUD2">#N/A</definedName>
    <definedName name="_AUD3">#N/A</definedName>
    <definedName name="_AUD4">#N/A</definedName>
    <definedName name="_B70000">#N/A</definedName>
    <definedName name="_C">[1]IS!#REF!</definedName>
    <definedName name="_DAT1">#N/A</definedName>
    <definedName name="_DAT11">'[2]2500'!#REF!</definedName>
    <definedName name="_DAT12">'[2]2500'!#REF!</definedName>
    <definedName name="_DAT14">#REF!</definedName>
    <definedName name="_DAT15">'[2]2500'!#REF!</definedName>
    <definedName name="_DAT16">'[2]2500'!#REF!</definedName>
    <definedName name="_DAT18">'[2]2500'!#REF!</definedName>
    <definedName name="_DAT19">'[2]2500'!#REF!</definedName>
    <definedName name="_DAT2">#N/A</definedName>
    <definedName name="_DAT26">'[2]2500'!#REF!</definedName>
    <definedName name="_DAT27">'[2]2500'!#REF!</definedName>
    <definedName name="_DAT28">'[2]2500'!#REF!</definedName>
    <definedName name="_DAT29">'[2]2500'!#REF!</definedName>
    <definedName name="_DAT3">#N/A</definedName>
    <definedName name="_DAT30">'[2]2500'!#REF!</definedName>
    <definedName name="_DAT31">'[2]2500'!#REF!</definedName>
    <definedName name="_DAT4">#N/A</definedName>
    <definedName name="_DAT49">'[2]2500'!#REF!</definedName>
    <definedName name="_DAT5">#N/A</definedName>
    <definedName name="_DAT50">'[2]2500'!#REF!</definedName>
    <definedName name="_DAT51">[2]INDEX!#REF!</definedName>
    <definedName name="_DAT52">[2]INDEX!#REF!</definedName>
    <definedName name="_DAT53">[2]INDEX!#REF!</definedName>
    <definedName name="_DAT54">[1]IS!$R$2:$R$245</definedName>
    <definedName name="_DAT55">[2]INDEX!#REF!</definedName>
    <definedName name="_DAT56">[2]INDEX!#REF!</definedName>
    <definedName name="_DAT6">#N/A</definedName>
    <definedName name="_DAT7">#N/A</definedName>
    <definedName name="_DAT8">#N/A</definedName>
    <definedName name="_DAT9">#N/A</definedName>
    <definedName name="_DEM1">#N/A</definedName>
    <definedName name="_DEM2">#N/A</definedName>
    <definedName name="_DEM3">#N/A</definedName>
    <definedName name="_DEM4">#N/A</definedName>
    <definedName name="_Dist_Bin" hidden="1">#N/A</definedName>
    <definedName name="_Dist_Values" hidden="1">#N/A</definedName>
    <definedName name="_EPS2">#REF!</definedName>
    <definedName name="_EUR2">#N/A</definedName>
    <definedName name="_EUR3">#N/A</definedName>
    <definedName name="_EUR4">#N/A</definedName>
    <definedName name="_Fill" hidden="1">#N/A</definedName>
    <definedName name="_xlnm._FilterDatabase" hidden="1">#N/A</definedName>
    <definedName name="_FRF1">#N/A</definedName>
    <definedName name="_FRF2">#N/A</definedName>
    <definedName name="_FRF3">#N/A</definedName>
    <definedName name="_FRF4">#N/A</definedName>
    <definedName name="_G79999">#REF!</definedName>
    <definedName name="_G99998">[3]임대!#REF!</definedName>
    <definedName name="_G99999">#REF!</definedName>
    <definedName name="_GBP1">#N/A</definedName>
    <definedName name="_GBP2">#N/A</definedName>
    <definedName name="_GBP3">#N/A</definedName>
    <definedName name="_GBP4">#N/A</definedName>
    <definedName name="_ITL1">#N/A</definedName>
    <definedName name="_ITL2">#N/A</definedName>
    <definedName name="_ITL3">#N/A</definedName>
    <definedName name="_ITL4">#N/A</definedName>
    <definedName name="_KDX3">[4]!_KDX3</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N84081">#REF!</definedName>
    <definedName name="_N94081">#REF!</definedName>
    <definedName name="_NMB96">#REF!</definedName>
    <definedName name="_Order1" hidden="1">255</definedName>
    <definedName name="_Order2" hidden="1">255</definedName>
    <definedName name="_P">#N/A</definedName>
    <definedName name="_Parse_In" hidden="1">#N/A</definedName>
    <definedName name="_Parse_Out" hidden="1">#N/A</definedName>
    <definedName name="_PRI1">#N/A</definedName>
    <definedName name="_PRI2">#N/A</definedName>
    <definedName name="_PRI3">#N/A</definedName>
    <definedName name="_PRI4">#N/A</definedName>
    <definedName name="_PRI5">#N/A</definedName>
    <definedName name="_PRI6">#N/A</definedName>
    <definedName name="_qs2">#N/A</definedName>
    <definedName name="_QTY1">#N/A</definedName>
    <definedName name="_QTY2">#N/A</definedName>
    <definedName name="_QTY3">#N/A</definedName>
    <definedName name="_QTY4">#N/A</definedName>
    <definedName name="_QTY5">#N/A</definedName>
    <definedName name="_QTY6">#N/A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_tot12">#N/A</definedName>
    <definedName name="_tot13">#N/A</definedName>
    <definedName name="_tot2">#N/A</definedName>
    <definedName name="_USD2">#N/A</definedName>
    <definedName name="_USD3">#N/A</definedName>
    <definedName name="_USD4">#N/A</definedName>
    <definedName name="_VAL1">#N/A</definedName>
    <definedName name="\0">#N/A</definedName>
    <definedName name="\a">#N/A</definedName>
    <definedName name="\B">#N/A</definedName>
    <definedName name="\c">#REF!</definedName>
    <definedName name="\d">#N/A</definedName>
    <definedName name="\e">#N/A</definedName>
    <definedName name="\f">#N/A</definedName>
    <definedName name="\g">#N/A</definedName>
    <definedName name="\h">#N/A</definedName>
    <definedName name="\i">#N/A</definedName>
    <definedName name="\j">'[2]2600'!#REF!</definedName>
    <definedName name="\k">'[2]2600'!#REF!</definedName>
    <definedName name="\l">'[2]2600'!#REF!</definedName>
    <definedName name="\n">[1]IS!#REF!</definedName>
    <definedName name="\p">#N/A</definedName>
    <definedName name="\q">[2]INDEX!#REF!</definedName>
    <definedName name="\r">#N/A</definedName>
    <definedName name="\t">'[2]2500'!#REF!</definedName>
    <definedName name="\w">'[2]2500'!#REF!</definedName>
    <definedName name="\x">[2]INDEX!#REF!</definedName>
    <definedName name="\z">#N/A</definedName>
    <definedName name="※">[5]회사정보!#REF!</definedName>
    <definedName name="A">#N/A</definedName>
    <definedName name="a_range">#N/A</definedName>
    <definedName name="A¶E¸AOE­¸e">#N/A</definedName>
    <definedName name="AA">[4]!prt6bn46bt82</definedName>
    <definedName name="AAA">#REF!</definedName>
    <definedName name="aaaa">[4]!aaaa</definedName>
    <definedName name="aaaaa">[4]!aaaaa</definedName>
    <definedName name="aaaaaa">[4]!aaaaaa</definedName>
    <definedName name="Aas" hidden="1">{#N/A,#N/A,FALSE,"을지 (4)";#N/A,#N/A,FALSE,"을지 (5)";#N/A,#N/A,FALSE,"을지 (6)"}</definedName>
    <definedName name="AB">[4]!PRT6BN5BT41</definedName>
    <definedName name="ABC" hidden="1">{#N/A,#N/A,FALSE,"초도품";#N/A,#N/A,FALSE,"초도품 (2)";#N/A,#N/A,FALSE,"초도품 (3)";#N/A,#N/A,FALSE,"초도품 (4)";#N/A,#N/A,FALSE,"초도품 (5)";#N/A,#N/A,FALSE,"초도품 (6)"}</definedName>
    <definedName name="ABS_원부_약정">#N/A</definedName>
    <definedName name="AC">[4]!prt6bv7cc30</definedName>
    <definedName name="acc">#N/A</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unt_Balance">#N/A</definedName>
    <definedName name="acete">[2]INDEX!#REF!</definedName>
    <definedName name="ACTUAL">#N/A</definedName>
    <definedName name="adff">'[2]3100'!#REF!</definedName>
    <definedName name="aewr">'[2]2500'!#REF!</definedName>
    <definedName name="Afalon_WP_200g">[2]INDEX!#REF!</definedName>
    <definedName name="Afugan_EC_500ml">[2]INDEX!#REF!</definedName>
    <definedName name="AICPA">[6]Scoping!$M$11</definedName>
    <definedName name="AJE_BS">#N/A</definedName>
    <definedName name="AJE_IS">#N/A</definedName>
    <definedName name="AJE_RE">#N/A</definedName>
    <definedName name="aje확정">#N/A</definedName>
    <definedName name="all">'[2]2500'!#REF!</definedName>
    <definedName name="ALㅓ머" hidden="1">{#N/A,#N/A,FALSE,"UNIT";#N/A,#N/A,FALSE,"UNIT";#N/A,#N/A,FALSE,"계정"}</definedName>
    <definedName name="AR">[2]INDEX!#REF!</definedName>
    <definedName name="AREW">'[2]2500'!#REF!</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AS">[4]!ASAS</definedName>
    <definedName name="asc">#N/A</definedName>
    <definedName name="asd">[4]!asd</definedName>
    <definedName name="asdf">[4]!asdf</definedName>
    <definedName name="asdfg">[4]!asdfg</definedName>
    <definedName name="ASE" hidden="1">{#N/A,#N/A,FALSE,"초도품";#N/A,#N/A,FALSE,"초도품 (2)";#N/A,#N/A,FALSE,"초도품 (3)";#N/A,#N/A,FALSE,"초도품 (4)";#N/A,#N/A,FALSE,"초도품 (5)";#N/A,#N/A,FALSE,"초도품 (6)"}</definedName>
    <definedName name="asg">#N/A</definedName>
    <definedName name="ASS" hidden="1">{#N/A,#N/A,FALSE,"을지 (4)";#N/A,#N/A,FALSE,"을지 (5)";#N/A,#N/A,FALSE,"을지 (6)"}</definedName>
    <definedName name="asxz">[4]!asxz</definedName>
    <definedName name="AS수수료">'[2]1300'!#REF!</definedName>
    <definedName name="atoSL">[2]INDEX!#REF!</definedName>
    <definedName name="audit_button2_click">[4]!audit_button2_click</definedName>
    <definedName name="aut">'[2]2500'!#REF!</definedName>
    <definedName name="avg">1290.79</definedName>
    <definedName name="avg_interest">[1]BS!#REF!</definedName>
    <definedName name="AWE">#N/A</definedName>
    <definedName name="ax">#N/A</definedName>
    <definedName name="AXD" hidden="1">{#N/A,#N/A,FALSE,"초도품";#N/A,#N/A,FALSE,"초도품 (2)";#N/A,#N/A,FALSE,"초도품 (3)";#N/A,#N/A,FALSE,"초도품 (4)";#N/A,#N/A,FALSE,"초도품 (5)";#N/A,#N/A,FALSE,"초도품 (6)"}</definedName>
    <definedName name="az">#N/A</definedName>
    <definedName name="b">[2]INDEX!#REF!</definedName>
    <definedName name="B_10">#N/A</definedName>
    <definedName name="B_20">#N/A</definedName>
    <definedName name="B_40">#N/A</definedName>
    <definedName name="B_50">#N/A</definedName>
    <definedName name="B_60">#N/A</definedName>
    <definedName name="B_70">#N/A</definedName>
    <definedName name="B_9_WP_100g">[2]INDEX!#REF!</definedName>
    <definedName name="B_90">#N/A</definedName>
    <definedName name="B_JEMU">#N/A</definedName>
    <definedName name="b_range">#N/A</definedName>
    <definedName name="B_TOTAL">#N/A</definedName>
    <definedName name="B_TOTALT">#N/A</definedName>
    <definedName name="B00.DATABASEUPLOAD">#N/A</definedName>
    <definedName name="BackTo">[4]!BackTo</definedName>
    <definedName name="Basta_SL_300ml">[2]INDEX!#REF!</definedName>
    <definedName name="Basta_SL_500ml">[2]INDEX!#REF!</definedName>
    <definedName name="BB">[4]!BB</definedName>
    <definedName name="BBB">#N/A</definedName>
    <definedName name="bbbb">[4]!bbbb</definedName>
    <definedName name="bbbbb">[4]!bbbbb</definedName>
    <definedName name="bcrclcl100rt">'[2]2500'!#REF!</definedName>
    <definedName name="bcrclcl100rtrkrk">'[2]2500'!#REF!</definedName>
    <definedName name="Befran_P_800g">[2]INDEX!#REF!</definedName>
    <definedName name="Befran_SL_500ml">[2]INDEX!#REF!</definedName>
    <definedName name="Bellkute_WP_250g">[2]INDEX!#REF!</definedName>
    <definedName name="BG_Del" hidden="1">15</definedName>
    <definedName name="BG_Ins" hidden="1">4</definedName>
    <definedName name="BG_Mod" hidden="1">6</definedName>
    <definedName name="BO">#N/A</definedName>
    <definedName name="book">[4]!book</definedName>
    <definedName name="book1" hidden="1">{#N/A,#N/A,FALSE,"UNIT";#N/A,#N/A,FALSE,"UNIT";#N/A,#N/A,FALSE,"계정"}</definedName>
    <definedName name="book2">[4]!book2</definedName>
    <definedName name="book3">[4]!book3</definedName>
    <definedName name="BP_EC_500ml">[2]INDEX!#REF!</definedName>
    <definedName name="BP_EC_5L">[2]INDEX!#REF!</definedName>
    <definedName name="BS_T">#N/A</definedName>
    <definedName name="bsNote">[4]!bsNote</definedName>
    <definedName name="btn">[4]!btn</definedName>
    <definedName name="btnClose">[4]!btnClose</definedName>
    <definedName name="btnFootNoting">[4]!btnFootNoting</definedName>
    <definedName name="btnNext">[4]!btnNext</definedName>
    <definedName name="btnnnnn">[4]!btnnnnn</definedName>
    <definedName name="btnOK">[4]!btnOK</definedName>
    <definedName name="btnPrevious">[4]!btnPrevious</definedName>
    <definedName name="btnr">[4]!btnr</definedName>
    <definedName name="btnReturn">[4]!btnReturn</definedName>
    <definedName name="Bust">#N/A</definedName>
    <definedName name="buta">[2]INDEX!#REF!</definedName>
    <definedName name="Button2_누르기">#N/A</definedName>
    <definedName name="C_">'[2]2500'!#REF!</definedName>
    <definedName name="C_RANGE">#N/A</definedName>
    <definedName name="Carpinda_GR_2kg">[2]INDEX!#REF!</definedName>
    <definedName name="CASE">#N/A</definedName>
    <definedName name="cash">[4]!cash</definedName>
    <definedName name="cash1">[4]!cash1</definedName>
    <definedName name="CashFlow_Button1_Click">[4]!CashFlow_Button1_Click</definedName>
    <definedName name="cashIndex">[4]!cashIndex</definedName>
    <definedName name="CASHM">[4]!CASHM</definedName>
    <definedName name="cc">[4]!cc</definedName>
    <definedName name="cc0" hidden="1">{"'5국공정'!$A$1:$E$128"}</definedName>
    <definedName name="cccccccccccccccccccccc">[4]!cccccccccccccccccccccc</definedName>
    <definedName name="CDS">'[2]3100'!#REF!</definedName>
    <definedName name="CENTA">#N/A</definedName>
    <definedName name="CENTA1">#N/A</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CHAREM">#N/A</definedName>
    <definedName name="Chart_Draw">[7]!Chart_Draw</definedName>
    <definedName name="CHASUM">#N/A</definedName>
    <definedName name="check">#N/A</definedName>
    <definedName name="CHECK1">#N/A</definedName>
    <definedName name="check2">#N/A</definedName>
    <definedName name="CHECK3">#N/A</definedName>
    <definedName name="check4">#N/A</definedName>
    <definedName name="check5">#N/A</definedName>
    <definedName name="Cidial_Dp_12kg">[2]INDEX!#REF!</definedName>
    <definedName name="Cidial_EC_500ml">[2]INDEX!#REF!</definedName>
    <definedName name="Cidial_EC_5L">[2]INDEX!#REF!</definedName>
    <definedName name="cnyRate">126.12</definedName>
    <definedName name="co">#N/A</definedName>
    <definedName name="con">'[2]2500'!#REF!</definedName>
    <definedName name="conb1">#N/A</definedName>
    <definedName name="conb10">#N/A</definedName>
    <definedName name="conb100">#N/A</definedName>
    <definedName name="conb101">#N/A</definedName>
    <definedName name="conb102">#N/A</definedName>
    <definedName name="conb103">#N/A</definedName>
    <definedName name="conb104">#N/A</definedName>
    <definedName name="conb105">#N/A</definedName>
    <definedName name="conb106">#N/A</definedName>
    <definedName name="conb107">#N/A</definedName>
    <definedName name="conb108">#N/A</definedName>
    <definedName name="conb109">#N/A</definedName>
    <definedName name="conb11">#N/A</definedName>
    <definedName name="conb110">#N/A</definedName>
    <definedName name="conb111">#N/A</definedName>
    <definedName name="conb112">#N/A</definedName>
    <definedName name="conb113">#N/A</definedName>
    <definedName name="conb114">#N/A</definedName>
    <definedName name="conb115">#N/A</definedName>
    <definedName name="conb116">#N/A</definedName>
    <definedName name="conb117">#N/A</definedName>
    <definedName name="conb118">#N/A</definedName>
    <definedName name="conb119">#N/A</definedName>
    <definedName name="conb12">#N/A</definedName>
    <definedName name="conb120">#N/A</definedName>
    <definedName name="conb121">#N/A</definedName>
    <definedName name="conb13">#N/A</definedName>
    <definedName name="conb14">#N/A</definedName>
    <definedName name="conb15">#N/A</definedName>
    <definedName name="conb16">#N/A</definedName>
    <definedName name="conb17">#N/A</definedName>
    <definedName name="conb18">#N/A</definedName>
    <definedName name="conb19">#N/A</definedName>
    <definedName name="conb2">#N/A</definedName>
    <definedName name="conb20">#N/A</definedName>
    <definedName name="conb21">#N/A</definedName>
    <definedName name="conb22">#N/A</definedName>
    <definedName name="conb23">#N/A</definedName>
    <definedName name="conb24">#N/A</definedName>
    <definedName name="conb25">#N/A</definedName>
    <definedName name="conb26">#N/A</definedName>
    <definedName name="conb27">#N/A</definedName>
    <definedName name="conb28">#N/A</definedName>
    <definedName name="conb29">#N/A</definedName>
    <definedName name="conb3">#N/A</definedName>
    <definedName name="conb30">#N/A</definedName>
    <definedName name="conb31">#N/A</definedName>
    <definedName name="conb33">#N/A</definedName>
    <definedName name="conb34">#N/A</definedName>
    <definedName name="conb36">#N/A</definedName>
    <definedName name="conb37">#N/A</definedName>
    <definedName name="conb38">#N/A</definedName>
    <definedName name="conb39">#N/A</definedName>
    <definedName name="conb4">#N/A</definedName>
    <definedName name="conb40">#N/A</definedName>
    <definedName name="conb41">#N/A</definedName>
    <definedName name="conb42">#N/A</definedName>
    <definedName name="conb43">#N/A</definedName>
    <definedName name="conb44">#N/A</definedName>
    <definedName name="conb45">#N/A</definedName>
    <definedName name="conb46">#N/A</definedName>
    <definedName name="conb47">#N/A</definedName>
    <definedName name="conb48">#N/A</definedName>
    <definedName name="conb49">#N/A</definedName>
    <definedName name="conb5">#N/A</definedName>
    <definedName name="conb50">#N/A</definedName>
    <definedName name="conb51">#N/A</definedName>
    <definedName name="conb52">#N/A</definedName>
    <definedName name="conb53">#N/A</definedName>
    <definedName name="conb54">#N/A</definedName>
    <definedName name="conb55">#N/A</definedName>
    <definedName name="conb58">#N/A</definedName>
    <definedName name="conb59">#N/A</definedName>
    <definedName name="conb6">#N/A</definedName>
    <definedName name="conb60">#N/A</definedName>
    <definedName name="conb61">#N/A</definedName>
    <definedName name="conb62">#N/A</definedName>
    <definedName name="conb63">#N/A</definedName>
    <definedName name="conb64">#N/A</definedName>
    <definedName name="conb65">#N/A</definedName>
    <definedName name="conb66">#N/A</definedName>
    <definedName name="conb67">#N/A</definedName>
    <definedName name="conb68">#N/A</definedName>
    <definedName name="conb69">#N/A</definedName>
    <definedName name="conb7">#N/A</definedName>
    <definedName name="conb70">#N/A</definedName>
    <definedName name="conb71">#N/A</definedName>
    <definedName name="conb72">#N/A</definedName>
    <definedName name="conb73">#N/A</definedName>
    <definedName name="conb74">#N/A</definedName>
    <definedName name="conb75">#N/A</definedName>
    <definedName name="conb76">#N/A</definedName>
    <definedName name="conb77">#N/A</definedName>
    <definedName name="conb78">#N/A</definedName>
    <definedName name="conb79">#N/A</definedName>
    <definedName name="conb8">#N/A</definedName>
    <definedName name="conb80">#N/A</definedName>
    <definedName name="conb81">#N/A</definedName>
    <definedName name="conb82">#N/A</definedName>
    <definedName name="conb83">#N/A</definedName>
    <definedName name="conb84">#N/A</definedName>
    <definedName name="conb85">#N/A</definedName>
    <definedName name="conb86">#N/A</definedName>
    <definedName name="conb87">#N/A</definedName>
    <definedName name="conb88">#N/A</definedName>
    <definedName name="conb89">#N/A</definedName>
    <definedName name="conb9">#N/A</definedName>
    <definedName name="conb90">#N/A</definedName>
    <definedName name="conb91">#N/A</definedName>
    <definedName name="conb92">#N/A</definedName>
    <definedName name="conb93">#N/A</definedName>
    <definedName name="conb94">#N/A</definedName>
    <definedName name="conb95">#N/A</definedName>
    <definedName name="conb96">#N/A</definedName>
    <definedName name="conb97">#N/A</definedName>
    <definedName name="conb98">#N/A</definedName>
    <definedName name="conb99">#N/A</definedName>
    <definedName name="Conidor__DC_4L">[2]INDEX!#REF!</definedName>
    <definedName name="Conidor_AL_400ml">[2]INDEX!#REF!</definedName>
    <definedName name="Conidor_SC_250ml">[2]INDEX!#REF!</definedName>
    <definedName name="Conidor_SL_20L">[2]INDEX!#REF!</definedName>
    <definedName name="Conidor_SL_250ml">[2]INDEX!#REF!</definedName>
    <definedName name="coniSL300">[2]INDEX!#REF!</definedName>
    <definedName name="Continue">#N/A</definedName>
    <definedName name="ControlType">[8]Scoping!$M$25</definedName>
    <definedName name="Coring_SL__500ml">[2]INDEX!#REF!</definedName>
    <definedName name="Cornido_GR_1kg">[2]INDEX!#REF!</definedName>
    <definedName name="COSTRATE">[1]IS!$R$2:$R$691</definedName>
    <definedName name="CPT13VM">#N/A</definedName>
    <definedName name="_xlnm.Criteria">#N/A</definedName>
    <definedName name="Criteria_MI">#N/A</definedName>
    <definedName name="Critical_Component">#REF!</definedName>
    <definedName name="CY_Accounts_Receivable">#N/A</definedName>
    <definedName name="CY_Cash_Div_Dec">'[2]2600'!#REF!</definedName>
    <definedName name="CY_Current_Liabilities">'[9]Balance Sheet'!#REF!</definedName>
    <definedName name="CY_Depreciation">'[2]2600'!#REF!</definedName>
    <definedName name="CY_Intangible_Assets">'[9]Balance Sheet'!#REF!</definedName>
    <definedName name="CY_Interest_Expense">'[9]Income Statement'!#REF!</definedName>
    <definedName name="CY_Market_Value_of_Equity">'[2]2600'!#REF!</definedName>
    <definedName name="CY_Marketable_Sec">'[9]Balance Sheet'!#REF!</definedName>
    <definedName name="CY_Other">'[2]2600'!#REF!</definedName>
    <definedName name="CY_Other_Curr_Assets">#N/A</definedName>
    <definedName name="CY_Other_LT_Assets">#N/A</definedName>
    <definedName name="CY_Other_LT_Liabilities">#N/A</definedName>
    <definedName name="CY_Selling">'[2]2600'!#REF!</definedName>
    <definedName name="CY_Tangible_Net_Worth">'[2]2600'!#REF!</definedName>
    <definedName name="CY_Taxes">'[9]Income Statement'!#REF!</definedName>
    <definedName name="CY_TOTAL_ASSETS">#N/A</definedName>
    <definedName name="CY_Weighted_Average">'[2]2600'!#REF!</definedName>
    <definedName name="CY_Working_Capital">'[2]2600'!#REF!</definedName>
    <definedName name="CY_단기차입금">#N/A</definedName>
    <definedName name="CY_매입채무">#N/A</definedName>
    <definedName name="CY_사채">#N/A</definedName>
    <definedName name="CY_유동성장기부채">#N/A</definedName>
    <definedName name="CY_장기차입금">#N/A</definedName>
    <definedName name="d">#N/A</definedName>
    <definedName name="DAEREM">#N/A</definedName>
    <definedName name="DAESUM">#N/A</definedName>
    <definedName name="DANGA">'[2]2500'!$D$19:$D$19,'[2]2500'!$F$19:$BD$19</definedName>
    <definedName name="Data_Process">[10]!Data_Process</definedName>
    <definedName name="_xlnm.Database">'[11]이자비용 (2)'!$A$1:$P$3</definedName>
    <definedName name="Database_MI">#N/A</definedName>
    <definedName name="DATABASE1" hidden="1">#REF!</definedName>
    <definedName name="day">#N/A</definedName>
    <definedName name="DayFix">[4]!DayFix</definedName>
    <definedName name="DayFix1">[4]!DayFix1</definedName>
    <definedName name="DC">[2]INDEX!#REF!</definedName>
    <definedName name="DCS">#N/A</definedName>
    <definedName name="DD">#N/A</definedName>
    <definedName name="DD_Curr">[12]Currency!$C$3</definedName>
    <definedName name="ddd">[4]!ddd</definedName>
    <definedName name="dddd" hidden="1">{#N/A,#N/A,FALSE,"UNIT";#N/A,#N/A,FALSE,"UNIT";#N/A,#N/A,FALSE,"계정"}</definedName>
    <definedName name="dddddddd" hidden="1">{"'5국공정'!$A$1:$E$128"}</definedName>
    <definedName name="DDE">'[2]2500'!#REF!</definedName>
    <definedName name="DDS" hidden="1">{#N/A,#N/A,FALSE,"을지 (4)";#N/A,#N/A,FALSE,"을지 (5)";#N/A,#N/A,FALSE,"을지 (6)"}</definedName>
    <definedName name="dek">'[2]2500'!#REF!</definedName>
    <definedName name="DELETE">[13]!DELETE</definedName>
    <definedName name="DEP">[2]INDEX!#REF!</definedName>
    <definedName name="DesiredEvidence">'[6]Drop down'!$I$6:$I$9</definedName>
    <definedName name="dfdg">'[2]3100'!#REF!</definedName>
    <definedName name="dffg">#N/A</definedName>
    <definedName name="dfgh">#N/A</definedName>
    <definedName name="dg">[4]!BlankMacro1</definedName>
    <definedName name="Difference">#N/A</definedName>
    <definedName name="Disposal">#N/A</definedName>
    <definedName name="djdjdjdjdjd">#N/A</definedName>
    <definedName name="djksl">[2]INDEX!#REF!</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[4]!DKD</definedName>
    <definedName name="dkdkd" hidden="1">{#N/A,#N/A,FALSE,"UNIT";#N/A,#N/A,FALSE,"UNIT";#N/A,#N/A,FALSE,"계정"}</definedName>
    <definedName name="dkslqjfTj">BlankMacro1</definedName>
    <definedName name="DLRJ">'[2]3100'!#REF!</definedName>
    <definedName name="Documents_array">#N/A</definedName>
    <definedName name="DOM">[4]!DOM</definedName>
    <definedName name="DOMUSAGER">[4]!DOMUSAGER</definedName>
    <definedName name="DOMUSA저장">[4]!DOMUSA저장</definedName>
    <definedName name="DOM전장">[4]!DOM전장</definedName>
    <definedName name="don">[14]!don</definedName>
    <definedName name="Dreada_WP_100g">[2]INDEX!#REF!</definedName>
    <definedName name="drt">#N/A</definedName>
    <definedName name="drtu">#N/A</definedName>
    <definedName name="DS">[2]INDEX!#REF!</definedName>
    <definedName name="DSA" hidden="1">{#N/A,#N/A,FALSE,"을지 (4)";#N/A,#N/A,FALSE,"을지 (5)";#N/A,#N/A,FALSE,"을지 (6)"}</definedName>
    <definedName name="dsasf">#N/A</definedName>
    <definedName name="dsdf" hidden="1">{#N/A,#N/A,TRUE,"Summary";#N/A,#N/A,TRUE,"IS";#N/A,#N/A,TRUE,"Adj";#N/A,#N/A,TRUE,"BS";#N/A,#N/A,TRUE,"CF";#N/A,#N/A,TRUE,"Debt";#N/A,#N/A,TRUE,"IRR"}</definedName>
    <definedName name="dsf">#N/A</definedName>
    <definedName name="DSFDSF">[4]!DSFDSF</definedName>
    <definedName name="dusruf">#N/A</definedName>
    <definedName name="dustj">'[2]3100'!#REF!</definedName>
    <definedName name="dwfff">'[2]2500'!#REF!</definedName>
    <definedName name="E">#N/A</definedName>
    <definedName name="EE">'[2]2500'!#REF!</definedName>
    <definedName name="EEE">'[2]2500'!#REF!</definedName>
    <definedName name="eeee">#N/A</definedName>
    <definedName name="efrt">#N/A</definedName>
    <definedName name="ehj">#N/A</definedName>
    <definedName name="ejkw">[2]INDEX!#REF!</definedName>
    <definedName name="eot">BlankMacro1</definedName>
    <definedName name="EPN_EC_500ml">[2]INDEX!#REF!</definedName>
    <definedName name="EPS">#REF!</definedName>
    <definedName name="ER">#N/A</definedName>
    <definedName name="Err_Box_AddSamp">'[12]Non-Statistical Sampling'!$AR$6</definedName>
    <definedName name="Err_Box_Rej">'[12]Non-Statistical Sampling'!$AR$5</definedName>
    <definedName name="Err_CellComments">'[12]Non-Statistical Sampling'!$AJ$13</definedName>
    <definedName name="Err_SampErr">'[12]Non-Statistical Sampling'!$AK$15</definedName>
    <definedName name="erre">[4]!erre</definedName>
    <definedName name="ErrName533424019">[1]BS!#REF!</definedName>
    <definedName name="EssOptions">"110000000001000_"</definedName>
    <definedName name="Eufa_M_WP_200g">[2]INDEX!#REF!</definedName>
    <definedName name="eurRate">1422.96</definedName>
    <definedName name="euwjf">'[2]2500'!#REF!</definedName>
    <definedName name="Eval_btn_Ans">'[12]Non-Statistical Sampling'!$AR$12</definedName>
    <definedName name="Eval_MR">'[12]Non-Statistical Sampling'!$Y$20</definedName>
    <definedName name="ewa">'[2]2500'!#REF!</definedName>
    <definedName name="ewef">#N/A</definedName>
    <definedName name="ewq">'[2]2600'!#REF!</definedName>
    <definedName name="ewr">#N/A</definedName>
    <definedName name="eww">'[2]2600'!#REF!</definedName>
    <definedName name="ewwef">#N/A</definedName>
    <definedName name="Expected_balance">#N/A</definedName>
    <definedName name="_xlnm.Extract">#N/A</definedName>
    <definedName name="Extract_MI">#N/A</definedName>
    <definedName name="F">'[2]2500'!#REF!</definedName>
    <definedName name="F_123">[4]!F_123</definedName>
    <definedName name="fa">[4]!fa</definedName>
    <definedName name="faf">[4]!faf</definedName>
    <definedName name="fafa">[4]!fafa</definedName>
    <definedName name="FA증감">'[2]3250'!#REF!</definedName>
    <definedName name="FC">[2]INDEX!#REF!</definedName>
    <definedName name="FDS">#N/A</definedName>
    <definedName name="fdsa">'[2]2600'!#REF!</definedName>
    <definedName name="fdsww">'[2]3100'!#REF!</definedName>
    <definedName name="fdwwr">[2]INDEX!#REF!</definedName>
    <definedName name="FE">'[2]2500'!#REF!</definedName>
    <definedName name="fed">'[2]2500'!#REF!</definedName>
    <definedName name="few">'[2]3100'!#REF!</definedName>
    <definedName name="fff">#N/A</definedName>
    <definedName name="fffffff">[4]!fffffff</definedName>
    <definedName name="FG">#N/A</definedName>
    <definedName name="FG46TBTB4RTDKDK">#N/A</definedName>
    <definedName name="fgh">'[2]2500'!#REF!</definedName>
    <definedName name="fghgfjk">[4]!fghgfjk</definedName>
    <definedName name="fgyi">#N/A</definedName>
    <definedName name="FINAL_FS">[4]!FINAL_FS</definedName>
    <definedName name="finalReport">[4]!finalReport</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fjds">#N/A</definedName>
    <definedName name="fjei">#N/A</definedName>
    <definedName name="fjid">#N/A</definedName>
    <definedName name="fjkdls">#N/A</definedName>
    <definedName name="fjksl">#N/A</definedName>
    <definedName name="Folpet_WP_500g">[2]INDEX!#REF!</definedName>
    <definedName name="FourQuarterMovingAvg">#N/A</definedName>
    <definedName name="freer">'[2]2500'!#REF!</definedName>
    <definedName name="Frequency">'[6]Drop down'!$C$6:$C$13</definedName>
    <definedName name="FS">[2]INDEX!#REF!</definedName>
    <definedName name="fty">#N/A</definedName>
    <definedName name="ftyy">'[2]2500'!#REF!</definedName>
    <definedName name="fwwr">#N/A</definedName>
    <definedName name="fyu">#N/A</definedName>
    <definedName name="G">[2]INDEX!#REF!</definedName>
    <definedName name="g_range">'[2]3100'!#REF!</definedName>
    <definedName name="GA">'[2]2500'!#REF!</definedName>
    <definedName name="gaa">[4]!gaa</definedName>
    <definedName name="Gardian_WP_100g">[2]INDEX!#REF!</definedName>
    <definedName name="Gaucho_WP_50g">[2]INDEX!#REF!</definedName>
    <definedName name="GB">#N/A</definedName>
    <definedName name="gd">'[2]2500'!#REF!</definedName>
    <definedName name="gdafd">#N/A</definedName>
    <definedName name="gdfh">[4]!gdfh</definedName>
    <definedName name="gds">#N/A</definedName>
    <definedName name="GDSA">'[2]2500'!#REF!</definedName>
    <definedName name="ge">[4]!ge</definedName>
    <definedName name="GELALL">[4]!GELALL</definedName>
    <definedName name="GELALL전장2">[4]!GELALL전장2</definedName>
    <definedName name="GER">[4]!GER</definedName>
    <definedName name="GER전장">[4]!GER전장</definedName>
    <definedName name="GFA">'[2]2500'!#REF!</definedName>
    <definedName name="GFD">'[2]2500'!#REF!</definedName>
    <definedName name="gfda">'[2]3100'!#REF!</definedName>
    <definedName name="gfds">'[2]2600'!#REF!</definedName>
    <definedName name="gfee">'[2]2500'!#REF!</definedName>
    <definedName name="gfgfgf">[4]!gfgfgf</definedName>
    <definedName name="gfhn">[4]!gfhn</definedName>
    <definedName name="gfr">#N/A</definedName>
    <definedName name="gfsjjg">'[2]2500'!#REF!</definedName>
    <definedName name="gg" hidden="1">{#N/A,#N/A,TRUE,"Summary";#N/A,#N/A,TRUE,"IS";#N/A,#N/A,TRUE,"Adj";#N/A,#N/A,TRUE,"BS";#N/A,#N/A,TRUE,"CF";#N/A,#N/A,TRUE,"Debt";#N/A,#N/A,TRUE,"IRR"}</definedName>
    <definedName name="ggg">[4]!ggg</definedName>
    <definedName name="GH">'[2]2500'!#REF!</definedName>
    <definedName name="GHJ">[4]!GHJ</definedName>
    <definedName name="gjdiw">#N/A</definedName>
    <definedName name="gjer">[4]!gjer</definedName>
    <definedName name="gjkdls">#N/A</definedName>
    <definedName name="gksrmf">'[15]Non-Statistical Sampling Master'!$C$63</definedName>
    <definedName name="GO">[4]!GO</definedName>
    <definedName name="GoAssetChart">[4]!GoAssetChart</definedName>
    <definedName name="GoBack">[4]!GoBack</definedName>
    <definedName name="GoBalanceSheet">[4]!GoBalanceSheet</definedName>
    <definedName name="GoCashFlow">[4]!GoCashFlow</definedName>
    <definedName name="GoData">[4]!GoData</definedName>
    <definedName name="GoIncomeChart">[4]!GoIncomeChart</definedName>
    <definedName name="GotoMainSheet">[4]!GotoMainSheet</definedName>
    <definedName name="gqg">[4]!gqg</definedName>
    <definedName name="gr">#N/A</definedName>
    <definedName name="gre">#N/A</definedName>
    <definedName name="GTRRE">'[2]2500'!#REF!</definedName>
    <definedName name="Gueyangcin_500g">[2]INDEX!#REF!</definedName>
    <definedName name="gusg" hidden="1">{#N/A,#N/A,TRUE,"Summary";#N/A,#N/A,TRUE,"IS";#N/A,#N/A,TRUE,"Adj";#N/A,#N/A,TRUE,"BS";#N/A,#N/A,TRUE,"CF";#N/A,#N/A,TRUE,"Debt";#N/A,#N/A,TRUE,"IRR"}</definedName>
    <definedName name="gw">[4]!gw</definedName>
    <definedName name="gww">#N/A</definedName>
    <definedName name="gwwq">#N/A</definedName>
    <definedName name="gyu">'[2]2500'!#REF!</definedName>
    <definedName name="H">#N/A</definedName>
    <definedName name="H25300230">#N/A</definedName>
    <definedName name="han">[4]!han</definedName>
    <definedName name="heh">[4]!BlankMacro1</definedName>
    <definedName name="heht6">[4]!BlankMacro1</definedName>
    <definedName name="Hello">#N/A</definedName>
    <definedName name="hfdaa">[2]INDEX!#REF!</definedName>
    <definedName name="hfds">#N/A</definedName>
    <definedName name="hfe">#N/A</definedName>
    <definedName name="hffd">[2]INDEX!#REF!</definedName>
    <definedName name="hg">[4]!hg</definedName>
    <definedName name="HGF">'[2]2500'!#REF!</definedName>
    <definedName name="hgfr">#N/A</definedName>
    <definedName name="hghghghghghkf">[4]!hghghghghghkf</definedName>
    <definedName name="hgrr">[2]INDEX!#REF!</definedName>
    <definedName name="hhf">'[2]2500'!#REF!</definedName>
    <definedName name="hhg">'[2]2500'!#REF!</definedName>
    <definedName name="hhh">[4]!hhh</definedName>
    <definedName name="hhhhhhh">[4]!hhhhhhh</definedName>
    <definedName name="hhhhhhhhhhhhhhhh">[4]!hhhhhhhhhhhhhhhh</definedName>
    <definedName name="hhhjj">[4]!hhhjj</definedName>
    <definedName name="hjgs">[4]!hjgs</definedName>
    <definedName name="hjk">#N/A</definedName>
    <definedName name="HJKOL" hidden="1">#N/A</definedName>
    <definedName name="hntt">[4]!BlankMacro1</definedName>
    <definedName name="Hostathion_500ml">[2]INDEX!#REF!</definedName>
    <definedName name="hrjjsa">[4]!hrjjsa</definedName>
    <definedName name="hrwh">[4]!BlankMacro1</definedName>
    <definedName name="hserh">[4]!hserh</definedName>
    <definedName name="HSㅅㄱ">[4]!HSㅅㄱ</definedName>
    <definedName name="htgj">[4]!htgj</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huio">'[2]2500'!#REF!</definedName>
    <definedName name="hwhrh">[4]!hwhrh</definedName>
    <definedName name="hwth">[4]!BlankMacro1</definedName>
    <definedName name="I">#N/A</definedName>
    <definedName name="ID">'[2]2500'!$I$383:$I$915,'[2]2500'!$I$925:$I$948</definedName>
    <definedName name="IE">#N/A</definedName>
    <definedName name="ii" hidden="1">{#N/A,#N/A,FALSE,"UNIT";#N/A,#N/A,FALSE,"UNIT";#N/A,#N/A,FALSE,"계정"}</definedName>
    <definedName name="iii">[4]!iii</definedName>
    <definedName name="ijer">#N/A</definedName>
    <definedName name="IJHY" hidden="1">#N/A</definedName>
    <definedName name="IJU">#N/A</definedName>
    <definedName name="IJYD">'[2]2500'!#REF!</definedName>
    <definedName name="ini_button_Click">[4]!ini_button_Click</definedName>
    <definedName name="Interim">[6]Scoping!$M$40</definedName>
    <definedName name="inwon" hidden="1">{#N/A,#N/A,FALSE,"UNIT";#N/A,#N/A,FALSE,"UNIT";#N/A,#N/A,FALSE,"계정"}</definedName>
    <definedName name="ir">'[2]2600'!#REF!</definedName>
    <definedName name="ISA">[6]Scoping!$M$6</definedName>
    <definedName name="IT_depend">[6]Scoping!$M$22</definedName>
    <definedName name="ITEM">[2]INDEX!#REF!</definedName>
    <definedName name="iuiuiuiu">[4]!iuiuiuiu</definedName>
    <definedName name="iuiuiuiuiuiu">[4]!iuiuiuiuiuiu</definedName>
    <definedName name="IUUIUIUIU">[4]!IUUIUIUIU</definedName>
    <definedName name="IYRA_FMAN">[2]INDEX!$C$6*[2]INDEX!$C$8*([2]INDEX!$C$34-[2]INDEX!$C$33)/360</definedName>
    <definedName name="J">#N/A</definedName>
    <definedName name="JAEG96">[1]IS!$E$2:$E$53</definedName>
    <definedName name="jdt">[4]!BlankMacro1</definedName>
    <definedName name="jejej">[4]!BlankMacro1</definedName>
    <definedName name="jff">'[2]2500'!#REF!</definedName>
    <definedName name="jfg">[4]!jfg</definedName>
    <definedName name="jfj">'[2]2600'!#REF!</definedName>
    <definedName name="jfks">'[2]2600'!#REF!</definedName>
    <definedName name="jhbjkhkj" hidden="1">{#N/A,#N/A,TRUE,"Summary";#N/A,#N/A,TRUE,"IS";#N/A,#N/A,TRUE,"Adj";#N/A,#N/A,TRUE,"BS";#N/A,#N/A,TRUE,"CF";#N/A,#N/A,TRUE,"Debt";#N/A,#N/A,TRUE,"IRR"}</definedName>
    <definedName name="jhf">#N/A</definedName>
    <definedName name="jhjhjhjjhjh">[4]!jhjhjhjjhjh</definedName>
    <definedName name="jio">#N/A</definedName>
    <definedName name="jiy">#N/A</definedName>
    <definedName name="jjgf">'[2]2500'!#REF!</definedName>
    <definedName name="JJJJ" hidden="1">#N/A</definedName>
    <definedName name="jjk">'[2]2600'!#REF!</definedName>
    <definedName name="jk">[2]INDEX!#REF!</definedName>
    <definedName name="jkl">'[2]2600'!#REF!</definedName>
    <definedName name="jkljlkjl" hidden="1">{#N/A,#N/A,FALSE,"UNIT";#N/A,#N/A,FALSE,"UNIT";#N/A,#N/A,FALSE,"계정"}</definedName>
    <definedName name="jko">'[2]2600'!#REF!</definedName>
    <definedName name="job_run">[4]!job_run</definedName>
    <definedName name="jpyRate">10.1207</definedName>
    <definedName name="JUST">[1]IS!#REF!</definedName>
    <definedName name="JUU" hidden="1">#N/A</definedName>
    <definedName name="JUY">#N/A</definedName>
    <definedName name="jw.pl">#N/A</definedName>
    <definedName name="k" hidden="1">{"'5국공정'!$A$1:$E$128"}</definedName>
    <definedName name="KC" hidden="1">{#N/A,#N/A,FALSE,"을지 (4)";#N/A,#N/A,FALSE,"을지 (5)";#N/A,#N/A,FALSE,"을지 (6)"}</definedName>
    <definedName name="Keunilkkun_WP_250g">[2]INDEX!#REF!</definedName>
    <definedName name="khhjguyftdy">[4]!khhjguyftdy</definedName>
    <definedName name="kih">'[2]2500'!#REF!</definedName>
    <definedName name="Killper_SL_20L">[2]INDEX!#REF!</definedName>
    <definedName name="KIM">[4]!KIM</definedName>
    <definedName name="Kimanmae_3kg">[2]INDEX!#REF!</definedName>
    <definedName name="kiyh">[2]INDEX!#REF!</definedName>
    <definedName name="kjh">[4]!kjh</definedName>
    <definedName name="kjhd">#N/A</definedName>
    <definedName name="kjhg">'[2]2500'!#REF!</definedName>
    <definedName name="KJUI">#N/A</definedName>
    <definedName name="KKHG">#N/A</definedName>
    <definedName name="kkk">[4]!kkk</definedName>
    <definedName name="kkkk" hidden="1">{#N/A,"수불부",FALSE,"사급자재수불서";#N/A,"수불부",FALSE,"사급자재수불서"}</definedName>
    <definedName name="kkkkkkkkkkkkkkkkkkkkkkkkkk">[4]!kkkkkkkkkkkkkkkkkkkkkkkkkk</definedName>
    <definedName name="KN" hidden="1">{#N/A,#N/A,FALSE,"을지 (4)";#N/A,#N/A,FALSE,"을지 (5)";#N/A,#N/A,FALSE,"을지 (6)"}</definedName>
    <definedName name="L_Adjust">#N/A</definedName>
    <definedName name="L_AJE_Tot">#N/A</definedName>
    <definedName name="L_CY_Beg">#N/A</definedName>
    <definedName name="L_CY_End">#N/A</definedName>
    <definedName name="L_PY_End">#N/A</definedName>
    <definedName name="L_RJE_Tot">#N/A</definedName>
    <definedName name="LC3차서">[4]!LC3차서</definedName>
    <definedName name="LEE">'[2]2600'!#REF!</definedName>
    <definedName name="leee">#N/A</definedName>
    <definedName name="LEFT">#N/A</definedName>
    <definedName name="LEFT1">#N/A</definedName>
    <definedName name="Level">#N/A</definedName>
    <definedName name="LIBOR">#N/A</definedName>
    <definedName name="lic">#N/A</definedName>
    <definedName name="List">#N/A</definedName>
    <definedName name="List_ARPopulation">'[12]AR Drop Downs'!$I$5:$I$10</definedName>
    <definedName name="List_Curr">[12]Currency!$B$9:$B$31</definedName>
    <definedName name="List_ExpandedTesting">'[12]AR Drop Downs'!$E$5:$E$8</definedName>
    <definedName name="List_Level_Assr">[12]DropDown!$B$1:$B$4</definedName>
    <definedName name="List_LevelAssurance">'[12]AR Drop Downs'!$A$5:$A$8</definedName>
    <definedName name="List_Number_of_Exceptions_Identified">'[12]AR Drop Downs'!$K$5:$K$27</definedName>
    <definedName name="List_NumberTolerableExceptions">'[12]AR Drop Downs'!$C$5:$C$8</definedName>
    <definedName name="List_Proj_Meth">[12]DropDown!$H$1:$H$2</definedName>
    <definedName name="List_Samp_Sel">[12]DropDown!$D$1:$D$4</definedName>
    <definedName name="List_SampleSelectionMethod">'[12]AR Drop Downs'!$G$5:$G$7</definedName>
    <definedName name="LJJJ">'[2]3100'!#REF!</definedName>
    <definedName name="LK">#N/A</definedName>
    <definedName name="lkaw">#N/A</definedName>
    <definedName name="lkiolki9olkiol">[4]!lkiolki9olkiol</definedName>
    <definedName name="LKJ" hidden="1">{#N/A,#N/A,FALSE,"을지 (4)";#N/A,#N/A,FALSE,"을지 (5)";#N/A,#N/A,FALSE,"을지 (6)"}</definedName>
    <definedName name="lkjgh">[4]!lkjgh</definedName>
    <definedName name="lkjhgfbnm">[4]!lkjhgfbnm</definedName>
    <definedName name="lkjhghfd">[4]!lkjhghfd</definedName>
    <definedName name="lkjhghyufy">[4]!lkjhghyufy</definedName>
    <definedName name="lkjkj">[4]!lkjkj</definedName>
    <definedName name="LKKLKKK">[4]!LKKLKKK</definedName>
    <definedName name="lkkllkkllkkl">[4]!lkkllkkllkkl</definedName>
    <definedName name="lklklklk">[4]!lklklklk</definedName>
    <definedName name="ll" hidden="1">#N/A</definedName>
    <definedName name="lllllll">[4]!lllllll</definedName>
    <definedName name="LoE">[6]Scoping!$M$14</definedName>
    <definedName name="LoE_High">[6]Scoping!$M$17</definedName>
    <definedName name="LoE_Low">[6]Scoping!$M$15</definedName>
    <definedName name="LoE_Mod">[6]Scoping!$M$16</definedName>
    <definedName name="M">#N/A</definedName>
    <definedName name="MA">#N/A</definedName>
    <definedName name="Machine_Oil_EC">[2]INDEX!#REF!</definedName>
    <definedName name="Macro22">#N/A</definedName>
    <definedName name="Macro8">#N/A</definedName>
    <definedName name="MAIN_내용">#N/A</definedName>
    <definedName name="MakeIt">#N/A</definedName>
    <definedName name="Malix_D_3KG">[2]INDEX!#REF!</definedName>
    <definedName name="mancoz">[2]INDEX!#REF!</definedName>
    <definedName name="Manual">[6]Scoping!$M$23</definedName>
    <definedName name="MENO">#N/A</definedName>
    <definedName name="menu_button_Click">[4]!menu_button_Click</definedName>
    <definedName name="MF">#REF!</definedName>
    <definedName name="mifrang">[2]INDEX!#REF!</definedName>
    <definedName name="MIPX3">[4]!MIPX3</definedName>
    <definedName name="Misung_a_SL">[2]INDEX!#REF!</definedName>
    <definedName name="Misunng_OK_SC_250ml">[2]INDEX!#REF!</definedName>
    <definedName name="mitac">[2]INDEX!#REF!</definedName>
    <definedName name="MK정공">[2]INDEX!#REF!</definedName>
    <definedName name="mmm">[4]!mmm</definedName>
    <definedName name="mncvxjzshdffadsfcvdsfcs">[4]!mncvxjzshdffadsfcvdsfcs</definedName>
    <definedName name="Module1.매크로4">#N/A</definedName>
    <definedName name="Module1.매크로5">#N/A</definedName>
    <definedName name="Module1.매크로6">#N/A</definedName>
    <definedName name="Module1.매크로7">#N/A</definedName>
    <definedName name="MONEY">'[2]2500'!$F$21:$M$915,'[2]2500'!$F$925:$M$948</definedName>
    <definedName name="Monopho_SL_500ml">[2]INDEX!#REF!</definedName>
    <definedName name="Morning">#N/A</definedName>
    <definedName name="MR">[2]INDEX!#REF!</definedName>
    <definedName name="ms">#N/A</definedName>
    <definedName name="MS_Pulmamae_EC_500ml">[2]INDEX!#REF!</definedName>
    <definedName name="MS_speed_SC_250ml">[2]INDEX!#REF!</definedName>
    <definedName name="MTotal_PrincPaid">[2]INDEX!#REF!</definedName>
    <definedName name="myco">[2]INDEX!#REF!</definedName>
    <definedName name="Myco_WP__200g">[2]INDEX!#REF!</definedName>
    <definedName name="MYJ" hidden="1">{#N/A,#N/A,FALSE,"UNIT";#N/A,#N/A,FALSE,"UNIT";#N/A,#N/A,FALSE,"계정"}</definedName>
    <definedName name="MZ">'[2]2500'!#REF!</definedName>
    <definedName name="M당무게">#N/A</definedName>
    <definedName name="NAME">#N/A</definedName>
    <definedName name="NEW">[4]!NEW</definedName>
    <definedName name="newname">#REF!</definedName>
    <definedName name="NextCell">[4]!NextCell</definedName>
    <definedName name="njk">#N/A</definedName>
    <definedName name="nn">[4]!nn</definedName>
    <definedName name="nnn">[4]!nnn</definedName>
    <definedName name="NO">#N/A</definedName>
    <definedName name="NoInterim">[6]Scoping!$M$38</definedName>
    <definedName name="NOMUBY">#REF!</definedName>
    <definedName name="nonamae1200">[2]INDEX!#REF!</definedName>
    <definedName name="Nonanmae_GR_3kg">[2]INDEX!#REF!</definedName>
    <definedName name="NoYes">'[6]Drop down'!$Q$6:$Q$7</definedName>
    <definedName name="NSProjectionMethodIndex">'[16]Non-Statistical Sampling Master'!$C$63</definedName>
    <definedName name="NSRequiredLevelOfEvidenceItems">'[16]Non-Statistical Sampling Master'!$C$50:$C$53</definedName>
    <definedName name="nsrr">[4]!BlankMacro1</definedName>
    <definedName name="NSTargetedTestingItems">'[16]Two Step Revenue Testing Master'!$E$47</definedName>
    <definedName name="NSTolerableMisstatementEqual">#REF!</definedName>
    <definedName name="ntw">#N/A</definedName>
    <definedName name="O">#N/A</definedName>
    <definedName name="OA">#N/A</definedName>
    <definedName name="OB">#N/A</definedName>
    <definedName name="od">[2]INDEX!#REF!</definedName>
    <definedName name="of">'[2]3100'!#REF!</definedName>
    <definedName name="oiioioi">[4]!oiioioi</definedName>
    <definedName name="OIIOIOIOI">[4]!OIIOIOIOI</definedName>
    <definedName name="ok">#N/A</definedName>
    <definedName name="okju">#N/A</definedName>
    <definedName name="okjyf">'[2]2500'!#REF!</definedName>
    <definedName name="oku">'[2]3100'!#REF!</definedName>
    <definedName name="olp">#N/A</definedName>
    <definedName name="on">#N/A</definedName>
    <definedName name="ONE">#N/A</definedName>
    <definedName name="oo">'[2]3100'!#REF!</definedName>
    <definedName name="OptionButton21_Click">[4]!OptionButton21_Click</definedName>
    <definedName name="Order" hidden="1">0</definedName>
    <definedName name="Orydan_G">[2]INDEX!#REF!</definedName>
    <definedName name="OT">#N/A</definedName>
    <definedName name="ownership" hidden="1">{#N/A,#N/A,TRUE,"Summary";#N/A,#N/A,TRUE,"IS";#N/A,#N/A,TRUE,"Adj";#N/A,#N/A,TRUE,"BS";#N/A,#N/A,TRUE,"CF";#N/A,#N/A,TRUE,"Debt";#N/A,#N/A,TRUE,"IRR"}</definedName>
    <definedName name="P_?">#N/A</definedName>
    <definedName name="P_BS">#N/A</definedName>
    <definedName name="pay" hidden="1">[2]INDEX!#REF!</definedName>
    <definedName name="payment1" hidden="1">'[2]3100'!#REF!</definedName>
    <definedName name="PBC">#N/A</definedName>
    <definedName name="PBC_List">#N/A</definedName>
    <definedName name="PCAOB">[6]Scoping!$M$12</definedName>
    <definedName name="Peropal_WP_500g">[2]INDEX!#REF!</definedName>
    <definedName name="PICTURE">'[2]3100'!#REF!</definedName>
    <definedName name="PICTURE2">'[2]3100'!#REF!</definedName>
    <definedName name="PIE">'[16]Two Step Revenue Testing Master'!$C$87</definedName>
    <definedName name="PJT_94">#N/A</definedName>
    <definedName name="PJT_95">'[2]2500'!#REF!</definedName>
    <definedName name="PJT_JAEG96">[1]IS!$A$2:$A$53</definedName>
    <definedName name="PJT_SACO96">[1]IS!$A$2:$A$1201</definedName>
    <definedName name="PJT_SACONUGE">[1]IS!$A$2:$A$1345</definedName>
    <definedName name="pker">#N/A</definedName>
    <definedName name="PL">#N/A</definedName>
    <definedName name="plkh">'[2]2500'!#REF!</definedName>
    <definedName name="plku">#N/A</definedName>
    <definedName name="plNote">[4]!plNote</definedName>
    <definedName name="PNAME">#N/A</definedName>
    <definedName name="poiuytrewq">[4]!poiuytrewq</definedName>
    <definedName name="poopop">[4]!poopop</definedName>
    <definedName name="Pop_Sig_T">'[12]Non-Statistical Sampling'!$F$26</definedName>
    <definedName name="Poppy">#N/A</definedName>
    <definedName name="pp">'[2]1100'!#REF!</definedName>
    <definedName name="pppppp">'[2]1100'!#REF!</definedName>
    <definedName name="pppppppp">#N/A</definedName>
    <definedName name="PPPPPPPPPP">#N/A</definedName>
    <definedName name="preN">[2]INDEX!#REF!</definedName>
    <definedName name="PRI">#N/A</definedName>
    <definedName name="_xlnm.Print_Area" localSheetId="1">'7210'!$A$1:$D$223</definedName>
    <definedName name="_xlnm.Print_Area">[17]합손!#REF!</definedName>
    <definedName name="PRINT_AREA_MI">#REF!</definedName>
    <definedName name="_xlnm.Print_Titles">#REF!</definedName>
    <definedName name="Print_Titles_MI">#REF!</definedName>
    <definedName name="prj">#N/A</definedName>
    <definedName name="PRO">#N/A</definedName>
    <definedName name="proj">#N/A</definedName>
    <definedName name="Prowang_EC_250ml">[2]INDEX!#REF!</definedName>
    <definedName name="PRT">[1]IS!$B$4:$N$34</definedName>
    <definedName name="PRT6AL5AR40">[4]!PRT6AL5AR40</definedName>
    <definedName name="PRT6AU5BA41">[4]!PRT6AU5BA41</definedName>
    <definedName name="PRT6B5H25">[4]!PRT6B5H25</definedName>
    <definedName name="PRT6BD5BK32">[4]!PRT6BD5BK32</definedName>
    <definedName name="prt6bn252bt288">[4]!prt6bn252bt288</definedName>
    <definedName name="prt6bn46bt82">'[18]2600'!prt6bn46bt82</definedName>
    <definedName name="PRT6BN5BT41">'[18]2600'!PRT6BN5BT41</definedName>
    <definedName name="prt6bv7cc30">'[18]2600'!prt6bv7cc30</definedName>
    <definedName name="prt6cf5cl37">[4]!prt6cf5cl37</definedName>
    <definedName name="prt6co5cs41">[4]!prt6co5cs41</definedName>
    <definedName name="prt6cv5dg33">[4]!prt6cv5dg33</definedName>
    <definedName name="PRT6K31U52">[4]!PRT6K31U52</definedName>
    <definedName name="PRT6K4U25">[4]!PRT6K4U25</definedName>
    <definedName name="PRT6K57W79">[4]!PRT6K57W79</definedName>
    <definedName name="PRT6K85U107">[4]!PRT6K85U107</definedName>
    <definedName name="PRT6X4AI25">[4]!PRT6X4AI25</definedName>
    <definedName name="PY">[4]!PY</definedName>
    <definedName name="PY_Accounts_Receivable">#N/A</definedName>
    <definedName name="PY_Cash_Div_Dec">'[2]2600'!#REF!</definedName>
    <definedName name="PY_Current_Liabilities">'[9]Balance Sheet'!#REF!</definedName>
    <definedName name="PY_Depreciation">'[2]2600'!#REF!</definedName>
    <definedName name="PY_Intangible_Assets">'[9]Balance Sheet'!#REF!</definedName>
    <definedName name="PY_Interest_Expense">'[9]Income Statement'!#REF!</definedName>
    <definedName name="PY_Market_Value_of_Equity">'[2]2600'!#REF!</definedName>
    <definedName name="PY_Marketable_Sec">'[9]Balance Sheet'!#REF!</definedName>
    <definedName name="PY_Operating_Inc">'[2]2600'!#REF!</definedName>
    <definedName name="PY_Other_Curr_Assets">#N/A</definedName>
    <definedName name="PY_Other_Exp">'[2]2600'!#REF!</definedName>
    <definedName name="PY_Other_LT_Assets">#N/A</definedName>
    <definedName name="PY_Other_LT_Liabilities">#N/A</definedName>
    <definedName name="PY_Selling">'[2]2600'!#REF!</definedName>
    <definedName name="PY_Tangible_Net_Worth">'[2]2600'!#REF!</definedName>
    <definedName name="PY_Taxes">'[9]Income Statement'!#REF!</definedName>
    <definedName name="PY_TOTAL_ASSETS">#N/A</definedName>
    <definedName name="PY_Weighted_Average">'[2]2600'!#REF!</definedName>
    <definedName name="PY_Working_Capital">'[2]2600'!#REF!</definedName>
    <definedName name="PY_단기차입금">#N/A</definedName>
    <definedName name="PY_매입채무">#N/A</definedName>
    <definedName name="PY_사채">#N/A</definedName>
    <definedName name="PY_유동성장기부채">#N/A</definedName>
    <definedName name="PY_장기차입금">#N/A</definedName>
    <definedName name="PY2_Accounts_Receivable">#N/A</definedName>
    <definedName name="PY2_Cash_Div_Dec">'[2]2600'!#REF!</definedName>
    <definedName name="PY2_Current_Liabilities">'[9]Balance Sheet'!#REF!</definedName>
    <definedName name="PY2_Depreciation">'[2]2600'!#REF!</definedName>
    <definedName name="PY2_Intangible_Assets">'[9]Balance Sheet'!#REF!</definedName>
    <definedName name="PY2_Interest_Expense">'[9]Income Statement'!#REF!</definedName>
    <definedName name="PY2_Marketable_Sec">'[9]Balance Sheet'!#REF!</definedName>
    <definedName name="PY2_Operating_Inc">'[2]2600'!#REF!</definedName>
    <definedName name="PY2_Other_Curr_Assets">#N/A</definedName>
    <definedName name="PY2_Other_Exp.">'[2]2600'!#REF!</definedName>
    <definedName name="PY2_Other_LT_Assets">#N/A</definedName>
    <definedName name="PY2_Other_LT_Liabilities">#N/A</definedName>
    <definedName name="PY2_Selling">'[2]2600'!#REF!</definedName>
    <definedName name="PY2_Tangible_Net_Worth">'[2]2600'!#REF!</definedName>
    <definedName name="PY2_Taxes">'[9]Income Statement'!#REF!</definedName>
    <definedName name="PY2_TOTAL_ASSETS">#N/A</definedName>
    <definedName name="PY2_Weighted_Average">'[2]2600'!#REF!</definedName>
    <definedName name="PY2_Working_Capital">'[2]2600'!#REF!</definedName>
    <definedName name="PY2_단기차입금">#N/A</definedName>
    <definedName name="PY2_매입채무">#N/A</definedName>
    <definedName name="PY2_사채">#N/A</definedName>
    <definedName name="PY2_유동성장기부채">#N/A</definedName>
    <definedName name="PY2_장기차입금">#N/A</definedName>
    <definedName name="q">#N/A</definedName>
    <definedName name="QAW" hidden="1">{#N/A,#N/A,FALSE,"을지 (4)";#N/A,#N/A,FALSE,"을지 (5)";#N/A,#N/A,FALSE,"을지 (6)"}</definedName>
    <definedName name="QE" hidden="1">{#N/A,#N/A,FALSE,"초도품";#N/A,#N/A,FALSE,"초도품 (2)";#N/A,#N/A,FALSE,"초도품 (3)";#N/A,#N/A,FALSE,"초도품 (4)";#N/A,#N/A,FALSE,"초도품 (5)";#N/A,#N/A,FALSE,"초도품 (6)"}</definedName>
    <definedName name="qhrq">[4]!BlankMacro1</definedName>
    <definedName name="qqq" hidden="1">{#N/A,#N/A,FALSE,"BS";#N/A,#N/A,FALSE,"PL";#N/A,#N/A,FALSE,"처분";#N/A,#N/A,FALSE,"현금";#N/A,#N/A,FALSE,"매출";#N/A,#N/A,FALSE,"원가";#N/A,#N/A,FALSE,"경영"}</definedName>
    <definedName name="qqqq">[4]!qqqq</definedName>
    <definedName name="QQQQQ" hidden="1">{#N/A,#N/A,FALSE,"UNIT";#N/A,#N/A,FALSE,"UNIT";#N/A,#N/A,FALSE,"계정"}</definedName>
    <definedName name="QQQQQQWWWWWWW">[4]!QQQQQQWWWWWWW</definedName>
    <definedName name="qqw">'[2]3100'!#REF!</definedName>
    <definedName name="qs">#N/A</definedName>
    <definedName name="qss">#N/A</definedName>
    <definedName name="QSUM">#N/A</definedName>
    <definedName name="quit_button_Click">[4]!quit_button_Click</definedName>
    <definedName name="qw">#N/A</definedName>
    <definedName name="QWA" hidden="1">{#N/A,#N/A,FALSE,"을지 (4)";#N/A,#N/A,FALSE,"을지 (5)";#N/A,#N/A,FALSE,"을지 (6)"}</definedName>
    <definedName name="qwd">#N/A</definedName>
    <definedName name="qwe">[4]!qwe</definedName>
    <definedName name="R_">#N/A</definedName>
    <definedName name="R_COVER" hidden="1">{#N/A,#N/A,FALSE,"단축1";#N/A,#N/A,FALSE,"단축2";#N/A,#N/A,FALSE,"단축3";#N/A,#N/A,FALSE,"장축";#N/A,#N/A,FALSE,"4WD"}</definedName>
    <definedName name="RAA">'[2]2500'!#REF!</definedName>
    <definedName name="raffd">#N/A</definedName>
    <definedName name="range">#N/A</definedName>
    <definedName name="rate12">#N/A</definedName>
    <definedName name="RE">#N/A</definedName>
    <definedName name="reportP2">[4]!reportP2</definedName>
    <definedName name="reportPl">[4]!reportPl</definedName>
    <definedName name="RERER">[4]!RERER</definedName>
    <definedName name="Reset">#N/A</definedName>
    <definedName name="Residual_difference">#N/A</definedName>
    <definedName name="result">#N/A</definedName>
    <definedName name="Review">[6]Scoping!$M$32</definedName>
    <definedName name="REW">'[2]2500'!#REF!</definedName>
    <definedName name="REWQ">'[2]2500'!#REF!</definedName>
    <definedName name="rews" hidden="1">#N/A</definedName>
    <definedName name="RIGHT">#N/A</definedName>
    <definedName name="risj">[2]INDEX!#REF!</definedName>
    <definedName name="RISK내용" hidden="1">{#N/A,#N/A,FALSE,"UNIT";#N/A,#N/A,FALSE,"UNIT";#N/A,#N/A,FALSE,"계정"}</definedName>
    <definedName name="rje">'[2]2600'!#REF!</definedName>
    <definedName name="rjeiw">#N/A</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ovral_wp_500g">[2]INDEX!#REF!</definedName>
    <definedName name="rPghlr" hidden="1">{#N/A,#N/A,FALSE,"기술료 비교"}</definedName>
    <definedName name="RPRI1">#N/A</definedName>
    <definedName name="RPRI2">#N/A</definedName>
    <definedName name="RPRI3">#N/A</definedName>
    <definedName name="RPRI4">#N/A</definedName>
    <definedName name="RPRI5">#N/A</definedName>
    <definedName name="RPRI6">#N/A</definedName>
    <definedName name="rr">#N/A</definedName>
    <definedName name="RR.BRAKE" hidden="1">{#N/A,#N/A,FALSE,"단축1";#N/A,#N/A,FALSE,"단축2";#N/A,#N/A,FALSE,"단축3";#N/A,#N/A,FALSE,"장축";#N/A,#N/A,FALSE,"4WD"}</definedName>
    <definedName name="RR.BRK" hidden="1">{#N/A,#N/A,FALSE,"단축1";#N/A,#N/A,FALSE,"단축2";#N/A,#N/A,FALSE,"단축3";#N/A,#N/A,FALSE,"장축";#N/A,#N/A,FALSE,"4WD"}</definedName>
    <definedName name="RRRRR">[4]!RRRRR</definedName>
    <definedName name="rtjrt">[4]!BlankMacro1</definedName>
    <definedName name="RTN">#N/A</definedName>
    <definedName name="RW">'[2]2500'!#REF!</definedName>
    <definedName name="rwf">#N/A</definedName>
    <definedName name="RWQ">#N/A</definedName>
    <definedName name="rww">'[2]2500'!#REF!</definedName>
    <definedName name="s" hidden="1">{#N/A,#N/A,FALSE,"BS";#N/A,#N/A,FALSE,"PL";#N/A,#N/A,FALSE,"처분";#N/A,#N/A,FALSE,"현금";#N/A,#N/A,FALSE,"매출";#N/A,#N/A,FALSE,"원가";#N/A,#N/A,FALSE,"경영"}</definedName>
    <definedName name="SA">#N/A</definedName>
    <definedName name="SACO96">[1]IS!$W$2:$W$1201</definedName>
    <definedName name="SACO96_SALE_NOW">[1]IS!$H$2:$H$1201</definedName>
    <definedName name="SACONUGE">[1]IS!$D$2:$D$1345</definedName>
    <definedName name="SALE_SACO96">[1]IS!$H$2:$H$1201</definedName>
    <definedName name="Samp_TM_Exp_Diff">'[12]Non-Statistical Sampling'!#REF!</definedName>
    <definedName name="Sampled">#REF!</definedName>
    <definedName name="SAPBEXrevision" hidden="1">1</definedName>
    <definedName name="SAPBEXsysID" hidden="1">"BWP"</definedName>
    <definedName name="SAPBEXwbID" hidden="1">"42EOBBR0ESV7SIVXR0TWAHCYG"</definedName>
    <definedName name="SB">#N/A</definedName>
    <definedName name="Scala_500g__WP">[2]INDEX!#REF!</definedName>
    <definedName name="sdds">[4]!sdds</definedName>
    <definedName name="SELHAP">#N/A</definedName>
    <definedName name="SELWOL">#N/A</definedName>
    <definedName name="ser">#N/A</definedName>
    <definedName name="SGEPRI">#N/A</definedName>
    <definedName name="SGLPRI">#N/A</definedName>
    <definedName name="SGMPRI">#N/A</definedName>
    <definedName name="SGPRI">#N/A</definedName>
    <definedName name="sheet" hidden="1">{#N/A,#N/A,FALSE,"UNIT";#N/A,#N/A,FALSE,"UNIT";#N/A,#N/A,FALSE,"계정"}</definedName>
    <definedName name="sheet2">CELL("filename")</definedName>
    <definedName name="Silbaco__WP_100g">[2]INDEX!#REF!</definedName>
    <definedName name="Solaga_GR_1kg">[2]INDEX!#REF!</definedName>
    <definedName name="SportakEC_20ml">[2]INDEX!#REF!</definedName>
    <definedName name="Spredaer_SL">[2]INDEX!#REF!</definedName>
    <definedName name="SSD" hidden="1">{#N/A,#N/A,FALSE,"을지 (4)";#N/A,#N/A,FALSE,"을지 (5)";#N/A,#N/A,FALSE,"을지 (6)"}</definedName>
    <definedName name="sss">[4]!sss</definedName>
    <definedName name="ssss">'[2]2500'!#REF!</definedName>
    <definedName name="sssss">#REF!</definedName>
    <definedName name="ST">'[2]3100'!#REF!</definedName>
    <definedName name="Strat_1_Def">'[12]Non-Statistical Sampling'!#REF!</definedName>
    <definedName name="Strat_1_It">'[12]Non-Statistical Sampling'!#REF!</definedName>
    <definedName name="Strat_1_T">'[12]Non-Statistical Sampling'!#REF!</definedName>
    <definedName name="Strat_2_Def">'[12]Non-Statistical Sampling'!#REF!</definedName>
    <definedName name="Strat_2_It">'[12]Non-Statistical Sampling'!#REF!</definedName>
    <definedName name="Strat_2_T">'[12]Non-Statistical Sampling'!#REF!</definedName>
    <definedName name="Strat_Def">'[12]Non-Statistical Sampling'!#REF!</definedName>
    <definedName name="Strat_T_It">'[12]Non-Statistical Sampling'!#REF!</definedName>
    <definedName name="Strat_T_T">'[12]Non-Statistical Sampling'!#REF!</definedName>
    <definedName name="Suhosin_200g">[2]INDEX!#REF!</definedName>
    <definedName name="SUM">#N/A</definedName>
    <definedName name="Supermae_GR_3kg">[2]INDEX!#REF!</definedName>
    <definedName name="SW가능">[4]!SW가능</definedName>
    <definedName name="sw사용가능2">[4]!sw사용가능2</definedName>
    <definedName name="TABLE">[2]INDEX!#REF!</definedName>
    <definedName name="TABLE_10">[2]INDEX!#REF!</definedName>
    <definedName name="TABLE_11">[2]INDEX!#REF!</definedName>
    <definedName name="TABLE_12">[2]INDEX!#REF!</definedName>
    <definedName name="TABLE_13">[2]INDEX!#REF!</definedName>
    <definedName name="TABLE_14">[2]INDEX!#REF!</definedName>
    <definedName name="TABLE_15">[2]INDEX!#REF!</definedName>
    <definedName name="TABLE_16">[2]INDEX!#REF!</definedName>
    <definedName name="TABLE_17">[2]INDEX!#REF!</definedName>
    <definedName name="TABLE_18">[2]INDEX!#REF!</definedName>
    <definedName name="TABLE_19">[2]INDEX!#REF!</definedName>
    <definedName name="TABLE_2">[2]INDEX!#REF!</definedName>
    <definedName name="TABLE_20">[2]INDEX!#REF!</definedName>
    <definedName name="TABLE_21">[2]INDEX!#REF!</definedName>
    <definedName name="TABLE_22">[2]INDEX!#REF!</definedName>
    <definedName name="TABLE_23">[2]INDEX!#REF!</definedName>
    <definedName name="TABLE_24">[2]INDEX!#REF!</definedName>
    <definedName name="TABLE_3">[2]INDEX!#REF!</definedName>
    <definedName name="TABLE_4">[2]INDEX!#REF!</definedName>
    <definedName name="TABLE_5">[2]INDEX!#REF!</definedName>
    <definedName name="TABLE_6">[2]INDEX!#REF!</definedName>
    <definedName name="TABLE_7">[2]INDEX!#REF!</definedName>
    <definedName name="TABLE_8">[2]INDEX!#REF!</definedName>
    <definedName name="TABLE_9">[2]INDEX!#REF!</definedName>
    <definedName name="tasEC500">[2]INDEX!#REF!</definedName>
    <definedName name="tasWP200">[2]INDEX!#REF!</definedName>
    <definedName name="tasWP500">[2]INDEX!#REF!</definedName>
    <definedName name="teaa">'[2]2500'!#REF!</definedName>
    <definedName name="teq">'[2]2600'!#REF!</definedName>
    <definedName name="tere">'[2]2600'!#REF!</definedName>
    <definedName name="test">[1]BS!$A$2:$O$3177</definedName>
    <definedName name="Test_OE">[6]Scoping!$M$25</definedName>
    <definedName name="Test_Targ">'[12]Non-Statistical Sampling'!$Y$26</definedName>
    <definedName name="TEST0">#N/A</definedName>
    <definedName name="TEST1">#N/A</definedName>
    <definedName name="TESTHKEY">#N/A</definedName>
    <definedName name="TESTKEYS">#N/A</definedName>
    <definedName name="TESTVKEY">#N/A</definedName>
    <definedName name="tew">'[2]3100'!#REF!</definedName>
    <definedName name="teww" hidden="1">#N/A</definedName>
    <definedName name="tewwwf">#N/A</definedName>
    <definedName name="TextRefCopy1">#REF!</definedName>
    <definedName name="TextRefCopy10">#REF!</definedName>
    <definedName name="TextRefCopy11">#REF!</definedName>
    <definedName name="TextRefCopy12">#N/A</definedName>
    <definedName name="TextRefCopy2">#N/A</definedName>
    <definedName name="TextRefCopy21">[19]유형자산!$J$53</definedName>
    <definedName name="TextRefCopy3">'[2]1300'!#REF!</definedName>
    <definedName name="TextRefCopy4">#REF!</definedName>
    <definedName name="TextRefCopy5">#N/A</definedName>
    <definedName name="TextRefCopy6">#N/A</definedName>
    <definedName name="TextRefCopy7">#REF!</definedName>
    <definedName name="TextRefCopy8">[20]F456!#REF!</definedName>
    <definedName name="TextRefCopyRangeCount" hidden="1">1</definedName>
    <definedName name="tfde">'[2]2500'!#REF!</definedName>
    <definedName name="tggf" hidden="1">#N/A</definedName>
    <definedName name="TGY">#N/A</definedName>
    <definedName name="tgyo">#N/A</definedName>
    <definedName name="ThanhXuan110">'[2]2500'!#REF!</definedName>
    <definedName name="Thiolix__3Kg">[2]INDEX!#REF!</definedName>
    <definedName name="Thiolix_EC_500ml">[2]INDEX!#REF!</definedName>
    <definedName name="Threshold">#N/A</definedName>
    <definedName name="thuriwp200">[2]INDEX!#REF!</definedName>
    <definedName name="TM">[4]!TM</definedName>
    <definedName name="TORSION" hidden="1">{#N/A,#N/A,FALSE,"단축1";#N/A,#N/A,FALSE,"단축2";#N/A,#N/A,FALSE,"단축3";#N/A,#N/A,FALSE,"장축";#N/A,#N/A,FALSE,"4WD"}</definedName>
    <definedName name="TOTAL">#N/A</definedName>
    <definedName name="Total_Debt">'[2]2600'!$X$125+'[2]2600'!$X$139</definedName>
    <definedName name="TOTAL1">#N/A</definedName>
    <definedName name="TOTAL2">#N/A</definedName>
    <definedName name="TOTAL3">#N/A</definedName>
    <definedName name="tranche_ATax02_SUM">#N/A</definedName>
    <definedName name="tranche_CFSum">#N/A</definedName>
    <definedName name="tranche02_CF">#N/A</definedName>
    <definedName name="tre">[2]INDEX!#REF!</definedName>
    <definedName name="tree">[2]INDEX!#REF!</definedName>
    <definedName name="treg">[4]!treg</definedName>
    <definedName name="Trend">#N/A</definedName>
    <definedName name="trizol100">[2]INDEX!#REF!</definedName>
    <definedName name="TT" hidden="1">{#N/A,#N/A,FALSE,"UNIT";#N/A,#N/A,FALSE,"UNIT";#N/A,#N/A,FALSE,"계정"}</definedName>
    <definedName name="TTDesiredLevelOfEvidenceItems">'[16]Global Data'!$B$92:$B$95</definedName>
    <definedName name="tthh" hidden="1">#N/A</definedName>
    <definedName name="TTTJ">#N/A</definedName>
    <definedName name="TTTR">#N/A</definedName>
    <definedName name="tw">'[2]3100'!#REF!</definedName>
    <definedName name="TwelveMonthMovingAvg">AVERAGE([2]INDEX!XFD1:XFD1048566)</definedName>
    <definedName name="TWO">#N/A</definedName>
    <definedName name="Two_Out_GR_3kg">[2]INDEX!#REF!</definedName>
    <definedName name="TwoStepMisstatementIdentified">'[16]Two Step Revenue Testing Master'!$C$85</definedName>
    <definedName name="TwoStepTolerableEstMisstmtCalc">'[16]Two Step Revenue Testing Master'!$T$45</definedName>
    <definedName name="tws">#N/A</definedName>
    <definedName name="TY">#N/A</definedName>
    <definedName name="Type">[6]Scoping!$M$20</definedName>
    <definedName name="TypeTest">'[6]Drop down'!$K$6:$K$9</definedName>
    <definedName name="tyui">#N/A</definedName>
    <definedName name="u">[4]!u</definedName>
    <definedName name="uhg">#N/A</definedName>
    <definedName name="uhgt">'[2]2500'!#REF!</definedName>
    <definedName name="uhyt">#N/A</definedName>
    <definedName name="UNIT">#N/A</definedName>
    <definedName name="Update_Else">[6]Scoping!$M$42</definedName>
    <definedName name="urt">#N/A</definedName>
    <definedName name="US">[6]Scoping!$M$9</definedName>
    <definedName name="USD">#N/A</definedName>
    <definedName name="usdRate">1043.8</definedName>
    <definedName name="UYT">#N/A</definedName>
    <definedName name="va">'[2]2600'!#REF!</definedName>
    <definedName name="vbhfhfg">[4]!vbhfhfg</definedName>
    <definedName name="vd">'[2]2600'!#REF!</definedName>
    <definedName name="vddd">#N/A</definedName>
    <definedName name="vdfeww">#N/A</definedName>
    <definedName name="vdweww">[2]INDEX!#REF!</definedName>
    <definedName name="vdww">[2]INDEX!#REF!</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wp">#N/A</definedName>
    <definedName name="vv">[4]!vv</definedName>
    <definedName name="vvvvvvvvvvvvvvvvvvvvvvvvvvvv">[4]!vvvvvvvvvvvvvvvvvvvvvvvvvvvv</definedName>
    <definedName name="w" hidden="1">{#N/A,#N/A,FALSE,"BS";#N/A,#N/A,FALSE,"PL";#N/A,#N/A,FALSE,"처분";#N/A,#N/A,FALSE,"현금";#N/A,#N/A,FALSE,"매출";#N/A,#N/A,FALSE,"원가";#N/A,#N/A,FALSE,"경영"}</definedName>
    <definedName name="wa">'[2]2500'!#REF!</definedName>
    <definedName name="wanbang">[2]INDEX!#REF!</definedName>
    <definedName name="wc">[2]INDEX!#REF!</definedName>
    <definedName name="wdd" hidden="1">{#N/A,#N/A,FALSE,"UNIT";#N/A,#N/A,FALSE,"UNIT";#N/A,#N/A,FALSE,"계정"}</definedName>
    <definedName name="WE">#N/A</definedName>
    <definedName name="WEW">'[2]2500'!#REF!</definedName>
    <definedName name="whr">[4]!BlankMacro1</definedName>
    <definedName name="wjd" hidden="1">{#N/A,#N/A,FALSE,"BS";#N/A,#N/A,FALSE,"PL";#N/A,#N/A,FALSE,"처분";#N/A,#N/A,FALSE,"현금";#N/A,#N/A,FALSE,"매출";#N/A,#N/A,FALSE,"원가";#N/A,#N/A,FALSE,"경영"}</definedName>
    <definedName name="WQ" hidden="1">{#N/A,#N/A,FALSE,"을지 (4)";#N/A,#N/A,FALSE,"을지 (5)";#N/A,#N/A,FALSE,"을지 (6)"}</definedName>
    <definedName name="wre">#N/A</definedName>
    <definedName name="WriteIntoMainSheet">[4]!WriteIntoMainSheet</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wwg">'[2]3100'!#REF!</definedName>
    <definedName name="wwlwlw">'[2]2500'!#REF!</definedName>
    <definedName name="wws">'[2]3100'!#REF!</definedName>
    <definedName name="WWWWWPPPPPPP">[4]!WWWWWPPPPPPP</definedName>
    <definedName name="X">#N/A</definedName>
    <definedName name="XDS" hidden="1">{#N/A,#N/A,FALSE,"을지 (4)";#N/A,#N/A,FALSE,"을지 (5)";#N/A,#N/A,FALSE,"을지 (6)"}</definedName>
    <definedName name="XIII._당기순이익">'[2]2500'!#REF!</definedName>
    <definedName name="XREF_COLUMN_1" hidden="1">#N/A</definedName>
    <definedName name="XREF_COLUMN_10" hidden="1">[21]BS!#REF!</definedName>
    <definedName name="XREF_COLUMN_11" hidden="1">[21]BS!#REF!</definedName>
    <definedName name="XREF_COLUMN_110" hidden="1">[22]감가상각LS!#REF!</definedName>
    <definedName name="XREF_COLUMN_12" hidden="1">[21]BS!#REF!</definedName>
    <definedName name="XREF_COLUMN_13" hidden="1">[21]BS!#REF!</definedName>
    <definedName name="XREF_COLUMN_14" hidden="1">[2]INDEX!#REF!</definedName>
    <definedName name="XREF_COLUMN_15" hidden="1">#REF!</definedName>
    <definedName name="XREF_COLUMN_16" hidden="1">#N/A</definedName>
    <definedName name="XREF_COLUMN_17" hidden="1">[21]BS!#REF!</definedName>
    <definedName name="XREF_COLUMN_18" hidden="1">#N/A</definedName>
    <definedName name="XREF_COLUMN_19" hidden="1">[23]WTB!#REF!</definedName>
    <definedName name="XREF_COLUMN_2" hidden="1">[2]INDEX!#REF!</definedName>
    <definedName name="XREF_COLUMN_20" hidden="1">#N/A</definedName>
    <definedName name="XREF_COLUMN_21" hidden="1">[2]INDEX!#REF!</definedName>
    <definedName name="XREF_COLUMN_22" hidden="1">'[24]LS (2)'!$D$1:$D$65536</definedName>
    <definedName name="XREF_COLUMN_23" hidden="1">#N/A</definedName>
    <definedName name="XREF_COLUMN_24" hidden="1">'[24]건물 (2)'!$K$1:$K$65536</definedName>
    <definedName name="XREF_COLUMN_25" hidden="1">'[24]유선방송설비 (2)'!$D$1:$D$65536</definedName>
    <definedName name="XREF_COLUMN_26" hidden="1">'[24]차량운반구 (2)'!$D$1:$D$65536</definedName>
    <definedName name="XREF_COLUMN_27" hidden="1">'[24]전송선로설비 (2)'!$D$1:$D$65536</definedName>
    <definedName name="XREF_COLUMN_28" hidden="1">'[24]집기비품 (2)'!$D$1:$D$65536</definedName>
    <definedName name="XREF_COLUMN_29" hidden="1">'[24]공구기구 (2)'!$D$1:$D$65536</definedName>
    <definedName name="XREF_COLUMN_3" hidden="1">#REF!</definedName>
    <definedName name="XREF_COLUMN_30" hidden="1">'[24]건물 (2)'!$I$1:$I$65536</definedName>
    <definedName name="XREF_COLUMN_31" hidden="1">'[24]유선방송설비 (2)'!$I$1:$I$65536</definedName>
    <definedName name="XREF_COLUMN_32" hidden="1">'[2]1100'!#REF!</definedName>
    <definedName name="XREF_COLUMN_33" hidden="1">'[24]전송선로설비 (2)'!$I$1:$I$65536</definedName>
    <definedName name="XREF_COLUMN_34" hidden="1">#N/A</definedName>
    <definedName name="XREF_COLUMN_35" hidden="1">'[24]공구기구 (2)'!$I$1:$I$65536</definedName>
    <definedName name="XREF_COLUMN_36" hidden="1">#N/A</definedName>
    <definedName name="XREF_COLUMN_37" hidden="1">#REF!</definedName>
    <definedName name="XREF_COLUMN_38" hidden="1">'[24]구축물 (2)'!$M$1:$M$65536</definedName>
    <definedName name="XREF_COLUMN_39" hidden="1">'[24]유선방송설비 (2)'!$O$1:$O$65536</definedName>
    <definedName name="XREF_COLUMN_4" hidden="1">'[2]1100'!#REF!</definedName>
    <definedName name="XREF_COLUMN_40" hidden="1">'[24]차량운반구 (2)'!$O$1:$O$65536</definedName>
    <definedName name="XREF_COLUMN_41" hidden="1">'[24]전송선로설비 (2)'!$O$1:$O$65536</definedName>
    <definedName name="XREF_COLUMN_42" hidden="1">'[24]집기비품 (2)'!$O$1:$O$65536</definedName>
    <definedName name="XREF_COLUMN_43" hidden="1">'[24]컨버터 (2)'!$M$1:$M$65536</definedName>
    <definedName name="XREF_COLUMN_44" hidden="1">'[24]공구기구 (2)'!$O$1:$O$65536</definedName>
    <definedName name="XREF_COLUMN_45" hidden="1">'[24]건물 (2)'!$R$1:$R$65536</definedName>
    <definedName name="XREF_COLUMN_46" hidden="1">#REF!</definedName>
    <definedName name="XREF_COLUMN_47" hidden="1">'[24]구축물 (2)'!$O$1:$O$65536</definedName>
    <definedName name="XREF_COLUMN_48" hidden="1">'[24]유선방송설비 (2)'!$Q$1:$Q$65536</definedName>
    <definedName name="XREF_COLUMN_49" hidden="1">'[24]차량운반구 (2)'!$Q$1:$Q$65536</definedName>
    <definedName name="XREF_COLUMN_5" hidden="1">'[2]1100'!#REF!</definedName>
    <definedName name="XREF_COLUMN_50" hidden="1">'[24]전송선로설비 (2)'!$Q$1:$Q$65536</definedName>
    <definedName name="XREF_COLUMN_51" hidden="1">'[24]컨버터 (2)'!$O$1:$O$65536</definedName>
    <definedName name="XREF_COLUMN_52" hidden="1">'[24]집기비품 (2)'!$Q$1:$Q$65536</definedName>
    <definedName name="XREF_COLUMN_53" hidden="1">'[24]공구기구 (2)'!$Q$1:$Q$65536</definedName>
    <definedName name="XREF_COLUMN_54" hidden="1">#REF!</definedName>
    <definedName name="XREF_COLUMN_55" hidden="1">'[24]건물 (2)'!$AA$1:$AA$65536</definedName>
    <definedName name="XREF_COLUMN_56" hidden="1">#REF!</definedName>
    <definedName name="XREF_COLUMN_57" hidden="1">'[24]건물 (2)'!$Y$1:$Y$65536</definedName>
    <definedName name="XREF_COLUMN_58" hidden="1">'[24]건물 (2)'!$W$1:$W$65536</definedName>
    <definedName name="XREF_COLUMN_59" hidden="1">'[24]구축물 (2)'!$S$1:$S$65536</definedName>
    <definedName name="XREF_COLUMN_6" hidden="1">[21]BS!#REF!</definedName>
    <definedName name="XREF_COLUMN_60" hidden="1">#REF!</definedName>
    <definedName name="XREF_COLUMN_61" hidden="1">'[24]유선방송설비 (2)'!$Z$1:$Z$65536</definedName>
    <definedName name="XREF_COLUMN_62" hidden="1">'[24]유선방송설비 (2)'!$V$1:$V$65536</definedName>
    <definedName name="XREF_COLUMN_63" hidden="1">'[24]유선방송설비 (2)'!$X$1:$X$65536</definedName>
    <definedName name="XREF_COLUMN_64" hidden="1">'[24]차량운반구 (2)'!$Z$1:$Z$65536</definedName>
    <definedName name="XREF_COLUMN_65" hidden="1">'[24]차량운반구 (2)'!$X$1:$X$65536</definedName>
    <definedName name="XREF_COLUMN_66" hidden="1">'[24]차량운반구 (2)'!$V$1:$V$65536</definedName>
    <definedName name="XREF_COLUMN_67" hidden="1">'[24]전송선로설비 (2)'!$Z$1:$Z$65536</definedName>
    <definedName name="XREF_COLUMN_68" hidden="1">'[24]전송선로설비 (2)'!$X$1:$X$65536</definedName>
    <definedName name="XREF_COLUMN_69" hidden="1">'[24]전송선로설비 (2)'!$V$1:$V$65536</definedName>
    <definedName name="XREF_COLUMN_7" hidden="1">[21]BS!#REF!</definedName>
    <definedName name="XREF_COLUMN_70" hidden="1">'[24]컨버터 (2)'!$S$1:$S$65536</definedName>
    <definedName name="XREF_COLUMN_71" hidden="1">'[24]집기비품 (2)'!$Z$1:$Z$65536</definedName>
    <definedName name="XREF_COLUMN_72" hidden="1">'[24]집기비품 (2)'!$V$1:$V$65536</definedName>
    <definedName name="XREF_COLUMN_73" hidden="1">'[24]집기비품 (2)'!$X$1:$X$65536</definedName>
    <definedName name="XREF_COLUMN_74" hidden="1">'[24]공구기구 (2)'!$X$1:$X$65536</definedName>
    <definedName name="XREF_COLUMN_75" hidden="1">'[24]공구기구 (2)'!$T$1:$T$65536</definedName>
    <definedName name="XREF_COLUMN_76" hidden="1">'[24]공구기구 (2)'!$V$1:$V$65536</definedName>
    <definedName name="XREF_COLUMN_77" hidden="1">'[22]LS '!#REF!</definedName>
    <definedName name="XREF_COLUMN_79" hidden="1">'[22]LS '!#REF!</definedName>
    <definedName name="XREF_COLUMN_8" hidden="1">[21]BS!#REF!</definedName>
    <definedName name="XREF_COLUMN_81" hidden="1">'[22]LS '!#REF!</definedName>
    <definedName name="XREF_COLUMN_83" hidden="1">'[22]LS '!#REF!</definedName>
    <definedName name="XREF_COLUMN_87" hidden="1">'[22]LS '!#REF!</definedName>
    <definedName name="XREF_COLUMN_89" hidden="1">'[22]LS '!#REF!</definedName>
    <definedName name="XREF_COLUMN_9" hidden="1">[21]BS!#REF!</definedName>
    <definedName name="XREF_COLUMN_91" hidden="1">'[22]LS '!#REF!</definedName>
    <definedName name="XREF_COLUMN_93" hidden="1">'[22]LS '!#REF!</definedName>
    <definedName name="XREF_COLUMN_95" hidden="1">'[22]LS '!#REF!</definedName>
    <definedName name="XREF_COLUMN_97" hidden="1">'[22]LS '!#REF!</definedName>
    <definedName name="XRefActiveRow" hidden="1">[20]XREF!#REF!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[20]F456!#REF!</definedName>
    <definedName name="XRefCopy14Row" hidden="1">#N/A</definedName>
    <definedName name="XRefCopy15" hidden="1">[21]BS!#REF!</definedName>
    <definedName name="XRefCopy15Row" hidden="1">#N/A</definedName>
    <definedName name="XRefCopy16" hidden="1">[20]F456!#REF!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[20]F456!#REF!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'[24]LS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'[24]LS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[20]F456!#REF!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'[24]건물 (2)'!$Q$7</definedName>
    <definedName name="XRefCopy76Row" hidden="1">#N/A</definedName>
    <definedName name="XRefCopy77" hidden="1">'[24]구축물 (2)'!$N$12</definedName>
    <definedName name="XRefCopy77Row" hidden="1">#N/A</definedName>
    <definedName name="XRefCopy78" hidden="1">[2]INDEX!#REF!</definedName>
    <definedName name="XRefCopy78Row" hidden="1">#N/A</definedName>
    <definedName name="XRefCopy79" hidden="1">'[24]차량운반구 (2)'!$P$55</definedName>
    <definedName name="XRefCopy79Row" hidden="1">#N/A</definedName>
    <definedName name="XRefCopy7Row" hidden="1">#N/A</definedName>
    <definedName name="XRefCopy8" hidden="1">[20]F456!#REF!</definedName>
    <definedName name="XRefCopy80" hidden="1">[2]INDEX!#REF!</definedName>
    <definedName name="XRefCopy80Row" hidden="1">#N/A</definedName>
    <definedName name="XRefCopy81" hidden="1">'[24]컨버터 (2)'!$N$8</definedName>
    <definedName name="XRefCopy82" hidden="1">'[24]집기비품 (2)'!$P$143</definedName>
    <definedName name="XRefCopy83" hidden="1">'[24]공구기구 (2)'!$P$7</definedName>
    <definedName name="XRefCopy84" hidden="1">#REF!</definedName>
    <definedName name="XRefCopy85" hidden="1">'[24]건물 (2)'!$X$7</definedName>
    <definedName name="XRefCopy86" hidden="1">#REF!</definedName>
    <definedName name="XRefCopy87" hidden="1">'[24]건물 (2)'!$V$7</definedName>
    <definedName name="XRefCopy88" hidden="1">#REF!</definedName>
    <definedName name="XRefCopy89" hidden="1">#REF!</definedName>
    <definedName name="XRefCopy8Row" hidden="1">#N/A</definedName>
    <definedName name="XRefCopy9" hidden="1">[20]F456!#REF!</definedName>
    <definedName name="XRefCopy90" hidden="1">'[24]유선방송설비 (2)'!$U$316</definedName>
    <definedName name="XRefCopy91" hidden="1">#REF!</definedName>
    <definedName name="XRefCopy92" hidden="1">#REF!</definedName>
    <definedName name="XRefCopy93" hidden="1">'[24]차량운반구 (2)'!$W$55</definedName>
    <definedName name="XRefCopy94" hidden="1">#REF!</definedName>
    <definedName name="XRefCopy95" hidden="1">#REF!</definedName>
    <definedName name="XRefCopy96" hidden="1">'[24]전송선로설비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[25]심리RN!#REF!</definedName>
    <definedName name="XRefPaste11" hidden="1">#N/A</definedName>
    <definedName name="XRefPaste110" hidden="1">[1]IS!#REF!</definedName>
    <definedName name="XRefPaste111" hidden="1">'[23]PAJE,PRJE'!#REF!</definedName>
    <definedName name="XRefPaste112" hidden="1">'[23]PAJE,PRJE'!#REF!</definedName>
    <definedName name="XRefPaste113" hidden="1">'[23]PAJE,PRJE'!#REF!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'[23]PAJE,PRJE'!#REF!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[26]XREF!#REF!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[27]XREF!#REF!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'[23]PAJE,PRJE'!#REF!</definedName>
    <definedName name="XRefPaste198Row" hidden="1">'[2]3100'!#REF!</definedName>
    <definedName name="XRefPaste199" hidden="1">#REF!</definedName>
    <definedName name="XRefPaste199Row" hidden="1">'[2]3100'!#REF!</definedName>
    <definedName name="XRefPaste19Row" hidden="1">[27]XREF!#REF!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[27]XREF!#REF!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[27]XREF!#REF!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[27]XREF!#REF!</definedName>
    <definedName name="XRefPaste23" hidden="1">'[23]PAJE,PRJE'!#REF!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[23]WTB!#REF!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[27]XREF!#REF!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[27]XREF!#REF!</definedName>
    <definedName name="XRefPaste25" hidden="1">#REF!</definedName>
    <definedName name="XRefPaste25Row" hidden="1">[27]XREF!#REF!</definedName>
    <definedName name="XRefPaste26" hidden="1">#REF!</definedName>
    <definedName name="XRefPaste26Row" hidden="1">[27]XREF!#REF!</definedName>
    <definedName name="XRefPaste27" hidden="1">'[23]PAJE,PRJE'!#REF!</definedName>
    <definedName name="XRefPaste27Row" hidden="1">[27]XREF!#REF!</definedName>
    <definedName name="XRefPaste28" hidden="1">'[23]PAJE,PRJE'!#REF!</definedName>
    <definedName name="XRefPaste28Row" hidden="1">[27]XREF!#REF!</definedName>
    <definedName name="XRefPaste29" hidden="1">[2]INDEX!#REF!</definedName>
    <definedName name="XRefPaste29Row" hidden="1">[27]XREF!#REF!</definedName>
    <definedName name="XRefPaste2Row" hidden="1">#N/A</definedName>
    <definedName name="XRefPaste3" hidden="1">#REF!</definedName>
    <definedName name="XRefPaste30" hidden="1">'[23]PAJE,PRJE'!#REF!</definedName>
    <definedName name="XRefPaste30Row" hidden="1">'[2]1300'!#REF!</definedName>
    <definedName name="XRefPaste31" hidden="1">'[23]PAJE,PRJE'!#REF!</definedName>
    <definedName name="XRefPaste31Row" hidden="1">'[2]1300'!#REF!</definedName>
    <definedName name="XRefPaste32" hidden="1">[2]INDEX!#REF!</definedName>
    <definedName name="XRefPaste32Row" hidden="1">#N/A</definedName>
    <definedName name="XRefPaste33" hidden="1">[21]BS!#REF!</definedName>
    <definedName name="XRefPaste33Row" hidden="1">[27]XREF!#REF!</definedName>
    <definedName name="XRefPaste34" hidden="1">[21]BS!#REF!</definedName>
    <definedName name="XRefPaste34Row" hidden="1">#N/A</definedName>
    <definedName name="XRefPaste35" hidden="1">[21]BS!#REF!</definedName>
    <definedName name="XRefPaste35Row" hidden="1">#N/A</definedName>
    <definedName name="XRefPaste36" hidden="1">[21]BS!#REF!</definedName>
    <definedName name="XRefPaste36Row" hidden="1">#N/A</definedName>
    <definedName name="XRefPaste37" hidden="1">[21]BS!#REF!</definedName>
    <definedName name="XRefPaste37Row" hidden="1">#N/A</definedName>
    <definedName name="XRefPaste38" hidden="1">[21]BS!#REF!</definedName>
    <definedName name="XRefPaste38Row" hidden="1">#N/A</definedName>
    <definedName name="XRefPaste39" hidden="1">[21]BS!#REF!</definedName>
    <definedName name="XRefPaste39Row" hidden="1">#N/A</definedName>
    <definedName name="XRefPaste3Row" hidden="1">#N/A</definedName>
    <definedName name="XRefPaste4" hidden="1">#REF!</definedName>
    <definedName name="XRefPaste40" hidden="1">[21]BS!#REF!</definedName>
    <definedName name="XRefPaste40Row" hidden="1">#N/A</definedName>
    <definedName name="XRefPaste41" hidden="1">[21]BS!#REF!</definedName>
    <definedName name="XRefPaste41Row" hidden="1">#N/A</definedName>
    <definedName name="XRefPaste42" hidden="1">[21]BS!#REF!</definedName>
    <definedName name="XRefPaste42Row" hidden="1">#N/A</definedName>
    <definedName name="XRefPaste43" hidden="1">'[23]PAJE,PRJE'!#REF!</definedName>
    <definedName name="XRefPaste43Row" hidden="1">#N/A</definedName>
    <definedName name="XRefPaste44" hidden="1">'[23]PAJE,PRJE'!#REF!</definedName>
    <definedName name="XRefPaste44Row" hidden="1">#N/A</definedName>
    <definedName name="XRefPaste45" hidden="1">'[2]2600'!#REF!</definedName>
    <definedName name="XRefPaste45Row" hidden="1">#N/A</definedName>
    <definedName name="XRefPaste46" hidden="1">'[23]PAJE,PRJE'!#REF!</definedName>
    <definedName name="XRefPaste47" hidden="1">#REF!</definedName>
    <definedName name="XRefPaste48" hidden="1">#REF!</definedName>
    <definedName name="XRefPaste49" hidden="1">'[24]유선방송설비 (2)'!$H$316</definedName>
    <definedName name="XRefPaste4Row" hidden="1">#N/A</definedName>
    <definedName name="XRefPaste5" hidden="1">[21]BS!#REF!</definedName>
    <definedName name="XRefPaste50" hidden="1">'[24]차량운반구 (2)'!$H$55</definedName>
    <definedName name="XRefPaste51" hidden="1">'[24]전송선로설비 (2)'!$H$21</definedName>
    <definedName name="XRefPaste52" hidden="1">'[24]집기비품 (2)'!$H$94</definedName>
    <definedName name="XRefPaste53" hidden="1">'[24]공구기구 (2)'!$H$7</definedName>
    <definedName name="XRefPaste54" hidden="1">#REF!</definedName>
    <definedName name="XRefPaste55" hidden="1">'[24]구축물 (2)'!$L$12</definedName>
    <definedName name="XRefPaste56" hidden="1">#REF!</definedName>
    <definedName name="XRefPaste58" hidden="1">#REF!</definedName>
    <definedName name="XRefPaste59" hidden="1">'[24]전송선로설비 (2)'!$N$44</definedName>
    <definedName name="XRefPaste5Row" hidden="1">#N/A</definedName>
    <definedName name="XRefPaste6" hidden="1">[21]BS!#REF!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'[23]PAJE,PRJE'!#REF!</definedName>
    <definedName name="XRefPaste68" hidden="1">'[23]PAJE,PRJE'!#REF!</definedName>
    <definedName name="XRefPaste69" hidden="1">'[23]PAJE,PRJE'!#REF!</definedName>
    <definedName name="XRefPaste6Row" hidden="1">#N/A</definedName>
    <definedName name="XRefPaste7" hidden="1">[21]BS!#REF!</definedName>
    <definedName name="XRefPaste70" hidden="1">'[23]PAJE,PRJE'!#REF!</definedName>
    <definedName name="XRefPaste71" hidden="1">'[23]PAJE,PRJE'!#REF!</definedName>
    <definedName name="XRefPaste72" hidden="1">'[24]건물 (2)'!$Z$7</definedName>
    <definedName name="XRefPaste73" hidden="1">'[24]건물 (2)'!$X$7</definedName>
    <definedName name="XRefPaste74" hidden="1">#REF!</definedName>
    <definedName name="XRefPaste75" hidden="1">'[24]구축물 (2)'!$R$12</definedName>
    <definedName name="XRefPaste76" hidden="1">#REF!</definedName>
    <definedName name="XRefPaste77" hidden="1">#REF!</definedName>
    <definedName name="XRefPaste78" hidden="1">#REF!</definedName>
    <definedName name="XRefPaste79" hidden="1">'[24]차량운반구 (2)'!$Y$55</definedName>
    <definedName name="XRefPaste7Row" hidden="1">#N/A</definedName>
    <definedName name="XRefPaste8" hidden="1">[21]BS!#REF!</definedName>
    <definedName name="XRefPaste80" hidden="1">#REF!</definedName>
    <definedName name="XRefPaste81" hidden="1">'[24]차량운반구 (2)'!$U$55</definedName>
    <definedName name="XRefPaste82" hidden="1">'[24]전송선로설비 (2)'!$Y$21</definedName>
    <definedName name="XRefPaste83" hidden="1">#REF!</definedName>
    <definedName name="XRefPaste84" hidden="1">'[24]전송선로설비 (2)'!$U$21</definedName>
    <definedName name="XRefPaste85" hidden="1">'[24]컨버터 (2)'!$R$8</definedName>
    <definedName name="XRefPaste86" hidden="1">'[24]집기비품 (2)'!$Y$94</definedName>
    <definedName name="XRefPaste87" hidden="1">'[24]집기비품 (2)'!$U$94</definedName>
    <definedName name="XRefPaste88" hidden="1">'[24]집기비품 (2)'!$W$143</definedName>
    <definedName name="XRefPaste89" hidden="1">'[24]공구기구 (2)'!$W$7</definedName>
    <definedName name="XRefPaste89Row" hidden="1">'[2]2600'!#REF!</definedName>
    <definedName name="XRefPaste8Row" hidden="1">#N/A</definedName>
    <definedName name="XRefPaste9" hidden="1">[21]BS!#REF!</definedName>
    <definedName name="XRefPaste90" hidden="1">'[24]공구기구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xxxxxxxxxxxxxxxx">[4]!xxxxxxxxxxxxxxxx</definedName>
    <definedName name="yejhg">[4]!BlankMacro1</definedName>
    <definedName name="YEN1">#N/A</definedName>
    <definedName name="YEN2">#N/A</definedName>
    <definedName name="YEN3">#N/A</definedName>
    <definedName name="YEN4">#N/A</definedName>
    <definedName name="YesNoNA">'[6]Drop down'!$G$6:$G$9</definedName>
    <definedName name="YR">'[2]2500'!#REF!</definedName>
    <definedName name="yre">#N/A</definedName>
    <definedName name="YRR">'[2]2500'!#REF!</definedName>
    <definedName name="ytr">#N/A</definedName>
    <definedName name="ytty">[4]!ytty</definedName>
    <definedName name="yyy">[4]!yyy</definedName>
    <definedName name="ZP">#REF!</definedName>
    <definedName name="zser">[2]INDEX!#REF!</definedName>
    <definedName name="ZX" hidden="1">{#N/A,#N/A,FALSE,"초도품";#N/A,#N/A,FALSE,"초도품 (2)";#N/A,#N/A,FALSE,"초도품 (3)";#N/A,#N/A,FALSE,"초도품 (4)";#N/A,#N/A,FALSE,"초도품 (5)";#N/A,#N/A,FALSE,"초도품 (6)"}</definedName>
    <definedName name="zxcv">[4]!zxcv</definedName>
    <definedName name="ZZ">[4]!ZZ</definedName>
    <definedName name="zzz">[4]!zzz</definedName>
    <definedName name="zzzz">[4]!zzzz</definedName>
    <definedName name="zzzzzzzzzzzzzzz">[4]!zzzzzzzzzzzzzzz</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가ㅓ">[4]!ㄱ가ㅓ</definedName>
    <definedName name="ㄱ노">[4]!ㄱ노</definedName>
    <definedName name="ㄱ녹ㄴ소">[4]!ㄱ녹ㄴ소</definedName>
    <definedName name="ㄱㄷㄱ">[4]!BlankMacro1</definedName>
    <definedName name="ㄱㄷㄷ2ㄱ2ㄱ2ㄱ2">[4]!ㄱㄷㄷ2ㄱ2ㄱ2ㄱ2</definedName>
    <definedName name="ㄱ듀">[4]!ㄱ듀</definedName>
    <definedName name="ㄱ소ㅠ">[4]!ㄱ소ㅠ</definedName>
    <definedName name="ㄱ솏">[4]!ㄱ솏</definedName>
    <definedName name="ㄱ슈곡ㄴ">[4]!ㄱ슈곡ㄴ</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9504">#N/A</definedName>
    <definedName name="가공비">[4]!가공비</definedName>
    <definedName name="가나" hidden="1">[20]F456!#REF!</definedName>
    <definedName name="가나다11">#N/A</definedName>
    <definedName name="가도토공신규단가">#N/A</definedName>
    <definedName name="가동">'[2]3100'!#REF!</definedName>
    <definedName name="가동계획">'[2]3100'!#REF!</definedName>
    <definedName name="가아ㅓ라어" hidden="1">{#N/A,#N/A,FALSE,"초도품";#N/A,#N/A,FALSE,"초도품 (2)";#N/A,#N/A,FALSE,"초도품 (3)";#N/A,#N/A,FALSE,"초도품 (4)";#N/A,#N/A,FALSE,"초도품 (5)";#N/A,#N/A,FALSE,"초도품 (6)"}</definedName>
    <definedName name="가지급금">'[2]1300'!#REF!</definedName>
    <definedName name="간" hidden="1">{#N/A,#N/A,FALSE,"UNIT";#N/A,#N/A,FALSE,"UNIT";#N/A,#N/A,FALSE,"계정"}</definedName>
    <definedName name="간접노무비">'[2]3100'!#REF!</definedName>
    <definedName name="감가상각비">'[2]3250'!#REF!</definedName>
    <definedName name="강">#N/A</definedName>
    <definedName name="강창산업">[2]INDEX!#REF!</definedName>
    <definedName name="개별화물">[2]INDEX!#REF!</definedName>
    <definedName name="개수">[1]IS!#REF!</definedName>
    <definedName name="개시결정일">[2]INDEX!#REF!</definedName>
    <definedName name="개업시작시점">#N/A</definedName>
    <definedName name="거">[4]!거</definedName>
    <definedName name="거래기">#N/A</definedName>
    <definedName name="거래기간">#N/A</definedName>
    <definedName name="거래유형">[1]IS!#REF!</definedName>
    <definedName name="거래처명1">#REF!</definedName>
    <definedName name="거리도모" hidden="1">{#N/A,#N/A,FALSE,"BS";#N/A,#N/A,FALSE,"PL";#N/A,#N/A,FALSE,"처분";#N/A,#N/A,FALSE,"현금";#N/A,#N/A,FALSE,"매출";#N/A,#N/A,FALSE,"원가";#N/A,#N/A,FALSE,"경영"}</definedName>
    <definedName name="건물">[4]!건물</definedName>
    <definedName name="건물임." hidden="1">{"'손익현황'!$A$1:$J$29"}</definedName>
    <definedName name="견질어음수표1">#N/A</definedName>
    <definedName name="결재요약">[4]!결재요약</definedName>
    <definedName name="경기도_남양주시">#N/A</definedName>
    <definedName name="경동정공_양경호">[2]INDEX!#REF!</definedName>
    <definedName name="경북열처리공업사">[2]INDEX!#REF!</definedName>
    <definedName name="경북하우톤">[2]INDEX!#REF!</definedName>
    <definedName name="경상정부보조액">'[2]2500'!#REF!</definedName>
    <definedName name="경성금속공업사">[2]INDEX!#REF!</definedName>
    <definedName name="경수">[4]!BLCH</definedName>
    <definedName name="경영계획">[1]IS!$B$4:$N$34</definedName>
    <definedName name="경영기획제출자료">'[2]2500'!#REF!</definedName>
    <definedName name="경영산업">[2]INDEX!#REF!</definedName>
    <definedName name="경영지표2" hidden="1">#REF!</definedName>
    <definedName name="경원인쇄소">[2]INDEX!#REF!</definedName>
    <definedName name="계">[2]INDEX!#REF!</definedName>
    <definedName name="계량기재료비분석" hidden="1">{#N/A,#N/A,FALSE,"UNIT";#N/A,#N/A,FALSE,"UNIT";#N/A,#N/A,FALSE,"계정"}</definedName>
    <definedName name="계속보험료합계">'[2]2600'!#REF!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#N/A</definedName>
    <definedName name="計定明細.書2.B">#N/A</definedName>
    <definedName name="計定明細.書2.D">'[2]1100'!#REF!</definedName>
    <definedName name="계획">[4]!계획</definedName>
    <definedName name="계획1" hidden="1">{#N/A,#N/A,FALSE,"UNIT";#N/A,#N/A,FALSE,"UNIT";#N/A,#N/A,FALSE,"계정"}</definedName>
    <definedName name="곣논">[4]!곣논</definedName>
    <definedName name="곣놈ㄴㅋ">[4]!곣놈ㄴㅋ</definedName>
    <definedName name="곤ㄱㄴ속ㄴ">[4]!곤ㄱㄴ속ㄴ</definedName>
    <definedName name="골라인쇄">#N/A</definedName>
    <definedName name="곱">#N/A</definedName>
    <definedName name="공" hidden="1">{"'손익현황'!$A$1:$J$29"}</definedName>
    <definedName name="공간">[4]!BlankMacro1</definedName>
    <definedName name="공고">#N/A</definedName>
    <definedName name="공구" hidden="1">{"'손익현황'!$A$1:$J$29"}</definedName>
    <definedName name="공구기구" hidden="1">{"'손익현황'!$A$1:$J$29"}</definedName>
    <definedName name="공단인쇄문구사">[2]INDEX!#REF!</definedName>
    <definedName name="공란">#N/A</definedName>
    <definedName name="공무">#N/A</definedName>
    <definedName name="공무계">#N/A</definedName>
    <definedName name="공무금액">#N/A</definedName>
    <definedName name="공사개시일_송절고">#N/A</definedName>
    <definedName name="공사기간_송절고">#N/A</definedName>
    <definedName name="공사명">#REF!</definedName>
    <definedName name="공사선수금">#N/A</definedName>
    <definedName name="공사이행보증">#N/A</definedName>
    <definedName name="공사종료일_송절고">#N/A</definedName>
    <definedName name="공장">#N/A</definedName>
    <definedName name="공장번호">#N/A</definedName>
    <definedName name="관급">#REF!,#REF!,#REF!</definedName>
    <definedName name="관종">#N/A</definedName>
    <definedName name="관종번호">#N/A</definedName>
    <definedName name="관할_소관_세무서">[28]회사정보!$C$16</definedName>
    <definedName name="관할세무서지">[29]회사정보!$C$17</definedName>
    <definedName name="광명금속_주">[2]INDEX!#REF!</definedName>
    <definedName name="광수">[4]!BLCH</definedName>
    <definedName name="광주">#N/A</definedName>
    <definedName name="교너더ㅛ">[4]!교너더ㅛ</definedName>
    <definedName name="교ㅓㄳ넌">[4]!교ㅓㄳ넌</definedName>
    <definedName name="교ㅓ허">[4]!교ㅓ허</definedName>
    <definedName name="구" hidden="1">{#N/A,#N/A,FALSE,"BS";#N/A,#N/A,FALSE,"PL";#N/A,#N/A,FALSE,"처분";#N/A,#N/A,FALSE,"현금";#N/A,#N/A,FALSE,"매출";#N/A,#N/A,FALSE,"원가";#N/A,#N/A,FALSE,"경영"}</definedName>
    <definedName name="구_________분">[1]IS!$B$7:$S$35</definedName>
    <definedName name="구로">#N/A</definedName>
    <definedName name="구성비">[1]BS!XFD1/[1]BS!XFD$20*100</definedName>
    <definedName name="구성비2">[1]BS!XFD1/[1]BS!XFD$5*100</definedName>
    <definedName name="구입">#REF!</definedName>
    <definedName name="구축물">'[2]1300'!#REF!</definedName>
    <definedName name="구축물감가상각충당금">'[2]1300'!#REF!</definedName>
    <definedName name="구축물임" hidden="1">{"'손익현황'!$A$1:$J$29"}</definedName>
    <definedName name="국">[30]!BlankMacro1</definedName>
    <definedName name="국가별">'[2]1400'!#REF!</definedName>
    <definedName name="국민연금전환금">[29]회사정보!$C$19</definedName>
    <definedName name="국성통상">[2]INDEX!#REF!</definedName>
    <definedName name="국소카운팅">[1]IS!#REF!</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제윤활유상사">[2]INDEX!#REF!</definedName>
    <definedName name="군포부품이자">[2]INDEX!#REF!</definedName>
    <definedName name="권">#REF!</definedName>
    <definedName name="규격">#N/A</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#N/A</definedName>
    <definedName name="그림제목">#N/A</definedName>
    <definedName name="그림준비">#N/A</definedName>
    <definedName name="금강종합상사">[2]INDEX!#REF!</definedName>
    <definedName name="금액">#N/A</definedName>
    <definedName name="금액계">#N/A</definedName>
    <definedName name="금융조회기준년">[31]금융!$C$59,[31]금융!$C$116,[31]금융!$Z$212,[31]금융!$Z$269</definedName>
    <definedName name="금융조회기준월">[31]금융!$G$59,[31]금융!$G$116,[31]금융!$AD$212,[31]금융!$AD$269</definedName>
    <definedName name="금융조회기준일">[31]금융!$I$59,[31]금융!$I$116,[31]금융!$AF$212,[31]금융!$AF$269</definedName>
    <definedName name="금융조회서번호">[31]금융!$AF$3,[31]금융!$AF$53,[31]금융!$AF$110,[31]금융!$AF$167,[31]금융!$AF$224</definedName>
    <definedName name="금융회사명">[31]금융!$M$59,[31]금융!$M$116</definedName>
    <definedName name="금일계획">[2]INDEX!#REF!</definedName>
    <definedName name="금진정밀">[2]INDEX!#REF!</definedName>
    <definedName name="금호정밀">[2]INDEX!#REF!</definedName>
    <definedName name="급여10">[2]INDEX!#REF!</definedName>
    <definedName name="급여11">[2]INDEX!#REF!</definedName>
    <definedName name="기계장치">[4]!기계장치</definedName>
    <definedName name="기기" hidden="1">{#N/A,#N/A,FALSE,"UNIT";#N/A,#N/A,FALSE,"UNIT";#N/A,#N/A,FALSE,"계정"}</definedName>
    <definedName name="기기투자리스트" hidden="1">{#N/A,#N/A,FALSE,"UNIT";#N/A,#N/A,FALSE,"UNIT";#N/A,#N/A,FALSE,"계정"}</definedName>
    <definedName name="기말재공품재고액">'[2]1300'!#REF!</definedName>
    <definedName name="기부금">'[2]1300'!#REF!</definedName>
    <definedName name="기입불가">[5]회사정보!#REF!</definedName>
    <definedName name="기존" hidden="1">{#N/A,#N/A,FALSE,"UNIT";#N/A,#N/A,FALSE,"UNIT";#N/A,#N/A,FALSE,"계정"}</definedName>
    <definedName name="기준수익률">#N/A</definedName>
    <definedName name="기초입력">#N/A</definedName>
    <definedName name="기초재료재고액">'[2]1300'!#REF!</definedName>
    <definedName name="기타">#N/A</definedName>
    <definedName name="기타매출">'[2]1300'!#REF!</definedName>
    <definedName name="기타선수금">#N/A</definedName>
    <definedName name="기타유동자산">'[2]1300'!#REF!</definedName>
    <definedName name="기타자산">'[2]1300'!#REF!</definedName>
    <definedName name="기표현황">[32]공사기성!$O$18:$T$59</definedName>
    <definedName name="김대업" hidden="1">{#N/A,#N/A,FALSE,"기술료 비교"}</definedName>
    <definedName name="김심선">[4]!김심선</definedName>
    <definedName name="김정태">[1]IS!#REF!</definedName>
    <definedName name="김종묵" hidden="1">{#N/A,#N/A,FALSE,"기술료 비교"}</definedName>
    <definedName name="ㄳㄱㄴ">[4]!ㄳㄱㄴ</definedName>
    <definedName name="ㄴ" hidden="1">{#N/A,#N/A,FALSE,"BS";#N/A,#N/A,FALSE,"PL";#N/A,#N/A,FALSE,"처분";#N/A,#N/A,FALSE,"현금";#N/A,#N/A,FALSE,"매출";#N/A,#N/A,FALSE,"원가";#N/A,#N/A,FALSE,"경영"}</definedName>
    <definedName name="ㄴㄱ">[4]!ㄴㄱ</definedName>
    <definedName name="ㄴㄱㄿ">[4]!BlankMacro1</definedName>
    <definedName name="ㄴㄱ속ㄴ">[4]!ㄴㄱ속ㄴ</definedName>
    <definedName name="ㄴ거ㅜ">[4]!ㄴ거ㅜ</definedName>
    <definedName name="ㄴ곡노">[4]!ㄴ곡노</definedName>
    <definedName name="ㄴ곤ㄱㅁ">[4]!ㄴ곤ㄱㅁ</definedName>
    <definedName name="ㄴ곧ㄴ">[4]!ㄴ곧ㄴ</definedName>
    <definedName name="ㄴ곳ㄱ노">[4]!ㄴ곳ㄱ노</definedName>
    <definedName name="ㄴ굔ㄱ">[4]!ㄴ굔ㄱ</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ㄷㄹ">[4]!ㄴㄷㄹ</definedName>
    <definedName name="ㄴㄹㄷㄷㅇㄷ">[4]!ㄴㄹㄷㄷㅇㄷ</definedName>
    <definedName name="ㄴㄹㄹ">[4]!BlankMacro1</definedName>
    <definedName name="ㄴㄹㅇ호ㅓㅗㄱ">[4]!ㄴㄹㅇ호ㅓㅗㄱ</definedName>
    <definedName name="ㄴㅇ">[4]!ㄴㅇ</definedName>
    <definedName name="ㄴㅇㄹ" hidden="1">{#N/A,#N/A,FALSE,"UNIT";#N/A,#N/A,FALSE,"UNIT";#N/A,#N/A,FALSE,"계정"}</definedName>
    <definedName name="ㄴㅇㄹㄹㄹㄹㄹㄹㄹ">#N/A</definedName>
    <definedName name="ㄴㅇㄹ홓">[4]!ㄴㅇㄹ홓</definedName>
    <definedName name="ㄴㅇ텃">[4]!ㄴㅇ텃</definedName>
    <definedName name="ㄴㅇㅎㄶ">[4]!ㄴㅇㅎㄶ</definedName>
    <definedName name="나" hidden="1">{#N/A,#N/A,FALSE,"BS";#N/A,#N/A,FALSE,"PL";#N/A,#N/A,FALSE,"처분";#N/A,#N/A,FALSE,"현금";#N/A,#N/A,FALSE,"매출";#N/A,#N/A,FALSE,"원가";#N/A,#N/A,FALSE,"경영"}</definedName>
    <definedName name="나.">'[2]3100'!#REF!</definedName>
    <definedName name="나9504">#N/A</definedName>
    <definedName name="나나">#N/A</definedName>
    <definedName name="남경산업">[2]INDEX!#REF!</definedName>
    <definedName name="남석">'[2]1100'!#REF!</definedName>
    <definedName name="남양">#N/A</definedName>
    <definedName name="남채">'[2]1100'!#REF!</definedName>
    <definedName name="내꺼">#N/A</definedName>
    <definedName name="내용">'[33]1100A'!#REF!</definedName>
    <definedName name="내용연수">#N/A</definedName>
    <definedName name="내용연수2">#N/A</definedName>
    <definedName name="너ㅛㄴㄳ">[4]!너ㅛㄴㄳ</definedName>
    <definedName name="년___월___일_까지">[2]INDEX!#REF!</definedName>
    <definedName name="년_간_계_획">[1]IS!$Q$7:$Q$35</definedName>
    <definedName name="노고">[4]!노고</definedName>
    <definedName name="논ㄱ">[4]!논ㄱ</definedName>
    <definedName name="놈">[4]!놈</definedName>
    <definedName name="뇨고노">[4]!뇨고노</definedName>
    <definedName name="뇨ㅓㄱㄴ요">[4]!뇨ㅓㄱㄴ요</definedName>
    <definedName name="누계_중계정">'[2]2500'!#REF!</definedName>
    <definedName name="니나금속">[2]INDEX!#REF!</definedName>
    <definedName name="ㄶㄴ">[4]!ㄶㄴ</definedName>
    <definedName name="ㄷ">[4]!ㄷ</definedName>
    <definedName name="ㄷㄱ">[4]!ㄷㄱ</definedName>
    <definedName name="ㄷㄳㅇㅀㅊ">[4]!ㄷㄳㅇㅀㅊ</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[2]INDEX!#REF!</definedName>
    <definedName name="ㄷ더">[4]!ㄷ더</definedName>
    <definedName name="ㄷㅅ">[2]INDEX!#REF!</definedName>
    <definedName name="ㄷㅈ" hidden="1">#REF!</definedName>
    <definedName name="ㄷㅎ">[4]!ㄷㅎ</definedName>
    <definedName name="ㄷ흇ㅇㄹㅊ">[4]!ㄷ흇ㅇㄹㅊ</definedName>
    <definedName name="다" hidden="1">{#N/A,#N/A,FALSE,"BS";#N/A,#N/A,FALSE,"PL";#N/A,#N/A,FALSE,"처분";#N/A,#N/A,FALSE,"현금";#N/A,#N/A,FALSE,"매출";#N/A,#N/A,FALSE,"원가";#N/A,#N/A,FALSE,"경영"}</definedName>
    <definedName name="다9504">#N/A</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단가">[1]IS!#REF!</definedName>
    <definedName name="단가산출선내부세로선">'[2]2500'!#REF!</definedName>
    <definedName name="단관M">#N/A</definedName>
    <definedName name="단기금융상품">'[2]1300'!#REF!</definedName>
    <definedName name="단기대여금">'[2]1300'!#REF!</definedName>
    <definedName name="담배">'[2]3100'!#REF!</definedName>
    <definedName name="당기_CODE">#N/A</definedName>
    <definedName name="당기_취득금액">#N/A</definedName>
    <definedName name="당기매출계획">#N/A</definedName>
    <definedName name="당기상각액">'[2]2500'!#REF!</definedName>
    <definedName name="당기손익계획">#N/A</definedName>
    <definedName name="당기손익실적">#N/A</definedName>
    <definedName name="당기수금실적">#N/A</definedName>
    <definedName name="당기순손실">#N/A</definedName>
    <definedName name="당기순이익">#N/A</definedName>
    <definedName name="당기지불실적">#N/A</definedName>
    <definedName name="당월_소항목">'[2]2500'!#REF!</definedName>
    <definedName name="당월분지우개">#N/A</definedName>
    <definedName name="당월중계정">[1]IS!$A$216:$Q$262</definedName>
    <definedName name="당좌끝년">[31]은행!$K$100,[31]은행!$K$160,[31]은행!$W$418,[31]은행!$W$478</definedName>
    <definedName name="당좌끝월">[31]은행!$N$100,[31]은행!$N$160,[31]은행!$Z$418,[31]은행!$Z$478</definedName>
    <definedName name="당좌끝일">[31]은행!$P$100,[31]은행!$P$160,[31]은행!$AB$418,[31]은행!$AB$478</definedName>
    <definedName name="당좌시작년">[31]은행!$B$100,[31]은행!$B$160,[31]은행!$N$418,[31]은행!$N$478</definedName>
    <definedName name="당좌시작월">[31]은행!$E$100,[31]은행!$E$160,[31]은행!$Q$418,[31]은행!$Q$478</definedName>
    <definedName name="당좌시작일">[31]은행!$G$100,[31]은행!$G$160,[31]은행!$S$418,[31]은행!$S$478</definedName>
    <definedName name="당좌예금">'[2]1300'!#REF!</definedName>
    <definedName name="당좌자산">[34]COBS!$G$4</definedName>
    <definedName name="대" hidden="1">#REF!</definedName>
    <definedName name="대_표_자_명">[28]회사정보!$C$7</definedName>
    <definedName name="대구">#N/A</definedName>
    <definedName name="대구교세라툴링">[2]INDEX!#REF!</definedName>
    <definedName name="대련" hidden="1">{#N/A,#N/A,FALSE,"UNIT";#N/A,#N/A,FALSE,"UNIT";#N/A,#N/A,FALSE,"계정"}</definedName>
    <definedName name="대명산업">[2]INDEX!#REF!</definedName>
    <definedName name="대미환율">#N/A</definedName>
    <definedName name="대봉산업사">[2]INDEX!#REF!</definedName>
    <definedName name="대성농산">[2]INDEX!#REF!</definedName>
    <definedName name="대성유압기기">[2]INDEX!#REF!</definedName>
    <definedName name="대성정밀">[2]INDEX!#REF!</definedName>
    <definedName name="대성철재상사">[2]INDEX!#REF!</definedName>
    <definedName name="대아정공_주">[2]INDEX!#REF!</definedName>
    <definedName name="대영금속_주">[2]INDEX!#REF!</definedName>
    <definedName name="대우개발기초">#N/A</definedName>
    <definedName name="대우개발변동">#N/A</definedName>
    <definedName name="대우자동차기초">#N/A</definedName>
    <definedName name="대우자동차변동">#N/A</definedName>
    <definedName name="대우정밀">[2]INDEX!#REF!</definedName>
    <definedName name="대원">[2]INDEX!#REF!</definedName>
    <definedName name="대원정밀">[2]INDEX!#REF!</definedName>
    <definedName name="대원테크">[2]INDEX!#REF!</definedName>
    <definedName name="대전">#N/A</definedName>
    <definedName name="대진공업">[2]INDEX!#REF!</definedName>
    <definedName name="대진전산시스템">[2]INDEX!#REF!</definedName>
    <definedName name="대차정산표">#N/A</definedName>
    <definedName name="대표자_주민등록번호">[35]회사정보!$C$11</definedName>
    <definedName name="대표자성명">[29]회사정보!$C$7</definedName>
    <definedName name="대표자주민등록번호">[29]회사정보!$C$10</definedName>
    <definedName name="대한특수금속_주">[2]INDEX!#REF!</definedName>
    <definedName name="대흥공업사">[2]INDEX!#REF!</definedName>
    <definedName name="더하기">#N/A</definedName>
    <definedName name="덕신테크">[2]INDEX!#REF!</definedName>
    <definedName name="덕원정밀">[2]INDEX!#REF!</definedName>
    <definedName name="델코레미_유">[2]INDEX!#REF!</definedName>
    <definedName name="도" hidden="1">{#N/A,#N/A,FALSE,"BS";#N/A,#N/A,FALSE,"PL";#N/A,#N/A,FALSE,"처분";#N/A,#N/A,FALSE,"현금";#N/A,#N/A,FALSE,"매출";#N/A,#N/A,FALSE,"원가";#N/A,#N/A,FALSE,"경영"}</definedName>
    <definedName name="도급비">#N/A</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도흥공업사">[2]INDEX!#REF!</definedName>
    <definedName name="동남하이테크">[2]INDEX!#REF!</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#N/A</definedName>
    <definedName name="동성산업">[2]INDEX!#REF!</definedName>
    <definedName name="동신철강">[2]INDEX!#REF!</definedName>
    <definedName name="동아상사">[2]INDEX!#REF!</definedName>
    <definedName name="동양기업">[2]INDEX!#REF!</definedName>
    <definedName name="동양기전_주">[2]INDEX!#REF!</definedName>
    <definedName name="동양볼트상사">[2]INDEX!#REF!</definedName>
    <definedName name="동영산업">[2]INDEX!#REF!</definedName>
    <definedName name="동영전기모타">[2]INDEX!#REF!</definedName>
    <definedName name="동우열처리공업_주">[2]INDEX!#REF!</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산메카텍주식회사">[2]INDEX!#REF!</definedName>
    <definedName name="두산종합기계">[2]INDEX!#REF!</definedName>
    <definedName name="똥">#REF!</definedName>
    <definedName name="ㄹ" hidden="1">{#N/A,#N/A,FALSE,"BS";#N/A,#N/A,FALSE,"PL";#N/A,#N/A,FALSE,"처분";#N/A,#N/A,FALSE,"현금";#N/A,#N/A,FALSE,"매출";#N/A,#N/A,FALSE,"원가";#N/A,#N/A,FALSE,"경영"}</definedName>
    <definedName name="ㄹㄴ">[4]!BlankMacro1</definedName>
    <definedName name="ㄹㄴㄷ">[4]!BlankMacro1</definedName>
    <definedName name="ㄹㄴㅁㅇㄹ">[1]BS!$K$2</definedName>
    <definedName name="ㄹㄶ">[4]!ㄹㄶ</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ㄴ">[4]!ㄹㄹㄴ</definedName>
    <definedName name="ㄹㄹㄹ">'[2]3100'!#REF!</definedName>
    <definedName name="ㄹㄹㅇ">[4]!ㄹㄹㅇ</definedName>
    <definedName name="ㄹ라라라라라">#N/A</definedName>
    <definedName name="ㄹㅇ">[4]!BlankMacro1</definedName>
    <definedName name="ㄹㅇㄴㄹㅇㄴㄹㅇ">#N/A</definedName>
    <definedName name="ㄹㅇㄴㅁㅁㅁ">[4]!ㄹㅇㄴㅁㅁㅁ</definedName>
    <definedName name="ㄹㅇㄴㅇㅇ">[4]!ㄹㅇㄴㅇㅇ</definedName>
    <definedName name="ㄹㅇㄴ호">[4]!ㄹㅇㄴ호</definedName>
    <definedName name="ㄹㅇㄹㅇㄹ">#N/A</definedName>
    <definedName name="ㄹㅇㅇㄴ">[4]!ㄹㅇㅇㄴ</definedName>
    <definedName name="ㄹㅇㅇㅇㄴ">[4]!ㄹㅇㅇㅇㄴ</definedName>
    <definedName name="ㄹㅇㅎㅀㄹ">[4]!ㄹㅇㅎㅀㄹ</definedName>
    <definedName name="ㄹ아ㅣㅇㅎ리" hidden="1">{#N/A,#N/A,FALSE,"UNIT";#N/A,#N/A,FALSE,"UNIT";#N/A,#N/A,FALSE,"계정"}</definedName>
    <definedName name="ㄹ어엉">[2]INDEX!#REF!</definedName>
    <definedName name="ㄹ호ㅡ">[4]!BlankMacro1</definedName>
    <definedName name="라">'[2]2500'!#REF!</definedName>
    <definedName name="라마바">#N/A</definedName>
    <definedName name="라이타">'[2]3100'!#REF!</definedName>
    <definedName name="러">[4]!러</definedName>
    <definedName name="러다ㅣㅈ">[2]INDEX!#REF!</definedName>
    <definedName name="러럴">#N/A</definedName>
    <definedName name="러앙">[2]INDEX!#REF!</definedName>
    <definedName name="러힝ㄴ허ㅣㅁㄴㅇ">[36]회사정보!$C$8</definedName>
    <definedName name="로커커버" hidden="1">{#N/A,#N/A,FALSE,"단축1";#N/A,#N/A,FALSE,"단축2";#N/A,#N/A,FALSE,"단축3";#N/A,#N/A,FALSE,"장축";#N/A,#N/A,FALSE,"4WD"}</definedName>
    <definedName name="롯데기공">[4]!롯데기공</definedName>
    <definedName name="리셋">#REF!</definedName>
    <definedName name="리스조회기준년">[31]리스!$B$60,[31]리스!$B$74,[31]리스!$B$90,[31]리스!$B$108,[31]리스!$B$122,[31]리스!$B$138</definedName>
    <definedName name="리스조회기준월">[31]리스!$F$60,[31]리스!$F$74,[31]리스!$F$90,[31]리스!$F$108,[31]리스!$F$122,[31]리스!$F$138</definedName>
    <definedName name="리스조회기준일">[31]리스!$H$60,[31]리스!$H$74,[31]리스!$H$90,[31]리스!$H$108,[31]리스!$H$122,[31]리스!$H$138</definedName>
    <definedName name="리스조회서번호">[31]리스!$AF$3,[31]리스!$AF$56,[31]리스!$AF$104</definedName>
    <definedName name="리스트">#REF!</definedName>
    <definedName name="리스회사명">[31]리스!$M$60,[31]리스!$M$74,[31]리스!$M$90,[31]리스!$M$108,[31]리스!$M$122,[31]리스!$M$138</definedName>
    <definedName name="ㄺㄹ" hidden="1">{#N/A,#N/A,FALSE,"UNIT";#N/A,#N/A,FALSE,"UNIT";#N/A,#N/A,FALSE,"계정"}</definedName>
    <definedName name="ㄻㄹㅇ">[37]합손!#REF!</definedName>
    <definedName name="ㅀ">[4]!BlankMacro1</definedName>
    <definedName name="ㅀ미리밀ㅎ밈림" hidden="1">{#N/A,#N/A,FALSE,"을지 (4)";#N/A,#N/A,FALSE,"을지 (5)";#N/A,#N/A,FALSE,"을지 (6)"}</definedName>
    <definedName name="ㅀㅇㄴ">[4]!ㅀㅇㄴ</definedName>
    <definedName name="ㅀㅇㄹㄶㅀㄹ" hidden="1">{#N/A,#N/A,FALSE,"UNIT";#N/A,#N/A,FALSE,"UNIT";#N/A,#N/A,FALSE,"계정"}</definedName>
    <definedName name="ㅁ" hidden="1">{#N/A,#N/A,TRUE,"Summary";#N/A,#N/A,TRUE,"IS";#N/A,#N/A,TRUE,"Adj";#N/A,#N/A,TRUE,"BS";#N/A,#N/A,TRUE,"CF";#N/A,#N/A,TRUE,"Debt";#N/A,#N/A,TRUE,"IRR"}</definedName>
    <definedName name="ㅁ1">#REF!</definedName>
    <definedName name="ㅁ11">'[2]3100'!#REF!</definedName>
    <definedName name="ㅁㄴ" hidden="1">{#N/A,#N/A,FALSE,"UNIT";#N/A,#N/A,FALSE,"UNIT";#N/A,#N/A,FALSE,"계정"}</definedName>
    <definedName name="ㅁㄴㅇ" hidden="1">{#N/A,#N/A,FALSE,"BS";#N/A,#N/A,FALSE,"PL";#N/A,#N/A,FALSE,"처분";#N/A,#N/A,FALSE,"현금";#N/A,#N/A,FALSE,"매출";#N/A,#N/A,FALSE,"원가";#N/A,#N/A,FALSE,"경영"}</definedName>
    <definedName name="ㅁㄴㅇㅁㄻㄹㄹ">[4]!ㅁㄴㅇㅁㄻㄹㄹ</definedName>
    <definedName name="ㅁㄷㅀ">[4]!ㅁㄷㅀ</definedName>
    <definedName name="ㅁㅁ">#N/A</definedName>
    <definedName name="ㅁㅁㅁ">#N/A</definedName>
    <definedName name="ㅁㅁㅁㅁ" hidden="1">{#N/A,#N/A,FALSE,"BS";#N/A,#N/A,FALSE,"PL";#N/A,#N/A,FALSE,"처분";#N/A,#N/A,FALSE,"현금";#N/A,#N/A,FALSE,"매출";#N/A,#N/A,FALSE,"원가";#N/A,#N/A,FALSE,"경영"}</definedName>
    <definedName name="ㅁㅁㅁㅁㅁ" hidden="1">{#N/A,#N/A,FALSE,"UNIT";#N/A,#N/A,FALSE,"UNIT";#N/A,#N/A,FALSE,"계정"}</definedName>
    <definedName name="ㅁㅂ1">#N/A</definedName>
    <definedName name="마감" hidden="1">{#N/A,#N/A,FALSE,"기술료 비교"}</definedName>
    <definedName name="마케팅" hidden="1">{"'5국공정'!$A$1:$E$128"}</definedName>
    <definedName name="마케팅2" hidden="1">{"'5국공정'!$A$1:$E$128"}</definedName>
    <definedName name="만기보장수익율">#N/A</definedName>
    <definedName name="매">[1]IS!#REF!</definedName>
    <definedName name="매인화면">#N/A</definedName>
    <definedName name="매출">#REF!</definedName>
    <definedName name="매출1">[4]!매출1</definedName>
    <definedName name="매출2">[4]!매출2</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계획2월">#N/A</definedName>
    <definedName name="매출비">[1]IS!#REF!</definedName>
    <definedName name="매출액">'[2]3100'!A2+'[2]3100'!A3</definedName>
    <definedName name="매출원">[4]!매출원</definedName>
    <definedName name="매출원6">[4]!매출원6</definedName>
    <definedName name="매출원가1" hidden="1">{#N/A,#N/A,FALSE,"Aging Summary";#N/A,#N/A,FALSE,"Ratio Analysis";#N/A,#N/A,FALSE,"Test 120 Day Accts";#N/A,#N/A,FALSE,"Tickmarks"}</definedName>
    <definedName name="매출원가사본">[4]!매출원가사본</definedName>
    <definedName name="매출채권처분손실">'[2]1300'!#REF!</definedName>
    <definedName name="매출채권할인및양도">#N/A</definedName>
    <definedName name="명가정밀공업">[2]INDEX!#REF!</definedName>
    <definedName name="명성사">[2]INDEX!#REF!</definedName>
    <definedName name="명세">#REF!</definedName>
    <definedName name="명신정공">[2]INDEX!#REF!</definedName>
    <definedName name="명진기계">[2]INDEX!#REF!</definedName>
    <definedName name="모" hidden="1">{#N/A,#N/A,FALSE,"UNIT";#N/A,#N/A,FALSE,"UNIT";#N/A,#N/A,FALSE,"계정"}</definedName>
    <definedName name="모델시작년도말">#N/A</definedName>
    <definedName name="모델시작분기말">#N/A</definedName>
    <definedName name="모듈2">BlankMacro1</definedName>
    <definedName name="목영정밀">[2]INDEX!#REF!</definedName>
    <definedName name="무형자산상각">#N/A</definedName>
    <definedName name="문서의_처음">[2]INDEX!#REF!</definedName>
    <definedName name="문의처">#REF!</definedName>
    <definedName name="문제점">'[2]2500'!#REF!</definedName>
    <definedName name="문제점5">'[2]3100'!#REF!</definedName>
    <definedName name="물가상승개시일">#N/A</definedName>
    <definedName name="물가상승률">#N/A</definedName>
    <definedName name="물자비">#N/A</definedName>
    <definedName name="뭐라">BlankMacro1</definedName>
    <definedName name="뭐라고">BlankMacro1</definedName>
    <definedName name="뭐야">BlankMacro1</definedName>
    <definedName name="뮤" hidden="1">{#N/A,#N/A,FALSE,"기술료 비교"}</definedName>
    <definedName name="미">#N/A</definedName>
    <definedName name="미수.">#N/A</definedName>
    <definedName name="미수금대손충당금">'[2]1300'!#REF!</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미지급법인세">[29]회사정보!$C$20</definedName>
    <definedName name="민감도범위">[2]INDEX!#REF!</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민투비1">#N/A</definedName>
    <definedName name="ㅂ" hidden="1">{#N/A,#N/A,FALSE,"UNIT";#N/A,#N/A,FALSE,"UNIT";#N/A,#N/A,FALSE,"계정"}</definedName>
    <definedName name="ㅂㄱ">'[2]2500'!$F$21:$M$915,'[2]2500'!$F$925:$M$948</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ㄷㅂㅈㄷㅂㅈㄷㅂ">#N/A</definedName>
    <definedName name="ㅂㅂㅂ">[4]!ㅂㅂㅂ</definedName>
    <definedName name="ㅂㅂㅂㅂ">#N/A</definedName>
    <definedName name="ㅂㅂㅂㅂㅂㅂ" hidden="1">'[2]2500'!#REF!</definedName>
    <definedName name="반">#N/A</definedName>
    <definedName name="반2">#N/A</definedName>
    <definedName name="반복학습">#N/A</definedName>
    <definedName name="받을어음">'[2]1300'!#REF!</definedName>
    <definedName name="발저스한국코팅_유_경산공장">[2]INDEX!#REF!</definedName>
    <definedName name="배1">[1]IS!$B$9</definedName>
    <definedName name="배10">[1]IS!$K$9</definedName>
    <definedName name="배2">[1]IS!$C$9</definedName>
    <definedName name="배3">[1]IS!$D$9</definedName>
    <definedName name="배4">[1]IS!$E$9</definedName>
    <definedName name="배5">[1]IS!$F$9</definedName>
    <definedName name="배6">[1]IS!$G$9</definedName>
    <definedName name="배7">[1]IS!$H$9</definedName>
    <definedName name="배8">[1]IS!$I$9</definedName>
    <definedName name="배9">[1]IS!$J$9</definedName>
    <definedName name="배부금액">#N/A</definedName>
    <definedName name="배부기준2">'[2]2500'!#REF!</definedName>
    <definedName name="배부기준2계">'[2]2500'!#REF!</definedName>
    <definedName name="배부기준계">#N/A</definedName>
    <definedName name="배부기준총계">#N/A</definedName>
    <definedName name="번호">#REF!</definedName>
    <definedName name="범용상사">[2]INDEX!#REF!</definedName>
    <definedName name="범위">#N/A</definedName>
    <definedName name="범위1">#N/A</definedName>
    <definedName name="법">[4]!법</definedName>
    <definedName name="법_인_명_상호">[28]회사정보!$C$6</definedName>
    <definedName name="법닌">[4]!법닌</definedName>
    <definedName name="법인등록번호">[5]회사정보!$C$9</definedName>
    <definedName name="법인명_상호명">[38]회사정보!$C$6</definedName>
    <definedName name="법인세">[4]!법인세</definedName>
    <definedName name="법인세비용_수정" hidden="1">{#N/A,#N/A,FALSE,"BS";#N/A,#N/A,FALSE,"PL";#N/A,#N/A,FALSE,"처분";#N/A,#N/A,FALSE,"현금";#N/A,#N/A,FALSE,"매출";#N/A,#N/A,FALSE,"원가";#N/A,#N/A,FALSE,"경영"}</definedName>
    <definedName name="법인세율">'[2]2500'!#REF!</definedName>
    <definedName name="변1">[1]IS!$B$12</definedName>
    <definedName name="변10">[1]IS!$K$12</definedName>
    <definedName name="변2">[1]IS!$C$12</definedName>
    <definedName name="변3">[1]IS!$D$12</definedName>
    <definedName name="변4">[1]IS!$E$12</definedName>
    <definedName name="변5">[1]IS!$F$12</definedName>
    <definedName name="변6">[1]IS!$G$12</definedName>
    <definedName name="변7">[1]IS!$H$12</definedName>
    <definedName name="변8">[1]IS!$I$12</definedName>
    <definedName name="변9">[1]IS!$J$12</definedName>
    <definedName name="변경만기일">#N/A</definedName>
    <definedName name="보고" hidden="1">{#N/A,#N/A,FALSE,"UNIT";#N/A,#N/A,FALSE,"UNIT";#N/A,#N/A,FALSE,"계정"}</definedName>
    <definedName name="보고기준" hidden="1">{#N/A,#N/A,FALSE,"UNIT";#N/A,#N/A,FALSE,"UNIT";#N/A,#N/A,FALSE,"계정"}</definedName>
    <definedName name="보고장표_분기_">'[2]2500'!#REF!</definedName>
    <definedName name="보증기관">#N/A</definedName>
    <definedName name="보험기준일">[31]보험!$H$59,[31]보험!$H$73,[31]보험!$H$87,[31]보험!$H$98,[31]보험!$H$116,[31]보험!$H$130,[31]보험!$H$144,[31]보험!$H$155</definedName>
    <definedName name="보험조회기준년">[31]보험!$B$59,[31]보험!$B$73,[31]보험!$B$87,[31]보험!$B$98,[31]보험!$B$116,[31]보험!$B$130,[31]보험!$B$144,[31]보험!$B$155</definedName>
    <definedName name="보험조회기준월">[31]보험!$F$59,[31]보험!$F$73,[31]보험!$F$87,[31]보험!$F$98,[31]보험!$F$116,[31]보험!$F$130,[31]보험!$F$144,[31]보험!$F$155</definedName>
    <definedName name="보험조회기준일">[31]보험!$H$59,[31]보험!$H$73,[31]보험!$H$87,[31]보험!$H$98,[31]보험!$H$116,[31]보험!$H$130,[31]보험!$H$144,[31]보험!$H$155</definedName>
    <definedName name="보험조회서번호">[31]보험!$AF$3,[31]보험!$AF$54,[31]보험!$AF$111</definedName>
    <definedName name="보험회사명">[31]보험!$M$59,[31]보험!$M$73,[31]보험!$M$98,[31]보험!$M$116,[31]보험!$M$130,[31]보험!$M$155</definedName>
    <definedName name="복구원식">#N/A</definedName>
    <definedName name="복구원식여기">#N/A</definedName>
    <definedName name="본사">#N/A</definedName>
    <definedName name="본사누계">#N/A</definedName>
    <definedName name="본사전기">#N/A</definedName>
    <definedName name="볼트수정" hidden="1">{#N/A,#N/A,FALSE,"단축1";#N/A,#N/A,FALSE,"단축2";#N/A,#N/A,FALSE,"단축3";#N/A,#N/A,FALSE,"장축";#N/A,#N/A,FALSE,"4WD"}</definedName>
    <definedName name="봉석">'[2]1100'!#REF!</definedName>
    <definedName name="부가세과세표준">[5]회사정보!$C$15</definedName>
    <definedName name="부가세과세표준1">[5]회사정보!#REF!</definedName>
    <definedName name="부도어음">'[2]1300'!#REF!</definedName>
    <definedName name="부도어음대손충당금">'[2]1300'!#REF!</definedName>
    <definedName name="부매출">#REF!</definedName>
    <definedName name="부속" hidden="1">'[2]2200'!#REF!</definedName>
    <definedName name="부일_GearTec">[2]INDEX!#REF!</definedName>
    <definedName name="부일기어공업사">[2]INDEX!#REF!</definedName>
    <definedName name="부채탕감">[2]INDEX!#REF!</definedName>
    <definedName name="부채탕감액">[2]INDEX!#REF!</definedName>
    <definedName name="부천">#N/A</definedName>
    <definedName name="부평">#N/A</definedName>
    <definedName name="북동가스">[2]INDEX!#REF!</definedName>
    <definedName name="북채">'[2]1100'!#REF!</definedName>
    <definedName name="분기별">'[2]2500'!#REF!</definedName>
    <definedName name="분양선수금">#N/A</definedName>
    <definedName name="불입횟수">'[2]1100'!#REF!</definedName>
    <definedName name="브랜드항목별추세">'[39]질의(금액)참조'!$C$14:$N$189</definedName>
    <definedName name="비례비부분">'[2]2600'!#REF!</definedName>
    <definedName name="비우기">#N/A</definedName>
    <definedName name="비월납촉진비">'[2]2600'!#REF!</definedName>
    <definedName name="ㅅ">[1]IS!#REF!</definedName>
    <definedName name="ㅅㄱ">[4]!ㅅㄱ</definedName>
    <definedName name="ㅅㄱㄴ곤">[4]!ㅅㄱㄴ곤</definedName>
    <definedName name="ㅅ건거">[4]!ㅅ건거</definedName>
    <definedName name="ㅅ곳ㄷㄴ">[4]!ㅅ곳ㄷㄴ</definedName>
    <definedName name="ㅅㄹ">[4]!ㅅㄹ</definedName>
    <definedName name="ㅅㅅㅅ" hidden="1">{"'손익현황'!$A$1:$J$29"}</definedName>
    <definedName name="ㅅㅅㅅㅅ" hidden="1">{#N/A,#N/A,FALSE,"UNIT";#N/A,#N/A,FALSE,"UNIT";#N/A,#N/A,FALSE,"계정"}</definedName>
    <definedName name="ㅅㅅㅅㅅㅅㅅㅅ" hidden="1">{#N/A,#N/A,FALSE,"UNIT";#N/A,#N/A,FALSE,"UNIT";#N/A,#N/A,FALSE,"계정"}</definedName>
    <definedName name="ㅅ슈">[4]!BlankMacro1</definedName>
    <definedName name="ㅅ언">[4]!ㅅ언</definedName>
    <definedName name="ㅅ엇ㅇ">[4]!ㅅ엇ㅇ</definedName>
    <definedName name="사" hidden="1">{#N/A,#N/A,FALSE,"BS";#N/A,#N/A,FALSE,"PL";#N/A,#N/A,FALSE,"처분";#N/A,#N/A,FALSE,"현금";#N/A,#N/A,FALSE,"매출";#N/A,#N/A,FALSE,"원가";#N/A,#N/A,FALSE,"경영"}</definedName>
    <definedName name="사곡정밀">[2]INDEX!#REF!</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1">[40]회사정보!$C$8</definedName>
    <definedName name="사업계획" hidden="1">{#N/A,#N/A,FALSE,"기술료 비교"}</definedName>
    <definedName name="사업년도_월수">[29]회사정보!$C$21</definedName>
    <definedName name="사업년도1">[38]회사정보!$C$15</definedName>
    <definedName name="사업년도2">[38]회사정보!$C$16</definedName>
    <definedName name="사업자등록번호">[38]회사정보!$C$8</definedName>
    <definedName name="사업장소재지">[29]회사정보!$C$11</definedName>
    <definedName name="사업활성" hidden="1">{#N/A,#N/A,FALSE,"UNIT";#N/A,#N/A,FALSE,"UNIT";#N/A,#N/A,FALSE,"계정"}</definedName>
    <definedName name="사외">[4]!사외</definedName>
    <definedName name="사원1계">[2]INDEX!#REF!</definedName>
    <definedName name="사원2계">[2]INDEX!#REF!</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삭제">[17]합손!#REF!</definedName>
    <definedName name="산출내역">#REF!</definedName>
    <definedName name="산출냐역">#REF!</definedName>
    <definedName name="삼">#N/A</definedName>
    <definedName name="삼구정밀">[2]INDEX!#REF!</definedName>
    <definedName name="삼보산업_주">[2]INDEX!#REF!</definedName>
    <definedName name="삼성금속">[2]INDEX!#REF!</definedName>
    <definedName name="삼성기획">[2]INDEX!#REF!</definedName>
    <definedName name="삼성멕기">[2]INDEX!#REF!</definedName>
    <definedName name="삼영기계">[2]INDEX!#REF!</definedName>
    <definedName name="삼영에프에이상사">[2]INDEX!#REF!</definedName>
    <definedName name="삼원공업">[2]INDEX!#REF!</definedName>
    <definedName name="삼익유공압_주">[2]INDEX!#REF!</definedName>
    <definedName name="삼형전기제어_주">[2]INDEX!#REF!</definedName>
    <definedName name="상_반_기">[1]IS!$F$7:$F$35</definedName>
    <definedName name="상각기준액">'[2]2500'!#REF!</definedName>
    <definedName name="상각년수">'[2]2500'!#REF!</definedName>
    <definedName name="상각률표">[41]상각률표!$A$1:$D$60</definedName>
    <definedName name="상각액누계">'[2]2500'!#REF!</definedName>
    <definedName name="상각월수">'[2]2500'!#REF!</definedName>
    <definedName name="상각율">'[2]2500'!#REF!</definedName>
    <definedName name="상각표">BlankMacro1</definedName>
    <definedName name="상반기">#N/A</definedName>
    <definedName name="상주식품">[2]INDEX!#REF!</definedName>
    <definedName name="상품매출">'[2]1300'!#REF!</definedName>
    <definedName name="상품매출원가">'[2]1300'!#REF!</definedName>
    <definedName name="상환기간">'[2]3100'!#REF!</definedName>
    <definedName name="상환후변경만기일">#N/A</definedName>
    <definedName name="새기준">[4]!BlankMacro1</definedName>
    <definedName name="새로운이름" hidden="1">{#N/A,#N/A,FALSE,"UNIT";#N/A,#N/A,FALSE,"UNIT";#N/A,#N/A,FALSE,"계정"}</definedName>
    <definedName name="새이름">[1]IS!$B$4:$N$34</definedName>
    <definedName name="새정산표">[1]BS!$A$10:$F$332</definedName>
    <definedName name="샘플비">'[2]1300'!#REF!</definedName>
    <definedName name="서룡산업">[2]INDEX!#REF!</definedName>
    <definedName name="서울보증_CFSum">#N/A</definedName>
    <definedName name="서울보증합계">#N/A</definedName>
    <definedName name="서울사무소">#N/A</definedName>
    <definedName name="서울사무소월차">#N/A</definedName>
    <definedName name="서울사무소전기">#N/A</definedName>
    <definedName name="서울센타">[2]INDEX!#REF!</definedName>
    <definedName name="선급">#N/A</definedName>
    <definedName name="선급금대손충당금">'[2]1300'!#REF!</definedName>
    <definedName name="선급법인세9">[2]INDEX!#REF!</definedName>
    <definedName name="선급비용계">#N/A</definedName>
    <definedName name="선법">#N/A</definedName>
    <definedName name="선수금" hidden="1">#REF!</definedName>
    <definedName name="선수수익">'[2]1300'!#REF!</definedName>
    <definedName name="선택">'[2]2500'!#REF!</definedName>
    <definedName name="설계2팀" hidden="1">{#N/A,#N/A,FALSE,"UNIT";#N/A,#N/A,FALSE,"UNIT";#N/A,#N/A,FALSE,"계정"}</definedName>
    <definedName name="설치누계">[4]!설치누계</definedName>
    <definedName name="성" hidden="1">{#N/A,#N/A,FALSE,"UNIT";#N/A,#N/A,FALSE,"UNIT";#N/A,#N/A,FALSE,"계정"}</definedName>
    <definedName name="성남">#N/A</definedName>
    <definedName name="성익철물">[2]INDEX!#REF!</definedName>
    <definedName name="성진">[30]!BlankMacro1</definedName>
    <definedName name="성창가구강철">[2]INDEX!#REF!</definedName>
    <definedName name="성화콘베이어벨트">[2]INDEX!#REF!</definedName>
    <definedName name="세광종합상사">[2]INDEX!#REF!</definedName>
    <definedName name="세부사항3">[4]!세부사항3</definedName>
    <definedName name="세원산업">[2]INDEX!#REF!</definedName>
    <definedName name="세원상사">[2]INDEX!#REF!</definedName>
    <definedName name="세창건드릴">[2]INDEX!#REF!</definedName>
    <definedName name="세화전기">[2]INDEX!#REF!</definedName>
    <definedName name="세화정밀">[2]INDEX!#REF!</definedName>
    <definedName name="소계정_1">[1]IS!$A$1:$R$51</definedName>
    <definedName name="소계정_2">[1]IS!$A$53:$R$106</definedName>
    <definedName name="소계정_3">[1]IS!$A$108:$R$162</definedName>
    <definedName name="소계정_4">[1]IS!$A$164:$R$205</definedName>
    <definedName name="소선경">[4]!소선경</definedName>
    <definedName name="소항목비용">#N/A</definedName>
    <definedName name="속도">[1]IS!$A$1:$A$65536</definedName>
    <definedName name="손익">#N/A</definedName>
    <definedName name="손익3" hidden="1">{#N/A,#N/A,FALSE,"UNIT";#N/A,#N/A,FALSE,"UNIT";#N/A,#N/A,FALSE,"계정"}</definedName>
    <definedName name="손익계산서">[4]!손익계산서</definedName>
    <definedName name="손익계획2월">#N/A</definedName>
    <definedName name="손익도급액열">#N/A</definedName>
    <definedName name="손익실적2월">#N/A</definedName>
    <definedName name="손익예상" hidden="1">{#N/A,#N/A,FALSE,"UNIT";#N/A,#N/A,FALSE,"UNIT";#N/A,#N/A,FALSE,"계정"}</definedName>
    <definedName name="손익정산표">#N/A</definedName>
    <definedName name="쇼바2" hidden="1">{#N/A,#N/A,FALSE,"단축1";#N/A,#N/A,FALSE,"단축2";#N/A,#N/A,FALSE,"단축3";#N/A,#N/A,FALSE,"장축";#N/A,#N/A,FALSE,"4WD"}</definedName>
    <definedName name="쇼ㅓㅇㄱ셔ㅓ">[4]!쇼ㅓㅇㄱ셔ㅓ</definedName>
    <definedName name="쇼ㅓㅇㅅ">[4]!쇼ㅓㅇㅅ</definedName>
    <definedName name="수금계획2월">#N/A</definedName>
    <definedName name="수금계획3월">#N/A</definedName>
    <definedName name="수금매크로4">#N/A</definedName>
    <definedName name="수금비비례수당">'[2]2600'!#REF!</definedName>
    <definedName name="수금비전사공동">'[2]2600'!#REF!</definedName>
    <definedName name="수금비합계">'[2]2600'!#REF!</definedName>
    <definedName name="수금실적2월">#N/A</definedName>
    <definedName name="수남로구로">[2]INDEX!#REF!</definedName>
    <definedName name="수도광열비">'[2]1300'!#REF!</definedName>
    <definedName name="수보누계">#N/A</definedName>
    <definedName name="수원">#N/A</definedName>
    <definedName name="수원철도">#N/A</definedName>
    <definedName name="수입이자">#N/A</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분">#N/A</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주정보">[1]IS!$A$1:$W$65536</definedName>
    <definedName name="순공사비합계">#N/A</definedName>
    <definedName name="숫자변환">#N/A</definedName>
    <definedName name="슈규">[4]!BlankMacro1</definedName>
    <definedName name="슛">[4]!슛</definedName>
    <definedName name="슛ㄱ">[4]!BlankMacro1</definedName>
    <definedName name="스1">[1]IS!$B$10</definedName>
    <definedName name="스10">[1]IS!$K$10</definedName>
    <definedName name="스2">[1]IS!$C$10</definedName>
    <definedName name="스3">[1]IS!$D$10</definedName>
    <definedName name="스4">[1]IS!$E$10</definedName>
    <definedName name="스5">[1]IS!$F$10</definedName>
    <definedName name="스6">[1]IS!$G$10</definedName>
    <definedName name="스7">[1]IS!$H$10</definedName>
    <definedName name="스8">[1]IS!$I$10</definedName>
    <definedName name="스9">[1]IS!$J$10</definedName>
    <definedName name="스케쥴">[2]INDEX!#REF!</definedName>
    <definedName name="승진산업">[2]INDEX!#REF!</definedName>
    <definedName name="시뮬레이션">[2]INDEX!#REF!</definedName>
    <definedName name="시산표">[42]INPUT!$D$15</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두께">[4]!시스두께</definedName>
    <definedName name="시스템" hidden="1">{#N/A,#N/A,FALSE,"UNIT";#N/A,#N/A,FALSE,"UNIT";#N/A,#N/A,FALSE,"계정"}</definedName>
    <definedName name="시트">[4]!시트</definedName>
    <definedName name="시트선택11">#N/A</definedName>
    <definedName name="시트선택21">#N/A</definedName>
    <definedName name="신규" hidden="1">{#N/A,#N/A,FALSE,"UNIT";#N/A,#N/A,FALSE,"UNIT";#N/A,#N/A,FALSE,"계정"}</definedName>
    <definedName name="신규설정자">[4]!신규설정자</definedName>
    <definedName name="신동양산업">[2]INDEX!#REF!</definedName>
    <definedName name="신라정밀">[2]INDEX!#REF!</definedName>
    <definedName name="신보리스">#N/A</definedName>
    <definedName name="신보서브리스">#N/A</definedName>
    <definedName name="신보외화대출">#N/A</definedName>
    <definedName name="신부1">#N/A</definedName>
    <definedName name="신부2">#N/A</definedName>
    <definedName name="신비1">#N/A</definedName>
    <definedName name="신비2">#N/A</definedName>
    <definedName name="신성종합물산_주_대구지점">[2]INDEX!#REF!</definedName>
    <definedName name="신수1">#N/A</definedName>
    <definedName name="신수2">#N/A</definedName>
    <definedName name="신신자">#N/A</definedName>
    <definedName name="신자">#N/A</definedName>
    <definedName name="신자1">#N/A</definedName>
    <definedName name="신자2">#N/A</definedName>
    <definedName name="신주발행비">#N/A</definedName>
    <definedName name="신진로기계공업_주">[2]INDEX!#REF!</definedName>
    <definedName name="신한공구상사">[2]INDEX!#REF!</definedName>
    <definedName name="실1">'[2]3100'!#REF!</definedName>
    <definedName name="실1여기">'[2]3100'!#REF!</definedName>
    <definedName name="실2">#N/A</definedName>
    <definedName name="실2여기">#N/A</definedName>
    <definedName name="실3">'[2]2500'!#REF!</definedName>
    <definedName name="실3여기">'[2]2500'!#REF!</definedName>
    <definedName name="실5">[2]INDEX!#REF!</definedName>
    <definedName name="실5여기">[2]INDEX!#REF!</definedName>
    <definedName name="실6">'[2]3100'!#REF!</definedName>
    <definedName name="실6여기">'[2]3100'!#REF!</definedName>
    <definedName name="실적4월" hidden="1">{#N/A,#N/A,FALSE,"UNIT";#N/A,#N/A,FALSE,"UNIT";#N/A,#N/A,FALSE,"계정"}</definedName>
    <definedName name="실적6월" hidden="1">{#N/A,#N/A,FALSE,"UNIT";#N/A,#N/A,FALSE,"UNIT";#N/A,#N/A,FALSE,"계정"}</definedName>
    <definedName name="실제유지비계">'[2]2600'!#REF!</definedName>
    <definedName name="십이월">'[2]2500'!#REF!</definedName>
    <definedName name="쌍용엔지니어링">[2]INDEX!#REF!</definedName>
    <definedName name="씨스텍">[2]INDEX!#REF!</definedName>
    <definedName name="ㅇ">#N/A</definedName>
    <definedName name="ㅇADKFJDA" hidden="1">{#N/A,#N/A,FALSE,"을지 (4)";#N/A,#N/A,FALSE,"을지 (5)";#N/A,#N/A,FALSE,"을지 (6)"}</definedName>
    <definedName name="ㅇㄱ류">[4]!ㅇㄱ류</definedName>
    <definedName name="ㅇㄱㅍ">[4]!BlankMacro1</definedName>
    <definedName name="ㅇㄱ호">[4]!BlankMacro1</definedName>
    <definedName name="ㅇㄴ">BlankMacro1</definedName>
    <definedName name="ㅇㄴㅇㄹ">[4]!ㅇㄴㅇㄹ</definedName>
    <definedName name="ㅇㄴㅇㄹㅇ">[4]!ㅇㄴㅇㄹㅇ</definedName>
    <definedName name="ㅇㄴㅇㅇ" hidden="1">{#N/A,#N/A,FALSE,"UNIT";#N/A,#N/A,FALSE,"UNIT";#N/A,#N/A,FALSE,"계정"}</definedName>
    <definedName name="ㅇㄷㄷ">[4]!BlankMacro1</definedName>
    <definedName name="ㅇㄷㅇ">[4]!BlankMacro1</definedName>
    <definedName name="ㅇㄹ">#N/A</definedName>
    <definedName name="ㅇㄹ고ㅜ">[4]!BlankMacro1</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[27]XREF!#REF!</definedName>
    <definedName name="ㅇㄹㅇㄹ">{#N/A,#N/A,FALSE,"UNIT";#N/A,#N/A,FALSE,"UNIT";#N/A,#N/A,FALSE,"계정"}</definedName>
    <definedName name="ㅇㄹㅇㄹㅇㄹㅇ" hidden="1">{#N/A,#N/A,FALSE,"UNIT";#N/A,#N/A,FALSE,"UNIT";#N/A,#N/A,FALSE,"계정"}</definedName>
    <definedName name="ㅇㄹㅇㄹㅇㄹㅇㄹㅇ">'[2]3100'!#REF!</definedName>
    <definedName name="ㅇㄹㅇㄹㅇㄹㅇㄹㅇㄹ">#N/A</definedName>
    <definedName name="ㅇ로">[4]!ㅇ로</definedName>
    <definedName name="ㅇㅁㅇㄹㅇㄴㅁㄹㅇㅁㄹㅇㄴㅁㄹㅇㄴㅁ">BlankMacro1</definedName>
    <definedName name="ㅇㅅ거ㅛ">[4]!ㅇㅅ거ㅛ</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니오닫는다">#N/A</definedName>
    <definedName name="아니이게뭐야">BlankMacro1</definedName>
    <definedName name="아름다은" hidden="1">{#N/A,#N/A,FALSE,"BS";#N/A,#N/A,FALSE,"PL";#N/A,#N/A,FALSE,"처분";#N/A,#N/A,FALSE,"현금";#N/A,#N/A,FALSE,"매출";#N/A,#N/A,FALSE,"원가";#N/A,#N/A,FALSE,"경영"}</definedName>
    <definedName name="아아">#REF!</definedName>
    <definedName name="아이구">#N/A</definedName>
    <definedName name="아주철강_주">[2]INDEX!#REF!</definedName>
    <definedName name="아ㅏ아아아아아" hidden="1">{#N/A,#N/A,FALSE,"UNIT";#N/A,#N/A,FALSE,"UNIT";#N/A,#N/A,FALSE,"계정"}</definedName>
    <definedName name="악정">#N/A</definedName>
    <definedName name="애경씨엔피">[2]INDEX!#REF!</definedName>
    <definedName name="야" hidden="1">{#N/A,#N/A,FALSE,"UNIT";#N/A,#N/A,FALSE,"UNIT";#N/A,#N/A,FALSE,"계정"}</definedName>
    <definedName name="양" hidden="1">{#N/A,#N/A,FALSE,"UNIT";#N/A,#N/A,FALSE,"UNIT";#N/A,#N/A,FALSE,"계정"}</definedName>
    <definedName name="양산">#N/A</definedName>
    <definedName name="어">BlankMacro1</definedName>
    <definedName name="어렵네용">[4]!어렵네용</definedName>
    <definedName name="어서">[4]!어서</definedName>
    <definedName name="업_태">[29]회사정보!$C$12</definedName>
    <definedName name="엔">10.1287</definedName>
    <definedName name="엔화">9.9641</definedName>
    <definedName name="연간예상" hidden="1">{#N/A,#N/A,FALSE,"UNIT";#N/A,#N/A,FALSE,"UNIT";#N/A,#N/A,FALSE,"계정"}</definedName>
    <definedName name="연결정산표2" hidden="1">{#N/A,#N/A,FALSE,"Aging Summary";#N/A,#N/A,FALSE,"Ratio Analysis";#N/A,#N/A,FALSE,"Test 120 Day Accts";#N/A,#N/A,FALSE,"Tickmarks"}</definedName>
    <definedName name="연구보조금">'[2]1300'!#REF!</definedName>
    <definedName name="연구소계" hidden="1">{"'5국공정'!$A$1:$E$128"}</definedName>
    <definedName name="연리">#N/A</definedName>
    <definedName name="연말손익" hidden="1">{#N/A,#N/A,FALSE,"UNIT";#N/A,#N/A,FALSE,"UNIT";#N/A,#N/A,FALSE,"계정"}</definedName>
    <definedName name="연속">[4]!연속</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11">#N/A</definedName>
    <definedName name="연습2">'[2]3100'!#REF!</definedName>
    <definedName name="연습습">#N/A</definedName>
    <definedName name="연습습습">[2]INDEX!#REF!</definedName>
    <definedName name="영남OA시스템">[2]INDEX!#REF!</definedName>
    <definedName name="영남케스트롤">[2]INDEX!#REF!</definedName>
    <definedName name="영업">[2]INDEX!#REF!</definedName>
    <definedName name="영업1">[2]INDEX!#REF!</definedName>
    <definedName name="영업2">[2]INDEX!#REF!</definedName>
    <definedName name="영업권">'[2]1300'!#REF!</definedName>
    <definedName name="영업권상각">'[2]1300'!#REF!</definedName>
    <definedName name="영업법인세">[2]INDEX!#REF!</definedName>
    <definedName name="영화정밀">[2]INDEX!#REF!</definedName>
    <definedName name="예정유지비계">'[2]2600'!#REF!</definedName>
    <definedName name="예치보증금">'[2]1300'!#REF!</definedName>
    <definedName name="오">#N/A</definedName>
    <definedName name="오." hidden="1">{#N/A,#N/A,FALSE,"UNIT";#N/A,#N/A,FALSE,"UNIT";#N/A,#N/A,FALSE,"계정"}</definedName>
    <definedName name="오.." hidden="1">{#N/A,#N/A,FALSE,"UNIT";#N/A,#N/A,FALSE,"UNIT";#N/A,#N/A,FALSE,"계정"}</definedName>
    <definedName name="옫">[4]!BlankMacro1</definedName>
    <definedName name="완성외경">[4]!완성외경</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상">[43]선급금!$A$8:$H$229</definedName>
    <definedName name="외상감소외화">#N/A</definedName>
    <definedName name="외상감소원화">#N/A</definedName>
    <definedName name="외상매출금">[44]대차대조표!$E$13:$M$14</definedName>
    <definedName name="외상매출대손충당금">'[2]1300'!#REF!</definedName>
    <definedName name="외상매출외화">#N/A</definedName>
    <definedName name="외상매출원화">#N/A</definedName>
    <definedName name="외상미출금rollback">[43]선급금!$E$7:$L$7</definedName>
    <definedName name="외상전기외화">#N/A</definedName>
    <definedName name="외상전기원화">#N/A</definedName>
    <definedName name="외상증가외화">#N/A</definedName>
    <definedName name="외상증가원화">#N/A</definedName>
    <definedName name="외주공사">#N/A</definedName>
    <definedName name="외화당좌">'[2]1300'!#REF!</definedName>
    <definedName name="외화매입">#N/A</definedName>
    <definedName name="외화외상증가">'[2]2600'!#REF!</definedName>
    <definedName name="요" hidden="1">{#N/A,#N/A,FALSE,"BS";#N/A,#N/A,FALSE,"PL";#N/A,#N/A,FALSE,"처분";#N/A,#N/A,FALSE,"현금";#N/A,#N/A,FALSE,"매출";#N/A,#N/A,FALSE,"원가";#N/A,#N/A,FALSE,"경영"}</definedName>
    <definedName name="요섟언">[4]!요섟언</definedName>
    <definedName name="요약" hidden="1">{#N/A,#N/A,FALSE,"BS";#N/A,#N/A,FALSE,"PL";#N/A,#N/A,FALSE,"처분";#N/A,#N/A,FALSE,"현금";#N/A,#N/A,FALSE,"매출";#N/A,#N/A,FALSE,"원가";#N/A,#N/A,FALSE,"경영"}</definedName>
    <definedName name="용산4F">#N/A</definedName>
    <definedName name="용성정밀">[2]INDEX!#REF!</definedName>
    <definedName name="용인">#N/A</definedName>
    <definedName name="우리">#N/A</definedName>
    <definedName name="우발채무">#N/A</definedName>
    <definedName name="우성산업사">[2]INDEX!#REF!</definedName>
    <definedName name="우성철강_주">[2]INDEX!#REF!</definedName>
    <definedName name="우성테크">[2]INDEX!#REF!</definedName>
    <definedName name="우영산업">[2]INDEX!#REF!</definedName>
    <definedName name="운반비9">[4]!운반비9</definedName>
    <definedName name="운송">'[2]3100'!#REF!</definedName>
    <definedName name="운송ㅁ">'[2]3100'!#REF!</definedName>
    <definedName name="운송명세">'[2]3100'!#REF!</definedName>
    <definedName name="운영개시일_송절고">#N/A</definedName>
    <definedName name="운영종료일_송절고">#N/A</definedName>
    <definedName name="원">[42]INPUT!$A$5:$BM$1819</definedName>
    <definedName name="원가분개">#N/A</definedName>
    <definedName name="원방주철_주">[2]INDEX!#REF!</definedName>
    <definedName name="원재료">[42]INPUT!$C$5:'[42]INPUT'!$BN$1819</definedName>
    <definedName name="원재료1">#REF!</definedName>
    <definedName name="월자금">[30]!BlankMacro1</definedName>
    <definedName name="유가증권처분손실">'[2]1300'!#REF!</definedName>
    <definedName name="유니패킹주식회사">[2]INDEX!#REF!</definedName>
    <definedName name="유동성장기부채">'[2]1300'!#REF!</definedName>
    <definedName name="유성정밀공업_주">[2]INDEX!#REF!</definedName>
    <definedName name="유형자산처분2차">[4]!BLCH</definedName>
    <definedName name="유효">[2]INDEX!#REF!</definedName>
    <definedName name="육">#N/A</definedName>
    <definedName name="윤기철">[4]!BlankMacro1</definedName>
    <definedName name="은진통상">[2]INDEX!#REF!</definedName>
    <definedName name="은행조회기준년">[31]은행!$B$59,[31]은행!$B$119,[31]은행!$B$178,[31]은행!$P$207,[31]은행!$B$238,[31]은행!$P$267,[31]은행!$B$298,[31]은행!$B$323,[31]은행!$B$358,[31]은행!$B$383,[31]은행!$Z$443,[31]은행!$Z$503</definedName>
    <definedName name="은행조회기준월">[31]은행!$E$59,[31]은행!$E$119,[31]은행!$E$178,[31]은행!$S$207,[31]은행!$E$238,[31]은행!$S$267,[31]은행!$E$298,[31]은행!$E$323,[31]은행!$E$358,[31]은행!$E$383,[31]은행!$AC$443,[31]은행!$AC$503</definedName>
    <definedName name="은행조회기준일">[31]은행!$G$59,[31]은행!$G$119,[31]은행!$G$178,[31]은행!$U$207,[31]은행!$G$238,[31]은행!$U$267,[31]은행!$G$298,[31]은행!$G$323,[31]은행!$G$358,[31]은행!$G$383,[31]은행!$AE$443,[31]은행!$AE$503</definedName>
    <definedName name="은행조회서번호">[31]은행!$AF$3,[31]은행!$AF$56,[31]은행!$AF$116,[31]은행!$AF$176,[31]은행!$AF$236,[31]은행!$AF$296,[31]은행!$AF$356,[31]은행!$AF$416,[31]은행!$AF$476</definedName>
    <definedName name="은행회사명">[31]은행!$K$59,[31]은행!$W$100,[31]은행!$K$119,[31]은행!$W$160,[31]은행!$K$178,[31]은행!$F$207,[31]은행!$K$238,[31]은행!$F$267,[31]은행!$K$298,[31]은행!$K$323,[31]은행!$K$358,[31]은행!$K$383,[31]은행!$B$418,[31]은행!$E$443,[31]은행!$B$478,[31]은행!$E$503</definedName>
    <definedName name="이" hidden="1">{#N/A,#N/A,FALSE,"BS";#N/A,#N/A,FALSE,"PL";#N/A,#N/A,FALSE,"처분";#N/A,#N/A,FALSE,"현금";#N/A,#N/A,FALSE,"매출";#N/A,#N/A,FALSE,"원가";#N/A,#N/A,FALSE,"경영"}</definedName>
    <definedName name="이노테크">[2]INDEX!#REF!</definedName>
    <definedName name="이동" hidden="1">{#N/A,#N/A,FALSE,"을지 (4)";#N/A,#N/A,FALSE,"을지 (5)";#N/A,#N/A,FALSE,"을지 (6)"}</definedName>
    <definedName name="이동MACRO.매출총이익율구하기MACRO">#N/A</definedName>
    <definedName name="이동평균12개월">ROUND(AVERAGE([2]INDEX!XFD1:XFD1048566),0)</definedName>
    <definedName name="이런" hidden="1">{"'보고양식'!$A$58:$K$111"}</definedName>
    <definedName name="이름">'[2]3100'!#REF!</definedName>
    <definedName name="이목공예센타">[2]INDEX!#REF!</definedName>
    <definedName name="이성일" hidden="1">{"'5국공정'!$A$1:$E$128"}</definedName>
    <definedName name="이어ㅣㅏ">#N/A</definedName>
    <definedName name="이연자산">'[2]1300'!#REF!</definedName>
    <definedName name="이우러">#REF!</definedName>
    <definedName name="이자보상비율">[2]INDEX!#REF!</definedName>
    <definedName name="이자비용">BlankMacro1</definedName>
    <definedName name="이자수익OVERALL">[4]!prt6bn252bt288</definedName>
    <definedName name="이재근">'[2]2500'!#REF!</definedName>
    <definedName name="이형관">#N/A</definedName>
    <definedName name="인건비1">#N/A</definedName>
    <definedName name="인니" hidden="1">{#N/A,#N/A,FALSE,"UNIT";#N/A,#N/A,FALSE,"UNIT";#N/A,#N/A,FALSE,"계정"}</definedName>
    <definedName name="인도네시아" hidden="1">{#N/A,#N/A,FALSE,"UNIT";#N/A,#N/A,FALSE,"UNIT";#N/A,#N/A,FALSE,"계정"}</definedName>
    <definedName name="인사">'[2]2500'!#REF!</definedName>
    <definedName name="인사1">'[2]2500'!#REF!</definedName>
    <definedName name="인사현황_연령_List">#N/A</definedName>
    <definedName name="인쇄01">#N/A</definedName>
    <definedName name="인쇄영역">[2]INDEX!$B$1:$F$18,[2]INDEX!#REF!,[2]INDEX!#REF!</definedName>
    <definedName name="인쇄제목">[1]IS!$A$5:$IV$5</definedName>
    <definedName name="인수">#N/A</definedName>
    <definedName name="인원">#N/A</definedName>
    <definedName name="인원계">#N/A</definedName>
    <definedName name="인천">#N/A</definedName>
    <definedName name="일">#N/A</definedName>
    <definedName name="일광정밀">[2]INDEX!#REF!</definedName>
    <definedName name="일년차">'[2]2500'!#REF!</definedName>
    <definedName name="일단끝">[2]INDEX!#REF!</definedName>
    <definedName name="일반">#N/A</definedName>
    <definedName name="일산100">'[2]1100'!#REF!</definedName>
    <definedName name="일심정밀">[2]INDEX!#REF!</definedName>
    <definedName name="일위" hidden="1">[2]INDEX!#REF!</definedName>
    <definedName name="임시">#N/A</definedName>
    <definedName name="입출고삭제">[45]!입출고삭제</definedName>
    <definedName name="잉여금정산표">#N/A</definedName>
    <definedName name="ㅈ">'[2]2500'!$I$383:$I$915,'[2]2500'!$I$925:$I$948</definedName>
    <definedName name="ㅈㄷㄱ" hidden="1">{#N/A,#N/A,FALSE,"BS";#N/A,#N/A,FALSE,"PL";#N/A,#N/A,FALSE,"처분";#N/A,#N/A,FALSE,"현금";#N/A,#N/A,FALSE,"매출";#N/A,#N/A,FALSE,"원가";#N/A,#N/A,FALSE,"경영"}</definedName>
    <definedName name="ㅈㄷㄱㄱㄱㄱ">#N/A</definedName>
    <definedName name="ㅈㅈ" hidden="1">{#N/A,#N/A,FALSE,"을지 (4)";#N/A,#N/A,FALSE,"을지 (5)";#N/A,#N/A,FALSE,"을지 (6)"}</definedName>
    <definedName name="ㅈㅈㄷ">[2]INDEX!#REF!</definedName>
    <definedName name="ㅈㅈㅈ" hidden="1">{#N/A,#N/A,FALSE,"BS";#N/A,#N/A,FALSE,"PL";#N/A,#N/A,FALSE,"처분";#N/A,#N/A,FALSE,"현금";#N/A,#N/A,FALSE,"매출";#N/A,#N/A,FALSE,"원가";#N/A,#N/A,FALSE,"경영"}</definedName>
    <definedName name="ㅈㅈㅈㅈ">'[2]2500'!#REF!</definedName>
    <definedName name="ㅈㅈㅈㅈㅈㅈㅈ">#N/A</definedName>
    <definedName name="ㅈㅈㅈㅈㅈㅈㅈㅈㅈ">[2]INDEX!#REF!</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기자본율">'[2]3100'!#REF!</definedName>
    <definedName name="자동화" hidden="1">{#N/A,#N/A,FALSE,"UNIT";#N/A,#N/A,FALSE,"UNIT";#N/A,#N/A,FALSE,"계정"}</definedName>
    <definedName name="자료">OFFSET([2]INDEX!$A$10,0,0,COUNTA([2]INDEX!$A$1:$A$65536),COUNTA([2]INDEX!$A$10:$IV$10))</definedName>
    <definedName name="자료1">[4]!자료1</definedName>
    <definedName name="자료2">[4]!자료2</definedName>
    <definedName name="자본">[4]!자본</definedName>
    <definedName name="자본2">[4]!BlankMacro1</definedName>
    <definedName name="자본변동표3" hidden="1">{#N/A,#N/A,FALSE,"Aging Summary";#N/A,#N/A,FALSE,"Ratio Analysis";#N/A,#N/A,FALSE,"Test 120 Day Accts";#N/A,#N/A,FALSE,"Tickmarks"}</definedName>
    <definedName name="자본조정">'[2]1300'!#REF!</definedName>
    <definedName name="자산처분4차">[4]!BLCH</definedName>
    <definedName name="자산총계">'[2]3100'!A1048563+'[2]3100'!A1048567+'[2]3100'!A1048569+'[2]3100'!A1048575</definedName>
    <definedName name="잔존가액">'[2]2500'!#REF!</definedName>
    <definedName name="잔존년">'[2]2500'!#REF!</definedName>
    <definedName name="잡비">'[2]1300'!#REF!</definedName>
    <definedName name="잡손실">'[2]1300'!#REF!</definedName>
    <definedName name="장VP" hidden="1">{#N/A,#N/A,FALSE,"UNIT";#N/A,#N/A,FALSE,"UNIT";#N/A,#N/A,FALSE,"계정"}</definedName>
    <definedName name="장기금융상품">'[2]1300'!#REF!</definedName>
    <definedName name="장기미수금" hidden="1">{#N/A,#N/A,FALSE,"UNIT";#N/A,#N/A,FALSE,"UNIT";#N/A,#N/A,FALSE,"계정"}</definedName>
    <definedName name="장기환산평가">#N/A</definedName>
    <definedName name="장단기차입금">BlankMacro1</definedName>
    <definedName name="장부가액">#N/A</definedName>
    <definedName name="장부가액합계">#N/A</definedName>
    <definedName name="장산교">'[2]3100'!#REF!</definedName>
    <definedName name="재">'[2]2500'!#REF!</definedName>
    <definedName name="재경" hidden="1">{#N/A,#N/A,FALSE,"UNIT";#N/A,#N/A,FALSE,"UNIT";#N/A,#N/A,FALSE,"계정"}</definedName>
    <definedName name="재고아ㅏㅏ">'[2]3100'!#REF!</definedName>
    <definedName name="재고자산">[34]COBS!$G$19</definedName>
    <definedName name="재고자산평가손실">'[2]1300'!#REF!</definedName>
    <definedName name="재공">'[2]2600'!#REF!</definedName>
    <definedName name="재공품">#N/A</definedName>
    <definedName name="재료" hidden="1">{#N/A,#N/A,FALSE,"UNIT";#N/A,#N/A,FALSE,"UNIT";#N/A,#N/A,FALSE,"계정"}</definedName>
    <definedName name="재료비">'[2]3100'!#REF!</definedName>
    <definedName name="저장품">[4]!저장품</definedName>
    <definedName name="저저" hidden="1">{#N/A,#N/A,FALSE,"UNIT";#N/A,#N/A,FALSE,"UNIT";#N/A,#N/A,FALSE,"계정"}</definedName>
    <definedName name="전_화_번_호">[35]회사정보!$C$12</definedName>
    <definedName name="전기_CODE">#N/A</definedName>
    <definedName name="전기_취득금액">#N/A</definedName>
    <definedName name="전기오류수정손실">'[2]1300'!#REF!</definedName>
    <definedName name="전기이월결손금">'[2]1300'!#REF!</definedName>
    <definedName name="전력_사용금액계">#N/A</definedName>
    <definedName name="전력량">#N/A</definedName>
    <definedName name="전력사용량">#N/A</definedName>
    <definedName name="전산">[1]IS!$A$2:$J$92</definedName>
    <definedName name="전상각누계">'[2]2500'!#REF!</definedName>
    <definedName name="전상각잔액">'[2]2500'!#REF!</definedName>
    <definedName name="전신전화가입권">'[2]1300'!#REF!</definedName>
    <definedName name="전장DOM">[4]!전장DOM</definedName>
    <definedName name="전화번호">[29]회사정보!$C$14</definedName>
    <definedName name="절연두께">[4]!절연두께</definedName>
    <definedName name="정" hidden="1">{#N/A,#N/A,FALSE,"UNIT";#N/A,#N/A,FALSE,"UNIT";#N/A,#N/A,FALSE,"계정"}</definedName>
    <definedName name="정격용량">[1]IS!$A$4:$IV$4</definedName>
    <definedName name="정리">[4]!정리</definedName>
    <definedName name="정문" hidden="1">{#N/A,#N/A,FALSE,"UNIT";#N/A,#N/A,FALSE,"UNIT";#N/A,#N/A,FALSE,"계정"}</definedName>
    <definedName name="정문식" hidden="1">{#N/A,#N/A,FALSE,"UNIT";#N/A,#N/A,FALSE,"UNIT";#N/A,#N/A,FALSE,"계정"}</definedName>
    <definedName name="정부보조비율">'[2]3100'!#REF!</definedName>
    <definedName name="정상채권_CF">'[2]1400'!#REF!</definedName>
    <definedName name="정안철강_주">[2]INDEX!#REF!</definedName>
    <definedName name="젖">[2]INDEX!#REF!</definedName>
    <definedName name="제일연마">[2]INDEX!#REF!</definedName>
    <definedName name="제조">'[2]1300'!#REF!</definedName>
    <definedName name="제조1부문제">'[2]3100'!#REF!</definedName>
    <definedName name="제조수도광열비">'[2]1300'!#REF!</definedName>
    <definedName name="제품매출">'[2]1300'!#REF!</definedName>
    <definedName name="제품매출액">#N/A</definedName>
    <definedName name="제품번호">#N/A</definedName>
    <definedName name="제품별">#N/A</definedName>
    <definedName name="제품별사업전략" hidden="1">{#N/A,#N/A,FALSE,"UNIT";#N/A,#N/A,FALSE,"UNIT";#N/A,#N/A,FALSE,"계정"}</definedName>
    <definedName name="조" hidden="1">{#N/A,#N/A,FALSE,"BS";#N/A,#N/A,FALSE,"PL";#N/A,#N/A,FALSE,"처분";#N/A,#N/A,FALSE,"현금";#N/A,#N/A,FALSE,"매출";#N/A,#N/A,FALSE,"원가";#N/A,#N/A,FALSE,"경영"}</definedName>
    <definedName name="조기상환후변경만기일">#N/A</definedName>
    <definedName name="조사기준일">[2]INDEX!#REF!</definedName>
    <definedName name="조정" hidden="1">#REF!</definedName>
    <definedName name="조회금액">#REF!</definedName>
    <definedName name="조회번호">#REF!</definedName>
    <definedName name="조회서번호">#REF!</definedName>
    <definedName name="조회서인쇄범위">#REF!</definedName>
    <definedName name="조회인">#REF!</definedName>
    <definedName name="조회일자">#REF!</definedName>
    <definedName name="조회주화면">#N/A</definedName>
    <definedName name="종_목">[29]회사정보!$C$13</definedName>
    <definedName name="좆먹어">#N/A</definedName>
    <definedName name="주" hidden="1">{#N/A,#N/A,FALSE,"UNIT";#N/A,#N/A,FALSE,"UNIT";#N/A,#N/A,FALSE,"계정"}</definedName>
    <definedName name="주_경남기업">[2]INDEX!#REF!</definedName>
    <definedName name="주_국인산업">[2]INDEX!#REF!</definedName>
    <definedName name="주_국일종합상사">[2]INDEX!#REF!</definedName>
    <definedName name="주_금구산업">[2]INDEX!#REF!</definedName>
    <definedName name="주_기남상사">[2]INDEX!#REF!</definedName>
    <definedName name="주_대경특수산업">[2]INDEX!#REF!</definedName>
    <definedName name="주_대명">[2]INDEX!#REF!</definedName>
    <definedName name="주_대신특수강">[2]INDEX!#REF!</definedName>
    <definedName name="주_대우정밀">[2]INDEX!#REF!</definedName>
    <definedName name="주_동서엠티">[2]INDEX!#REF!</definedName>
    <definedName name="주_동아금속_김해">[2]INDEX!#REF!</definedName>
    <definedName name="주_동양특수강">[2]INDEX!#REF!</definedName>
    <definedName name="주_루보창원사무소">[2]INDEX!#REF!</definedName>
    <definedName name="주_미륭산업">[2]INDEX!#REF!</definedName>
    <definedName name="주_부성파이프">[2]INDEX!#REF!</definedName>
    <definedName name="주_부쉬코리아">[2]INDEX!#REF!</definedName>
    <definedName name="주_비엠금속">[2]INDEX!#REF!</definedName>
    <definedName name="주_삼도기업">[2]INDEX!#REF!</definedName>
    <definedName name="주_선명무역">[2]INDEX!#REF!</definedName>
    <definedName name="주_성진">[2]INDEX!#REF!</definedName>
    <definedName name="주_세교하이텍">[2]INDEX!#REF!</definedName>
    <definedName name="주_송림정보">[2]INDEX!#REF!</definedName>
    <definedName name="주_스틸카스피">[2]INDEX!#REF!</definedName>
    <definedName name="주_아세아스틸">[2]INDEX!#REF!</definedName>
    <definedName name="주_아세아철강">[2]INDEX!#REF!</definedName>
    <definedName name="주_연일금속">[2]INDEX!#REF!</definedName>
    <definedName name="주_용천정공">[2]INDEX!#REF!</definedName>
    <definedName name="주_월드테크">[2]INDEX!#REF!</definedName>
    <definedName name="주_율아">[2]INDEX!#REF!</definedName>
    <definedName name="주_조흥기전">[2]INDEX!#REF!</definedName>
    <definedName name="주_진전사">[2]INDEX!#REF!</definedName>
    <definedName name="주_태영화학">[2]INDEX!#REF!</definedName>
    <definedName name="주_태흥환경개발">[2]INDEX!#REF!</definedName>
    <definedName name="주_티피씨">[2]INDEX!#REF!</definedName>
    <definedName name="주_풍남상공">[2]INDEX!#REF!</definedName>
    <definedName name="주_풍성산업">[2]INDEX!#REF!</definedName>
    <definedName name="주_한국비철파주공장">[2]INDEX!#REF!</definedName>
    <definedName name="주_한국산업안전">[2]INDEX!#REF!</definedName>
    <definedName name="주_호성베아링">[2]INDEX!#REF!</definedName>
    <definedName name="주_화성다이케스팅">[2]INDEX!#REF!</definedName>
    <definedName name="주부신수익권증서_400">#N/A</definedName>
    <definedName name="주소">#REF!</definedName>
    <definedName name="주식발행초과금">[5]회사정보!#REF!</definedName>
    <definedName name="주임조">'[2]2600'!#REF!</definedName>
    <definedName name="주임종">'[2]1100'!#REF!</definedName>
    <definedName name="주임종1">'[2]2600'!#REF!</definedName>
    <definedName name="주임종1231">'[2]1100'!#REF!</definedName>
    <definedName name="주임종장기">'[2]2600'!#REF!</definedName>
    <definedName name="주임종장기대여금">'[2]2600'!#REF!</definedName>
    <definedName name="주재원" hidden="1">#REF!</definedName>
    <definedName name="주차계획" hidden="1">{#N/A,#N/A,FALSE,"UNIT";#N/A,#N/A,FALSE,"UNIT";#N/A,#N/A,FALSE,"계정"}</definedName>
    <definedName name="주택">#N/A</definedName>
    <definedName name="준비기간">[2]INDEX!#REF!</definedName>
    <definedName name="중간요약" hidden="1">{#N/A,#N/A,FALSE,"BS";#N/A,#N/A,FALSE,"PL";#N/A,#N/A,FALSE,"처분";#N/A,#N/A,FALSE,"현금";#N/A,#N/A,FALSE,"매출";#N/A,#N/A,FALSE,"원가";#N/A,#N/A,FALSE,"경영"}</definedName>
    <definedName name="중계정_누계_">'[2]2500'!#REF!</definedName>
    <definedName name="중계정_당월_">'[2]2500'!#REF!</definedName>
    <definedName name="중계젖_누계_">#N/A</definedName>
    <definedName name="중계젖_당월_">#N/A</definedName>
    <definedName name="중대한_비감사서비스를_제공할_예정인가?">'[33]1100A'!#REF!</definedName>
    <definedName name="중도정산기준일">#N/A</definedName>
    <definedName name="중산공업">[2]INDEX!#REF!</definedName>
    <definedName name="중소기업해당여부">[29]회사정보!$C$18</definedName>
    <definedName name="중앙" hidden="1">{#N/A,#N/A,FALSE,"단축1";#N/A,#N/A,FALSE,"단축2";#N/A,#N/A,FALSE,"단축3";#N/A,#N/A,FALSE,"장축";#N/A,#N/A,FALSE,"4WD"}</definedName>
    <definedName name="증감1">[1]BS!XFC1-[1]BS!XFA1</definedName>
    <definedName name="증감2">[1]BS!XFC1-[1]BS!XEZ1</definedName>
    <definedName name="증감구로">#N/A</definedName>
    <definedName name="증감본사누계">#N/A</definedName>
    <definedName name="증감부평">#N/A</definedName>
    <definedName name="증감서울">#N/A</definedName>
    <definedName name="증감율1">([1]BS!XFC1-[1]BS!XFA1)/[1]BS!XFA1*100</definedName>
    <definedName name="증감율2">([1]BS!XFC1-[1]BS!XEZ1)/[1]BS!XEZ1*100</definedName>
    <definedName name="증감창원">#N/A</definedName>
    <definedName name="증감표">#REF!</definedName>
    <definedName name="증빙">[4]!증빙</definedName>
    <definedName name="지급1">[2]INDEX!#REF!</definedName>
    <definedName name="지급10">[2]INDEX!#REF!</definedName>
    <definedName name="지급2">[2]INDEX!#REF!</definedName>
    <definedName name="지급3">[2]INDEX!#REF!</definedName>
    <definedName name="지급4">[2]INDEX!#REF!</definedName>
    <definedName name="지급5">[2]INDEX!#REF!</definedName>
    <definedName name="지급6">[2]INDEX!#REF!</definedName>
    <definedName name="지급7">[2]INDEX!#REF!</definedName>
    <definedName name="지급8">[2]INDEX!#REF!</definedName>
    <definedName name="지급9">[2]INDEX!#REF!</definedName>
    <definedName name="지급어음">'[2]1300'!#REF!</definedName>
    <definedName name="지보7">'[2]1400'!#REF!</definedName>
    <definedName name="지보약">'[2]1400'!#REF!</definedName>
    <definedName name="지불매크로4">#N/A</definedName>
    <definedName name="지역채권02_CF">#N/A</definedName>
    <definedName name="지역채권02_CFSum">#N/A</definedName>
    <definedName name="지자">#N/A</definedName>
    <definedName name="직접노무비">'[2]3100'!#REF!</definedName>
    <definedName name="진" hidden="1">{#N/A,#N/A,FALSE,"UNIT";#N/A,#N/A,FALSE,"UNIT";#N/A,#N/A,FALSE,"계정"}</definedName>
    <definedName name="진공열처리">[2]INDEX!#REF!</definedName>
    <definedName name="진양상사">[2]INDEX!#REF!</definedName>
    <definedName name="진영산업">[2]INDEX!#REF!</definedName>
    <definedName name="진영유공압">[2]INDEX!#REF!</definedName>
    <definedName name="진웅금속공업사">[2]INDEX!#REF!</definedName>
    <definedName name="진짜살림">#N/A</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ㅊ1">'[2]2500'!#REF!</definedName>
    <definedName name="ㅊ3030">#N/A</definedName>
    <definedName name="ㅊㅊㅊㅊ">#N/A</definedName>
    <definedName name="ㅊㅊㅊㅊㅊ">[4]!ㅊㅊㅊㅊㅊ</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차인잔액">'[2]2500'!#REF!</definedName>
    <definedName name="차입금">BlankMacro1</definedName>
    <definedName name="참고" hidden="1">{#N/A,#N/A,FALSE,"BS";#N/A,#N/A,FALSE,"PL";#N/A,#N/A,FALSE,"처분";#N/A,#N/A,FALSE,"현금";#N/A,#N/A,FALSE,"매출";#N/A,#N/A,FALSE,"원가";#N/A,#N/A,FALSE,"경영"}</definedName>
    <definedName name="참나">[4]!참나</definedName>
    <definedName name="참나나나나나난">[4]!참나나나나나난</definedName>
    <definedName name="참내">[4]!참내</definedName>
    <definedName name="창원">#N/A</definedName>
    <definedName name="채권">#N/A</definedName>
    <definedName name="채권Sampling">#REF!</definedName>
    <definedName name="채권sort">#REF!</definedName>
    <definedName name="채권계정과목">#REF!</definedName>
    <definedName name="채권금액">#REF!</definedName>
    <definedName name="채권범위">#REF!</definedName>
    <definedName name="채권전체">#N/A</definedName>
    <definedName name="채무sort">#REF!</definedName>
    <definedName name="채무계정과목">#REF!</definedName>
    <definedName name="채무금액">#REF!</definedName>
    <definedName name="채무범위">#REF!</definedName>
    <definedName name="채무제목">#REF!</definedName>
    <definedName name="처분">#REF!</definedName>
    <definedName name="처음">#N/A</definedName>
    <definedName name="천성정밀">[2]INDEX!#REF!</definedName>
    <definedName name="천안">#N/A</definedName>
    <definedName name="천안토공_토공_List">'[2]2500'!#REF!</definedName>
    <definedName name="천호공업사">[2]INDEX!#REF!</definedName>
    <definedName name="초고압" hidden="1">{#N/A,#N/A,FALSE,"UNIT";#N/A,#N/A,FALSE,"UNIT";#N/A,#N/A,FALSE,"계정"}</definedName>
    <definedName name="초기화면가기">#N/A</definedName>
    <definedName name="초사">#REF!</definedName>
    <definedName name="총괄">[4]!총괄</definedName>
    <definedName name="총괄1" hidden="1">{#N/A,#N/A,FALSE,"UNIT";#N/A,#N/A,FALSE,"UNIT";#N/A,#N/A,FALSE,"계정"}</definedName>
    <definedName name="총괄표">#REF!</definedName>
    <definedName name="총민간투자비">#REF!</definedName>
    <definedName name="총부여주식수">#N/A</definedName>
    <definedName name="총인원">#N/A</definedName>
    <definedName name="총인원1계">[2]INDEX!#REF!</definedName>
    <definedName name="총인원2계">[2]INDEX!#REF!</definedName>
    <definedName name="총인원계">#N/A</definedName>
    <definedName name="최종만기일">#N/A</definedName>
    <definedName name="최초">#N/A</definedName>
    <definedName name="쵭여해">[46]!don</definedName>
    <definedName name="추계합계">'[2]1400'!#REF!</definedName>
    <definedName name="출75">#N/A</definedName>
    <definedName name="충돌">'[2]2500'!#REF!</definedName>
    <definedName name="취득가액">#N/A</definedName>
    <definedName name="취소">#N/A</definedName>
    <definedName name="칠">#N/A</definedName>
    <definedName name="ㅋ" hidden="1">{#N/A,#N/A,FALSE,"UNIT";#N/A,#N/A,FALSE,"UNIT";#N/A,#N/A,FALSE,"계정"}</definedName>
    <definedName name="ㅋㅋㅋㅋ" hidden="1">'[2]2500'!#REF!</definedName>
    <definedName name="ㅋㅌㅊ퓨">[4]!ㅋㅌㅊ퓨</definedName>
    <definedName name="칷__?____?">[2]INDEX!#REF!</definedName>
    <definedName name="코레코통상">[2]INDEX!#REF!</definedName>
    <definedName name="큐ㅗㅅㄹ">[4]!큐ㅗㅅㄹ</definedName>
    <definedName name="키프코" hidden="1">{#N/A,#N/A,FALSE,"을지 (4)";#N/A,#N/A,FALSE,"을지 (5)";#N/A,#N/A,FALSE,"을지 (6)"}</definedName>
    <definedName name="ㅌ" hidden="1">{#N/A,#N/A,FALSE,"UNIT";#N/A,#N/A,FALSE,"UNIT";#N/A,#N/A,FALSE,"계정"}</definedName>
    <definedName name="ㅌㄴㄴ">[4]!ㅌㄴㄴ</definedName>
    <definedName name="ㅌㅌㅌ" hidden="1">{#N/A,#N/A,FALSE,"BS";#N/A,#N/A,FALSE,"PL";#N/A,#N/A,FALSE,"처분";#N/A,#N/A,FALSE,"현금";#N/A,#N/A,FALSE,"매출";#N/A,#N/A,FALSE,"원가";#N/A,#N/A,FALSE,"경영"}</definedName>
    <definedName name="탕감합계">[2]INDEX!#REF!</definedName>
    <definedName name="태1">[1]IS!$B$11</definedName>
    <definedName name="태10">[1]IS!$K$11</definedName>
    <definedName name="태2">[1]IS!$C$11</definedName>
    <definedName name="태3">[1]IS!$D$11</definedName>
    <definedName name="태4">[1]IS!$E$11</definedName>
    <definedName name="태5">[1]IS!$F$11</definedName>
    <definedName name="태6">[1]IS!$G$11</definedName>
    <definedName name="태7">[1]IS!$H$11</definedName>
    <definedName name="태8">[1]IS!$I$11</definedName>
    <definedName name="태9">[1]IS!$J$11</definedName>
    <definedName name="태경금재">[2]INDEX!#REF!</definedName>
    <definedName name="태극정밀">[2]INDEX!#REF!</definedName>
    <definedName name="태양금속공업_주">[2]INDEX!#REF!</definedName>
    <definedName name="태양금속열처리">[2]INDEX!#REF!</definedName>
    <definedName name="태진산업_주">[2]INDEX!#REF!</definedName>
    <definedName name="태형기공">[2]INDEX!#REF!</definedName>
    <definedName name="텃ㅌㅇ">[4]!텃ㅌㅇ</definedName>
    <definedName name="템플리트모듈1">[4]!BLCH</definedName>
    <definedName name="템플리트모듈2">[4]!BLCH</definedName>
    <definedName name="템플리트모듈3">[4]!BLCH</definedName>
    <definedName name="템플리트모듈4">[4]!BLCH</definedName>
    <definedName name="템플리트모듈5">[4]!BLCH</definedName>
    <definedName name="템플리트모듈6">[4]!BLCH</definedName>
    <definedName name="퇴">[4]!퇴</definedName>
    <definedName name="퇴직2000">#REF!</definedName>
    <definedName name="퇴직급여충당부채">[2]INDEX!#REF!</definedName>
    <definedName name="퇴충">#N/A</definedName>
    <definedName name="투본상계">#N/A</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특별손실">'[2]1300'!#REF!</definedName>
    <definedName name="특별이익">'[2]1300'!#REF!</definedName>
    <definedName name="특허권">'[2]1300'!#REF!</definedName>
    <definedName name="특허권상각">'[2]1300'!#REF!</definedName>
    <definedName name="팀pmd">#N/A</definedName>
    <definedName name="팀발주">#N/A</definedName>
    <definedName name="팀별계획" hidden="1">{#N/A,#N/A,FALSE,"UNIT";#N/A,#N/A,FALSE,"UNIT";#N/A,#N/A,FALSE,"계정"}</definedName>
    <definedName name="ㅍ" hidden="1">{#N/A,#N/A,FALSE,"UNIT";#N/A,#N/A,FALSE,"UNIT";#N/A,#N/A,FALSE,"계정"}</definedName>
    <definedName name="ㅍㄹㄷㅁㅁ" hidden="1">[2]INDEX!#REF!</definedName>
    <definedName name="ㅍㅍ">'[2]3100'!#REF!</definedName>
    <definedName name="ㅍㅍㅍㅍ" hidden="1">{#N/A,#N/A,FALSE,"UNIT";#N/A,#N/A,FALSE,"UNIT";#N/A,#N/A,FALSE,"계정"}</definedName>
    <definedName name="ㅍㅍㅍㅍㅍㅍ" hidden="1">[2]INDEX!#REF!</definedName>
    <definedName name="ㅍㅍㅍㅍㅍㅍㅍ">#N/A</definedName>
    <definedName name="파">[30]!BlankMacro1</definedName>
    <definedName name="판관비">[4]!판관비</definedName>
    <definedName name="판보">[4]!판보</definedName>
    <definedName name="팔">#N/A</definedName>
    <definedName name="편의점사업부">#N/A</definedName>
    <definedName name="평공">'[2]2600'!#REF!</definedName>
    <definedName name="평리금속">[2]INDEX!#REF!</definedName>
    <definedName name="평산정공">[2]INDEX!#REF!</definedName>
    <definedName name="포" hidden="1">{#N/A,#N/A,FALSE,"UNIT";#N/A,#N/A,FALSE,"UNIT";#N/A,#N/A,FALSE,"계정"}</definedName>
    <definedName name="표지">#N/A</definedName>
    <definedName name="표지1">BlankMacro1</definedName>
    <definedName name="풍구TECH">[2]INDEX!#REF!</definedName>
    <definedName name="프">#REF!</definedName>
    <definedName name="피곤">#N/A</definedName>
    <definedName name="피비씨">#REF!</definedName>
    <definedName name="피비씨리스트">#REF!</definedName>
    <definedName name="ㅎ" hidden="1">{#N/A,#N/A,FALSE,"을지 (4)";#N/A,#N/A,FALSE,"을지 (5)";#N/A,#N/A,FALSE,"을지 (6)"}</definedName>
    <definedName name="ㅎ4ㅎ">[4]!ㅎ4ㅎ</definedName>
    <definedName name="ㅎㄶㄴ">[4]!ㅎㄶㄴ</definedName>
    <definedName name="ㅎㄷ뮤">[4]!ㅎㄷ뮤</definedName>
    <definedName name="ㅎㄹㄹㄹ">#N/A</definedName>
    <definedName name="ㅎㄹㅇ">[4]!BlankMacro1</definedName>
    <definedName name="ㅎㄽ" hidden="1">{#N/A,#N/A,FALSE,"UNIT";#N/A,#N/A,FALSE,"UNIT";#N/A,#N/A,FALSE,"계정"}</definedName>
    <definedName name="ㅎㅀㅎ">[4]!BlankMacro1</definedName>
    <definedName name="ㅎㅇ">[4]!ㅎㅇ</definedName>
    <definedName name="ㅎㅇㄹ">[4]!ㅎㅇㄹ</definedName>
    <definedName name="ㅎㅍ">[4]!BlankMacro1</definedName>
    <definedName name="ㅎㅎ" hidden="1">{#N/A,#N/A,TRUE,"Summary";#N/A,#N/A,TRUE,"IS";#N/A,#N/A,TRUE,"Adj";#N/A,#N/A,TRUE,"BS";#N/A,#N/A,TRUE,"CF";#N/A,#N/A,TRUE,"Debt";#N/A,#N/A,TRUE,"IRR"}</definedName>
    <definedName name="ㅎㅎ2" hidden="1">{#N/A,#N/A,TRUE,"Summary";#N/A,#N/A,TRUE,"IS";#N/A,#N/A,TRUE,"Adj";#N/A,#N/A,TRUE,"BS";#N/A,#N/A,TRUE,"CF";#N/A,#N/A,TRUE,"Debt";#N/A,#N/A,TRUE,"IRR"}</definedName>
    <definedName name="ㅎㅎㄴ">[4]!BlankMacro1</definedName>
    <definedName name="ㅎㅎㅎ">[2]INDEX!#REF!</definedName>
    <definedName name="ㅎㅎㅎㅎ">[2]INDEX!#REF!</definedName>
    <definedName name="하반기">#N/A</definedName>
    <definedName name="하반예산여기여기">[2]INDEX!#REF!</definedName>
    <definedName name="하하" hidden="1">{#N/A,#N/A,FALSE,"BS";#N/A,#N/A,FALSE,"PL";#N/A,#N/A,FALSE,"처분";#N/A,#N/A,FALSE,"현금";#N/A,#N/A,FALSE,"매출";#N/A,#N/A,FALSE,"원가";#N/A,#N/A,FALSE,"경영"}</definedName>
    <definedName name="하하하">[47]회사정보!$C$8</definedName>
    <definedName name="한">#N/A</definedName>
    <definedName name="한국OSG_주">[2]INDEX!#REF!</definedName>
    <definedName name="한국금속공업_주">[2]INDEX!#REF!</definedName>
    <definedName name="한국신동공업_주__브레터사업부">[2]INDEX!#REF!</definedName>
    <definedName name="한국유공압">[2]INDEX!#REF!</definedName>
    <definedName name="한국종합상사">[2]INDEX!#REF!</definedName>
    <definedName name="한국훼스토_주">[2]INDEX!#REF!</definedName>
    <definedName name="한림스퀴즈캐스팅_주">[2]INDEX!#REF!</definedName>
    <definedName name="한미캐피탈">#N/A</definedName>
    <definedName name="한성상사">[2]INDEX!#REF!</definedName>
    <definedName name="한성정밀강관_주">[2]INDEX!#REF!</definedName>
    <definedName name="한신기공">[2]INDEX!#REF!</definedName>
    <definedName name="한양테크">[2]INDEX!#REF!</definedName>
    <definedName name="한융금속_주">[2]INDEX!#REF!</definedName>
    <definedName name="한총2" hidden="1">{#N/A,#N/A,FALSE,"을지 (4)";#N/A,#N/A,FALSE,"을지 (5)";#N/A,#N/A,FALSE,"을지 (6)"}</definedName>
    <definedName name="할인3">BlankMacro1</definedName>
    <definedName name="합___계">[1]IS!$B$12:$S$12</definedName>
    <definedName name="합잔">#N/A</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명과위치">[39]손익항목표!$C$2:$G$9</definedName>
    <definedName name="해외">#N/A</definedName>
    <definedName name="해외관계사대손설정">#N/A</definedName>
    <definedName name="향림정밀">[2]INDEX!#REF!</definedName>
    <definedName name="허ㅎㄹ">'[2]2500'!#REF!</definedName>
    <definedName name="헌">[2]INDEX!#REF!</definedName>
    <definedName name="혁신와이어">[2]INDEX!#REF!</definedName>
    <definedName name="현금23" hidden="1">{#N/A,#N/A,FALSE,"BS";#N/A,#N/A,FALSE,"PL";#N/A,#N/A,FALSE,"처분";#N/A,#N/A,FALSE,"현금";#N/A,#N/A,FALSE,"매출";#N/A,#N/A,FALSE,"원가";#N/A,#N/A,FALSE,"경영"}</definedName>
    <definedName name="현금등가물">'[2]1300'!#REF!</definedName>
    <definedName name="현금외화">#N/A</definedName>
    <definedName name="현금원화">#N/A</definedName>
    <definedName name="현금정산표">[1]BS!$A$1:$G$220</definedName>
    <definedName name="현금흐름">#N/A</definedName>
    <definedName name="현금흐름표">[2]INDEX!#REF!</definedName>
    <definedName name="현대고주파열처리">[2]INDEX!#REF!</definedName>
    <definedName name="현대엔지니어링">[2]INDEX!#REF!</definedName>
    <definedName name="現代綜合商事經由分">'[2]3100'!#REF!</definedName>
    <definedName name="현대철물">[2]INDEX!#REF!</definedName>
    <definedName name="협선도금">[2]INDEX!#REF!</definedName>
    <definedName name="형상">#N/A</definedName>
    <definedName name="형제기공사">[2]INDEX!#REF!</definedName>
    <definedName name="호" hidden="1">{#N/A,#N/A,FALSE,"UNIT";#N/A,#N/A,FALSE,"UNIT";#N/A,#N/A,FALSE,"계정"}</definedName>
    <definedName name="화성">'[2]3100'!#REF!</definedName>
    <definedName name="화성정공">[2]INDEX!#REF!</definedName>
    <definedName name="화원도정공장">[2]INDEX!#REF!</definedName>
    <definedName name="화진교역">[2]INDEX!#REF!</definedName>
    <definedName name="화천ENG">[2]INDEX!#REF!</definedName>
    <definedName name="확" hidden="1">{#N/A,#N/A,FALSE,"BS";#N/A,#N/A,FALSE,"PL";#N/A,#N/A,FALSE,"처분";#N/A,#N/A,FALSE,"현금";#N/A,#N/A,FALSE,"매출";#N/A,#N/A,FALSE,"원가";#N/A,#N/A,FALSE,"경영"}</definedName>
    <definedName name="확대3" hidden="1">{#N/A,#N/A,FALSE,"UNIT";#N/A,#N/A,FALSE,"UNIT";#N/A,#N/A,FALSE,"계정"}</definedName>
    <definedName name="환">1200.4</definedName>
    <definedName name="환경" hidden="1">{#N/A,#N/A,FALSE,"UNIT";#N/A,#N/A,FALSE,"UNIT";#N/A,#N/A,FALSE,"계정"}</definedName>
    <definedName name="환산">#N/A</definedName>
    <definedName name="환산손">[48]외환익!$A$4:$C$10</definedName>
    <definedName name="환율">1193.1</definedName>
    <definedName name="환율1">#N/A</definedName>
    <definedName name="환율2">[1]BS!$K$2</definedName>
    <definedName name="환율sp95">[1]IS!#REF!</definedName>
    <definedName name="환율적용MACRO">#N/A</definedName>
    <definedName name="회사명">#REF!</definedName>
    <definedName name="회사의개황">#N/A</definedName>
    <definedName name="회사코드">#N/A</definedName>
    <definedName name="효성전기">[2]INDEX!#REF!</definedName>
    <definedName name="효창산업사">[2]INDEX!#REF!</definedName>
    <definedName name="흎">[4]!흎</definedName>
    <definedName name="힘내">'[2]2500'!#REF!</definedName>
    <definedName name="ㅏ95">#N/A</definedName>
    <definedName name="ㅏㅅ">[4]!BlankMacro1</definedName>
    <definedName name="ㅏㅏ교">[4]!ㅏㅏ교</definedName>
    <definedName name="ㅏㅏㅏ">'[2]2500'!#REF!</definedName>
    <definedName name="ㅏㅐㅏㅔㅐㅣ" hidden="1">{#N/A,#N/A,FALSE,"UNIT";#N/A,#N/A,FALSE,"UNIT";#N/A,#N/A,FALSE,"계정"}</definedName>
    <definedName name="ㅏㅣㅏㅣ">#N/A</definedName>
    <definedName name="ㅐ">#N/A</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ㄱㄱㄱ">[4]!ㅓㄱㄱㄱ</definedName>
    <definedName name="ㅓㄱㄷ">[4]!ㅓㄱㄷ</definedName>
    <definedName name="ㅓㄴㄱㄴㄱ">[4]!ㅓㄴㄱㄴㄱ</definedName>
    <definedName name="ㅓㄴ교ㅓ">[4]!ㅓㄴ교ㅓ</definedName>
    <definedName name="ㅓㄴㄴ뇨ㅓ">[4]!ㅓㄴㄴ뇨ㅓ</definedName>
    <definedName name="ㅓㄴ서">[4]!ㅓㄴ서</definedName>
    <definedName name="ㅓㅅ">[4]!ㅓㅅ</definedName>
    <definedName name="ㅓㅅㄱㅇㄴ쇼ㅓ">[4]!ㅓㅅㄱㅇㄴ쇼ㅓ</definedName>
    <definedName name="ㅓㅇ섯">[4]!ㅓㅇ섯</definedName>
    <definedName name="ㅓㅇ쇼ㅓㄴ">[4]!ㅓㅇ쇼ㅓㄴ</definedName>
    <definedName name="ㅓ요선ㅇ">[4]!ㅓ요선ㅇ</definedName>
    <definedName name="ㅓㅏ">[4]!ㅓㅏ</definedName>
    <definedName name="ㅓㅏ리앙" hidden="1">{#N/A,#N/A,FALSE,"UNIT";#N/A,#N/A,FALSE,"UNIT";#N/A,#N/A,FALSE,"계정"}</definedName>
    <definedName name="ㅓㅓㅓ">#N/A</definedName>
    <definedName name="ㅓㅛㄴㅇ교ㅓ">[4]!ㅓㅛㄴㅇ교ㅓ</definedName>
    <definedName name="ㅓㅛㅅ">[4]!ㅓㅛㅅ</definedName>
    <definedName name="ㅓㅛㅅ언">[4]!ㅓㅛㅅ언</definedName>
    <definedName name="ㅓㅛㅅ엉ㅅ">[4]!ㅓㅛㅅ엉ㅅ</definedName>
    <definedName name="ㅓㅛㅇ서">[4]!ㅓㅛㅇ서</definedName>
    <definedName name="ㅓㅣ">[4]!ㅓㅣ</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6">#N/A</definedName>
    <definedName name="ㅗㄱㄴ">[4]!ㅗㄱㄴ</definedName>
    <definedName name="ㅗㄱㄴㄴㄱ속ㄴ">[4]!ㅗㄱㄴㄴㄱ속ㄴ</definedName>
    <definedName name="ㅗㄱㄴ속ㄴ">[4]!ㅗㄱㄴ속ㄴ</definedName>
    <definedName name="ㅗㄱㄴ손">[4]!ㅗㄱㄴ손</definedName>
    <definedName name="ㅗㄱ녹ㄴ">[4]!ㅗㄱ녹ㄴ</definedName>
    <definedName name="ㅗㄱㄷ">[4]!ㅗㄱㄷ</definedName>
    <definedName name="ㅗㄱ소">[4]!ㅗㄱ소</definedName>
    <definedName name="ㅗㄳㄷ곧ㄴ">[4]!ㅗㄳㄷ곧ㄴ</definedName>
    <definedName name="ㅗㄴㄱ소">[4]!ㅗㄴㄱ소</definedName>
    <definedName name="ㅗㄴㄱ손">[4]!ㅗㄴㄱ손</definedName>
    <definedName name="ㅗㄴㄱ손ㄱ">[4]!ㅗㄴㄱ손ㄱ</definedName>
    <definedName name="ㅗㄴㄱ솟ㄱㄴ">[4]!ㅗㄴㄱ솟ㄱㄴ</definedName>
    <definedName name="ㅗㄴ곤">[4]!ㅗㄴ곤</definedName>
    <definedName name="ㅗㄴㄳ">[4]!ㅗㄴㄳ</definedName>
    <definedName name="ㅗㄷ손">[4]!ㅗㄷ손</definedName>
    <definedName name="ㅗㄹㅇ">[4]!BlankMacro1</definedName>
    <definedName name="ㅗㅀ">[4]!ㅗㅀ</definedName>
    <definedName name="ㅗㅅㄱ노ㅠㅍ">[4]!ㅗㅅㄱ노ㅠㅍ</definedName>
    <definedName name="ㅗㅅㄱ논">[4]!ㅗㅅㄱ논</definedName>
    <definedName name="ㅗㅅ곤">[4]!ㅗㅅ곤</definedName>
    <definedName name="ㅗㅅㄴ곤고">[4]!ㅗㅅㄴ곤고</definedName>
    <definedName name="ㅗㅈ4">[4]!ㅗㅈ4</definedName>
    <definedName name="ㅗㅗ" hidden="1">{#N/A,#N/A,FALSE,"초도품";#N/A,#N/A,FALSE,"초도품 (2)";#N/A,#N/A,FALSE,"초도품 (3)";#N/A,#N/A,FALSE,"초도품 (4)";#N/A,#N/A,FALSE,"초도품 (5)";#N/A,#N/A,FALSE,"초도품 (6)"}</definedName>
    <definedName name="ㅘ">[4]!ㅘ</definedName>
    <definedName name="ㅛ" hidden="1">{#N/A,#N/A,FALSE,"BS";#N/A,#N/A,FALSE,"PL";#N/A,#N/A,FALSE,"처분";#N/A,#N/A,FALSE,"현금";#N/A,#N/A,FALSE,"매출";#N/A,#N/A,FALSE,"원가";#N/A,#N/A,FALSE,"경영"}</definedName>
    <definedName name="ㅛ걱">[4]!ㅛ걱</definedName>
    <definedName name="ㅛ건">[4]!ㅛ건</definedName>
    <definedName name="ㅛㅇㅅ겅ㅅ">[4]!ㅛㅇㅅ겅ㅅ</definedName>
    <definedName name="ㅛㅓ">[4]!ㅛㅓ</definedName>
    <definedName name="ㅛㅓㄴ">[4]!ㅛㅓㄴ</definedName>
    <definedName name="ㅛㅛㅛ" hidden="1">{#N/A,#N/A,FALSE,"초도품";#N/A,#N/A,FALSE,"초도품 (2)";#N/A,#N/A,FALSE,"초도품 (3)";#N/A,#N/A,FALSE,"초도품 (4)";#N/A,#N/A,FALSE,"초도품 (5)";#N/A,#N/A,FALSE,"초도품 (6)"}</definedName>
    <definedName name="ㅜ">'[2]2500'!#REF!</definedName>
    <definedName name="ㅠ" hidden="1">{#N/A,#N/A,FALSE,"UNIT";#N/A,#N/A,FALSE,"UNIT";#N/A,#N/A,FALSE,"계정"}</definedName>
    <definedName name="ㅠㄱㄴㄳ">[4]!ㅠㄱㄴㄳ</definedName>
    <definedName name="ㅠㄷㅁ">[4]!ㅠㄷㅁ</definedName>
    <definedName name="ㅠㅅ귷">[4]!ㅠㅅ귷</definedName>
    <definedName name="ㅠㅠㅠ">[4]!ㅠㅠㅠ</definedName>
    <definedName name="ㅠㅠㅠㅠㅠㅠ">[4]!ㅠㅠㅠㅠㅠㅠ</definedName>
    <definedName name="ㅣ">#N/A</definedName>
    <definedName name="ㅣㅏ">[4]!ㅣㅏ</definedName>
    <definedName name="ㅣㅏㅣ">#N/A</definedName>
    <definedName name="ㅣㅣ" hidden="1">{#N/A,#N/A,FALSE,"을지 (4)";#N/A,#N/A,FALSE,"을지 (5)";#N/A,#N/A,FALSE,"을지 (6)"}</definedName>
    <definedName name="ㅣㅣㅣ">#N/A</definedName>
    <definedName name="ㅣㅣㅣㅣㅣㅣㅣㄹㄹㄹㄹㄹㄹㄹ">[4]!ㅣㅣㅣㅣㅣㅣㅣㄹㄹㄹㄹㄹㄹㄹ</definedName>
  </definedNames>
  <calcPr calcId="181029"/>
</workbook>
</file>

<file path=xl/calcChain.xml><?xml version="1.0" encoding="utf-8"?>
<calcChain xmlns="http://schemas.openxmlformats.org/spreadsheetml/2006/main">
  <c r="A184" i="1" l="1"/>
  <c r="A122" i="1"/>
  <c r="A108" i="1"/>
  <c r="B40" i="1"/>
  <c r="A96" i="1"/>
  <c r="A101" i="1"/>
  <c r="A190" i="1"/>
  <c r="B60" i="1"/>
  <c r="A18" i="1"/>
  <c r="B9" i="1"/>
  <c r="B68" i="1"/>
  <c r="A77" i="1" s="1"/>
  <c r="B52" i="1"/>
  <c r="A188" i="1" s="1"/>
  <c r="D13" i="1"/>
  <c r="A97" i="1" s="1"/>
  <c r="A12" i="1"/>
  <c r="C109" i="1" s="1"/>
  <c r="B8" i="1"/>
  <c r="A194" i="1" s="1"/>
  <c r="B195" i="1" l="1"/>
  <c r="B220" i="1"/>
  <c r="A16" i="1"/>
  <c r="A207" i="1"/>
  <c r="B170" i="1"/>
</calcChain>
</file>

<file path=xl/sharedStrings.xml><?xml version="1.0" encoding="utf-8"?>
<sst xmlns="http://schemas.openxmlformats.org/spreadsheetml/2006/main" count="219" uniqueCount="172">
  <si>
    <t>일자</t>
    <phoneticPr fontId="4" type="noConversion"/>
  </si>
  <si>
    <t>담당이사 서명</t>
    <phoneticPr fontId="4" type="noConversion"/>
  </si>
  <si>
    <t xml:space="preserve">주소: </t>
    <phoneticPr fontId="4" type="noConversion"/>
  </si>
  <si>
    <t>(*) 재무제표일 이후 사건검토를 요구하는 일자</t>
    <phoneticPr fontId="4" type="noConversion"/>
  </si>
  <si>
    <t>후속 사건에 대한 검토</t>
    <phoneticPr fontId="4" type="noConversion"/>
  </si>
  <si>
    <t>[요청자료 5]</t>
    <phoneticPr fontId="4" type="noConversion"/>
  </si>
  <si>
    <t>[해당사항 있을 경우, 회계처리기준/ 그룹연결지침서 위반 사항을 기재]</t>
    <phoneticPr fontId="4" type="noConversion"/>
  </si>
  <si>
    <t>[요청자료 4]</t>
    <phoneticPr fontId="4" type="noConversion"/>
  </si>
  <si>
    <t>감사를 수행한 그룹에 대한 보고패키지</t>
    <phoneticPr fontId="4" type="noConversion"/>
  </si>
  <si>
    <t>[요청자료 3]</t>
    <phoneticPr fontId="4" type="noConversion"/>
  </si>
  <si>
    <t>상기와 같이 수행하였습니다.</t>
    <phoneticPr fontId="4" type="noConversion"/>
  </si>
  <si>
    <t>귀 법인이 수행한 감사절차에 근거한 감사의견은 ‘적정의견’입니까? 만약 감사의견이 변경된 경우, 그 사유에 대하여 기재 부탁드립니다.</t>
    <phoneticPr fontId="4" type="noConversion"/>
  </si>
  <si>
    <t>9.전반적인 결론</t>
    <phoneticPr fontId="4" type="noConversion"/>
  </si>
  <si>
    <t>그룹감사와 관련이 있을 수 있거나, 그룹감사인의 주의를 바라는 기타사항이 있는 경우, 기재바랍니다. 종속/관계기업의 경영자확인서에 나타난 예외사항 등을 포함합니다.</t>
    <phoneticPr fontId="4" type="noConversion"/>
  </si>
  <si>
    <t>8.기타사항</t>
    <phoneticPr fontId="4" type="noConversion"/>
  </si>
  <si>
    <t>종속/관계기업의 이사회(혹은 기타 지배기구)와 협의하였거나 협의예정인 유의적 사항에 대하여 기재 바랍니다. 경영진이나 주요 종업원이 관여되어 있는 부정을 포함합니다.</t>
    <phoneticPr fontId="4" type="noConversion"/>
  </si>
  <si>
    <t>7.부문의 이사회 등과 협의한 유의적 사항</t>
    <phoneticPr fontId="4" type="noConversion"/>
  </si>
  <si>
    <t>종속/관계기업 감사시 발견된 유의적인 내부통제 미비점의 내용을 기재 바랍니다.</t>
    <phoneticPr fontId="4" type="noConversion"/>
  </si>
  <si>
    <t>6.내부통제 미비점</t>
    <phoneticPr fontId="4" type="noConversion"/>
  </si>
  <si>
    <t>귀 감사인이 식별한 특수관계자 중에서, 일반사항에 기술된 특수관계자 목록에 포함되지 않은 특수관계자가 있을 경우에 해당 내용을 기재 바랍니다.</t>
    <phoneticPr fontId="4" type="noConversion"/>
  </si>
  <si>
    <t>5.특수관계자</t>
    <phoneticPr fontId="4" type="noConversion"/>
  </si>
  <si>
    <t>부정이나 오류에 의해 그룹재무제표가 중요하게 왜곡표시될 유의적 위험을 식별한 경우, 해당 위험의 내용 및 귀 감사인의 감사절차를 기재 바랍니다.</t>
    <phoneticPr fontId="4" type="noConversion"/>
  </si>
  <si>
    <t>4.유의적 위험에 대한 대응</t>
    <phoneticPr fontId="4" type="noConversion"/>
  </si>
  <si>
    <t>그룹재무제표에 중요한 왜곡표시를 초래할 수 있는 법규위반 정보를 보고 바랍니다. 또한 회계추정치의 산정 등에 있어 경영진의 편의가능성을 나타내는 징후가 발견되는 경우 기재 바랍니다.</t>
    <phoneticPr fontId="4" type="noConversion"/>
  </si>
  <si>
    <t>3.법규위반 및 경영진의 편의가능성 징후</t>
    <phoneticPr fontId="4" type="noConversion"/>
  </si>
  <si>
    <t>계정과목명 / 대변금액</t>
    <phoneticPr fontId="4" type="noConversion"/>
  </si>
  <si>
    <t>계정과목명 / 차변금액</t>
    <phoneticPr fontId="4" type="noConversion"/>
  </si>
  <si>
    <t>대변</t>
    <phoneticPr fontId="4" type="noConversion"/>
  </si>
  <si>
    <t>차변</t>
    <phoneticPr fontId="4" type="noConversion"/>
  </si>
  <si>
    <t>왜곡표시내용</t>
    <phoneticPr fontId="4" type="noConversion"/>
  </si>
  <si>
    <t>미수정왜곡표시내용</t>
    <phoneticPr fontId="4" type="noConversion"/>
  </si>
  <si>
    <t>2-2.종속/관계기업에서 발생한 재무제표의 미수정왜곡표시금액이 개별적으로 또는 합산하여 경미한 왜곡표시사항에 대한 기준치금액(*)을 초과하는 경우, 기재 바랍니다.</t>
    <phoneticPr fontId="4" type="noConversion"/>
  </si>
  <si>
    <t>2-1.귀 법인이 본 업무를 수행함에 있어 적용할 중요성 기준은 본 그룹감사지침서 일반사항에 기재된 바에 따라 적용하였음을 확인 부탁드립니다.</t>
    <phoneticPr fontId="4" type="noConversion"/>
  </si>
  <si>
    <t>2.중요성</t>
    <phoneticPr fontId="4" type="noConversion"/>
  </si>
  <si>
    <t>1.업무수행대상 및 기준의 준수</t>
    <phoneticPr fontId="4" type="noConversion"/>
  </si>
  <si>
    <t>수행결과(부문 감사인 작성)</t>
    <phoneticPr fontId="4" type="noConversion"/>
  </si>
  <si>
    <t>지시사항 (그룹감사인 작성)</t>
    <phoneticPr fontId="4" type="noConversion"/>
  </si>
  <si>
    <t>20   년   월  일</t>
    <phoneticPr fontId="4" type="noConversion"/>
  </si>
  <si>
    <t>부문감사인에 대한 업무수행지시사항 및 결과표</t>
    <phoneticPr fontId="4" type="noConversion"/>
  </si>
  <si>
    <t>[요청자료 2]</t>
    <phoneticPr fontId="4" type="noConversion"/>
  </si>
  <si>
    <t>주소</t>
    <phoneticPr fontId="4" type="noConversion"/>
  </si>
  <si>
    <t xml:space="preserve">8.우리는 그룹재무제표의 감사에서 우리의 책임을 수행하는 데 충분하게 한국채택국제회계기준 (혹은 일반기업회계기준)을 이해하고 있습니다. </t>
    <phoneticPr fontId="4" type="noConversion"/>
  </si>
  <si>
    <t>7.우리는 연결재무제표의 감사에서 우리의 책임을 수행하는 데 충분하게 회계감사기준을 이해하고 있으며, 동 기준에 따라 종속/관계기업의 재무정보에 대한 업무를 수행할 것입니다.</t>
    <phoneticPr fontId="4" type="noConversion"/>
  </si>
  <si>
    <t>6.우리는 연결재무제표의 감사에서 우리의 책임을 수행하는 데 충분하게 대한민국의 회계감사기준 및 공인회계사 윤리기준을 이해하고 있으며, 이를 준수할 것입니다. 특히 그룹 내 기타 부문에 대하여 대한민국의 회계감사기준 및 공인회계사 윤리기준이 요구하는 독립성을 유지하고 있습니다.</t>
    <phoneticPr fontId="4" type="noConversion"/>
  </si>
  <si>
    <t>5.귀 감사인은 그룹의 연결재무제표에 대한 감사를 위하여 우리의 업무를 평가할 것이며, 만약 적합하다고 판단되면 이를 활용할 계획임을 알고 있습니다.</t>
    <phoneticPr fontId="4" type="noConversion"/>
  </si>
  <si>
    <t>4.우리가 수행하도록 요청한 업무와 관련하여, 귀감사인은 관여할 필요가 있는지 고려할 수 있습니다.</t>
    <phoneticPr fontId="4" type="noConversion"/>
  </si>
  <si>
    <t>3.우리는 귀 감사인에게 협조할 것이며, 귀 감사인이 관련 감사문서에 접근할 수 있도록 할 것입니다.</t>
    <phoneticPr fontId="4" type="noConversion"/>
  </si>
  <si>
    <t>1.귀 감사인이 발송한 그룹감사지침서는 지시사항을 명확히 기술하고 있으며, 우리는 이를 충분히 이해하였습니다. 우리는 해당 지시사항을 준수할 것을 확인합니다.</t>
    <phoneticPr fontId="4" type="noConversion"/>
  </si>
  <si>
    <t>우리는 다음 사항을 확인합니다.</t>
    <phoneticPr fontId="4" type="noConversion"/>
  </si>
  <si>
    <t>20 년 월 일</t>
    <phoneticPr fontId="4" type="noConversion"/>
  </si>
  <si>
    <t>그룹감사지침서 수령 및 독립성준수 확인서</t>
    <phoneticPr fontId="4" type="noConversion"/>
  </si>
  <si>
    <t>[요청자료 1]</t>
    <phoneticPr fontId="4" type="noConversion"/>
  </si>
  <si>
    <t>요청자료 5</t>
    <phoneticPr fontId="4" type="noConversion"/>
  </si>
  <si>
    <t>요청자료 4</t>
    <phoneticPr fontId="4" type="noConversion"/>
  </si>
  <si>
    <t>그룹 보고패키지에 대한 감사의견(*2)</t>
    <phoneticPr fontId="4" type="noConversion"/>
  </si>
  <si>
    <t>요청자료 3</t>
    <phoneticPr fontId="4" type="noConversion"/>
  </si>
  <si>
    <t>요청자료 2</t>
    <phoneticPr fontId="4" type="noConversion"/>
  </si>
  <si>
    <t>요청자료 1</t>
    <phoneticPr fontId="4" type="noConversion"/>
  </si>
  <si>
    <t>수령하는 즉시</t>
    <phoneticPr fontId="4" type="noConversion"/>
  </si>
  <si>
    <t>문서번호</t>
    <phoneticPr fontId="4" type="noConversion"/>
  </si>
  <si>
    <t>제출기한</t>
    <phoneticPr fontId="4" type="noConversion"/>
  </si>
  <si>
    <t>구분</t>
    <phoneticPr fontId="4" type="noConversion"/>
  </si>
  <si>
    <t>상기사항에 대하여 귀 법인에 요청드리는 사항 및 제출기한은 다음과 같습니다. 상세한 내용은 각 요청자료를 참고 부탁드립니다.</t>
    <phoneticPr fontId="4" type="noConversion"/>
  </si>
  <si>
    <t>(3) 요청자료 및 제출기한</t>
    <phoneticPr fontId="4" type="noConversion"/>
  </si>
  <si>
    <t>경미한 왜곡표시사항에 대한 기준치</t>
    <phoneticPr fontId="4" type="noConversion"/>
  </si>
  <si>
    <t>전체 중요성</t>
    <phoneticPr fontId="4" type="noConversion"/>
  </si>
  <si>
    <t>상세 업무유형</t>
    <phoneticPr fontId="4" type="noConversion"/>
  </si>
  <si>
    <t>감사 (*1)</t>
    <phoneticPr fontId="4" type="noConversion"/>
  </si>
  <si>
    <t>업무유형</t>
    <phoneticPr fontId="4" type="noConversion"/>
  </si>
  <si>
    <t>회계감사기준</t>
    <phoneticPr fontId="4" type="noConversion"/>
  </si>
  <si>
    <t>재무보고체계</t>
    <phoneticPr fontId="4" type="noConversion"/>
  </si>
  <si>
    <t>부문명</t>
    <phoneticPr fontId="4" type="noConversion"/>
  </si>
  <si>
    <t>(2) 귀 법인의 업무범위</t>
    <phoneticPr fontId="4" type="noConversion"/>
  </si>
  <si>
    <t>(기타사항:　전기대비 사업의　주요 변동내역　등)</t>
    <phoneticPr fontId="4" type="noConversion"/>
  </si>
  <si>
    <t>특수관계자 목록</t>
    <phoneticPr fontId="4" type="noConversion"/>
  </si>
  <si>
    <t>그룹의 사업내용</t>
    <phoneticPr fontId="4" type="noConversion"/>
  </si>
  <si>
    <t>그룹명</t>
    <phoneticPr fontId="4" type="noConversion"/>
  </si>
  <si>
    <t>(1) 그룹에 관한 정보</t>
    <phoneticPr fontId="4" type="noConversion"/>
  </si>
  <si>
    <t>본 그룹감사지침서가 적용되는 업무에 관한 일반사항은 다음과 같습니다.</t>
    <phoneticPr fontId="4" type="noConversion"/>
  </si>
  <si>
    <t>일반사항</t>
    <phoneticPr fontId="4" type="noConversion"/>
  </si>
  <si>
    <t>●적정의견을 도출할 수 없는 상황이 발생한 경우</t>
    <phoneticPr fontId="4" type="noConversion"/>
  </si>
  <si>
    <t>●그룹감사지침서에 언급된 독립성 고려사항에 대한 검토나 적절한 사전승인 없이 수행된 서비스가 있는 경우</t>
    <phoneticPr fontId="4" type="noConversion"/>
  </si>
  <si>
    <t>●예상되는 회계, 재무보고 및 감사에 관한 유의적 사항, 중대한 내부통제 취약점 및 부정의 징후가 발견된 경우 등 그룹감사인의 주의를 요하는 사항이 발견된 경우</t>
    <phoneticPr fontId="4" type="noConversion"/>
  </si>
  <si>
    <t>●감사와 관련된 구체적 절차에 대한 변경의 필요성이 있는 경우</t>
    <phoneticPr fontId="4" type="noConversion"/>
  </si>
  <si>
    <t xml:space="preserve">●해결 불가능한 사유의 발생으로 인하여 첨부된 제출기한을 준수할 수 없는 경우 </t>
    <phoneticPr fontId="4" type="noConversion"/>
  </si>
  <si>
    <t>●그룹감사지침서 내용 중 의문사항이 있는 경우</t>
    <phoneticPr fontId="4" type="noConversion"/>
  </si>
  <si>
    <t>이메일</t>
    <phoneticPr fontId="4" type="noConversion"/>
  </si>
  <si>
    <t>팩스</t>
    <phoneticPr fontId="4" type="noConversion"/>
  </si>
  <si>
    <t>전화번호</t>
    <phoneticPr fontId="4" type="noConversion"/>
  </si>
  <si>
    <t>담당 공인회계사</t>
    <phoneticPr fontId="4" type="noConversion"/>
  </si>
  <si>
    <t>다음과 같은 사항이 있는 경우 즉시 담당공인회계사에게 연락주십시오.</t>
    <phoneticPr fontId="4" type="noConversion"/>
  </si>
  <si>
    <t>삼가 귀 감사인의 무궁한 번영을 기원합니다.</t>
    <phoneticPr fontId="4" type="noConversion"/>
  </si>
  <si>
    <t>귀 법인의 협조에 감사드립니다. 문의사항이나 제안사항이 있으면 상기 명기된 담당자에게 즉시 연락주십시오.</t>
    <phoneticPr fontId="4" type="noConversion"/>
  </si>
  <si>
    <t>●특정 계정잔액, 거래유형 또는 공시에 대한 감사</t>
    <phoneticPr fontId="4" type="noConversion"/>
  </si>
  <si>
    <t>●특정 감사절차</t>
    <phoneticPr fontId="4" type="noConversion"/>
  </si>
  <si>
    <t>●그룹재무제표에 대한 감사와 동일한 재무보고체계, 회계감사기준 사용</t>
    <phoneticPr fontId="4" type="noConversion"/>
  </si>
  <si>
    <t>●그룹감사보고서 일자 이내에 부문감사보고서 완료</t>
    <phoneticPr fontId="4" type="noConversion"/>
  </si>
  <si>
    <t>●부문재무제표에 대한 감사수행시 중요성 기준이 그룹 중요성기준 충족 (부문중요성은 그룹의 전체 중요성보다 낮아야 한다.)</t>
    <phoneticPr fontId="4" type="noConversion"/>
  </si>
  <si>
    <t>*1. 부문재무제표에 대한 감사 이외에 다음의 절차가 수행될 수 있습니다. 단, 이때는 업무범위에 대한 명확한 서술이 필요합니다.</t>
    <phoneticPr fontId="4" type="noConversion"/>
  </si>
  <si>
    <t>*2. 감사계획시에 다음을 충족하여 부문감사인의 업무를 부문재무제표에 대한 법정감사로 대체하기로 결정한 경우에는 생략할 수 있습니다.</t>
    <phoneticPr fontId="4" type="noConversion"/>
  </si>
  <si>
    <t>*3. 후속사건의 검토가 필요한 기간을 지정하여야 합니다. 요청자료 5 참조</t>
    <phoneticPr fontId="4" type="noConversion"/>
  </si>
  <si>
    <t>(*) 경미한 왜곡사항에 대한 기준치금액 일반사항 참조</t>
    <phoneticPr fontId="4" type="noConversion"/>
  </si>
  <si>
    <t>(해당 그룹의 보고패키지를 사용합니다. 보고패키지는 그룹재무제표에 통합될 재무정보에 대한 표준양식으로 구성됩니다.)</t>
    <phoneticPr fontId="4" type="noConversion"/>
  </si>
  <si>
    <t>그룹 보고패키지에 대한 감사의견</t>
    <phoneticPr fontId="3" type="noConversion"/>
  </si>
  <si>
    <t>지배기업명 :</t>
    <phoneticPr fontId="4" type="noConversion"/>
  </si>
  <si>
    <t>후속사건 검토요청일</t>
    <phoneticPr fontId="3" type="noConversion"/>
  </si>
  <si>
    <t>귀중</t>
    <phoneticPr fontId="3" type="noConversion"/>
  </si>
  <si>
    <t>기본입력항목</t>
    <phoneticPr fontId="3" type="noConversion"/>
  </si>
  <si>
    <t>기본입력내용(국문)</t>
    <phoneticPr fontId="3" type="noConversion"/>
  </si>
  <si>
    <t>기본입력내용(영문)</t>
    <phoneticPr fontId="3" type="noConversion"/>
  </si>
  <si>
    <t>지배기업명</t>
    <phoneticPr fontId="3" type="noConversion"/>
  </si>
  <si>
    <t>ABC주식회사</t>
    <phoneticPr fontId="3" type="noConversion"/>
  </si>
  <si>
    <t>ABC Compony</t>
    <phoneticPr fontId="3" type="noConversion"/>
  </si>
  <si>
    <t>지배기업 회계연도 개시일</t>
    <phoneticPr fontId="3" type="noConversion"/>
  </si>
  <si>
    <t>지배기업 회계연도 종료일</t>
    <phoneticPr fontId="3" type="noConversion"/>
  </si>
  <si>
    <t>감사지침서일</t>
    <phoneticPr fontId="3" type="noConversion"/>
  </si>
  <si>
    <t>부문명</t>
    <phoneticPr fontId="3" type="noConversion"/>
  </si>
  <si>
    <t>가나다주식회사</t>
    <phoneticPr fontId="3" type="noConversion"/>
  </si>
  <si>
    <t>GANADA compony</t>
    <phoneticPr fontId="3" type="noConversion"/>
  </si>
  <si>
    <t>부문 회계연도 개시일</t>
    <phoneticPr fontId="3" type="noConversion"/>
  </si>
  <si>
    <t>부문 회계연도 종료일</t>
    <phoneticPr fontId="3" type="noConversion"/>
  </si>
  <si>
    <t>후속사건검토요청일</t>
    <phoneticPr fontId="3" type="noConversion"/>
  </si>
  <si>
    <t>부문감사인명</t>
    <phoneticPr fontId="3" type="noConversion"/>
  </si>
  <si>
    <t>XX회계법인</t>
    <phoneticPr fontId="3" type="noConversion"/>
  </si>
  <si>
    <t>XX accounting corporation</t>
    <phoneticPr fontId="3" type="noConversion"/>
  </si>
  <si>
    <t>중요성금액(백만원)</t>
    <phoneticPr fontId="4" type="noConversion"/>
  </si>
  <si>
    <t>해당부문 전체중요성(백만원)</t>
    <phoneticPr fontId="3" type="noConversion"/>
  </si>
  <si>
    <t>해당부문 경미한왜곡표시사항에 대한 기준치(백만원)</t>
    <phoneticPr fontId="3" type="noConversion"/>
  </si>
  <si>
    <t>회계연도 :</t>
    <phoneticPr fontId="4" type="noConversion"/>
  </si>
  <si>
    <t>대상 회계연도</t>
    <phoneticPr fontId="4" type="noConversion"/>
  </si>
  <si>
    <t>감사를 수행한 그룹 보고패키지(*2)</t>
    <phoneticPr fontId="4" type="noConversion"/>
  </si>
  <si>
    <t>Y  Y  회  계  법  인</t>
    <phoneticPr fontId="4" type="noConversion"/>
  </si>
  <si>
    <t>YY회계법인 귀중</t>
    <phoneticPr fontId="4" type="noConversion"/>
  </si>
  <si>
    <t>YY회계법인 귀중</t>
    <phoneticPr fontId="4" type="noConversion"/>
  </si>
  <si>
    <t>7210 부문감사인 그룹감사지침서의 기본입력사항</t>
    <phoneticPr fontId="3" type="noConversion"/>
  </si>
  <si>
    <t>* 본 시트는 기본입력사항을 입력하는 시트로서 출력하여 조서화하는 시트가 아닙니다.</t>
    <phoneticPr fontId="3" type="noConversion"/>
  </si>
  <si>
    <t>(상세내용기술)</t>
  </si>
  <si>
    <r>
      <t xml:space="preserve">※ 작성요령 </t>
    </r>
    <r>
      <rPr>
        <sz val="12"/>
        <color rgb="FF002060"/>
        <rFont val="HY신명조"/>
        <family val="1"/>
        <charset val="129"/>
      </rPr>
      <t>:</t>
    </r>
    <phoneticPr fontId="4" type="noConversion"/>
  </si>
  <si>
    <t xml:space="preserve">대표이사      </t>
    <phoneticPr fontId="4" type="noConversion"/>
  </si>
  <si>
    <r>
      <t xml:space="preserve">우리는 </t>
    </r>
    <r>
      <rPr>
        <b/>
        <sz val="12"/>
        <rFont val="HY신명조"/>
        <family val="1"/>
        <charset val="129"/>
      </rPr>
      <t>대한민국의 회계감사기준</t>
    </r>
    <r>
      <rPr>
        <sz val="12"/>
        <rFont val="HY신명조"/>
        <family val="1"/>
        <charset val="129"/>
      </rPr>
      <t>에 따라 감사를 수행하였습니다. 이 기준은 우리가 윤리적 요구사항을 준수하며 그룹보고패키지가 중요하게 왜곡표시되지 않았는지 여부에 대해 합리적인 확신을 얻을 수 있도록 감사를 계획하고 수행할 것을 요구하고 있습니다. 감사는 그룹보고패키지상의 금액과 공시에 대한 감사증거를 입수하기 위한 절창의 수행을 포함합니다. 절차의 선택은 부정이나 오류에 의한 그룹보고패키지의 중요한 왜곡표시위험에 대한 평가 등 감사인의 판단에 따릅니다. 감사는 또한 그룹보고패키지의 전반적 표시에 대한 평가뿐 아니라, 그룹보고패키지를 작성하기 위하여 경영진이 적용한 회계정책의 적합성과 경영진이 행한 회계추정치의 합리성에 대한 평가를 포함합니다. 우리는 우리가 입수한 감사증거가 감사의견을 위한 근거로서 충분하고 적합하다고 믿습니다.</t>
    </r>
    <phoneticPr fontId="4" type="noConversion"/>
  </si>
  <si>
    <t>당 법인은 그룹의 본 감사와 관련하여 주식회사등의외부감사에관한법률 제21조 2항 및 대한민국의 회계감사기준 600 문단 40과 41에 따라, 그룹의 재무제표에 중요하게 영향을 미치는 부문인 (부문명) (이하 ‘부문’)에 대하여 첨부된 그룹감사지침서를 준수하여 감사절차를 수행할 것을 귀 법인에 요청드립니다. 귀 법인이 감사한 부문의 재무제표는 그룹의 연결재무제표 작성에 이용될 것입니다.</t>
    <phoneticPr fontId="4" type="noConversion"/>
  </si>
  <si>
    <t>한국채택국제회계기준</t>
  </si>
  <si>
    <t>일반기업회계기준</t>
  </si>
  <si>
    <t>그룹회계정책</t>
  </si>
  <si>
    <t>기타</t>
  </si>
  <si>
    <t>Y/N</t>
  </si>
  <si>
    <t>대한민국의 회계감사기준</t>
  </si>
  <si>
    <t>그룹에 대한 보고패키지 감사</t>
  </si>
  <si>
    <t>부문재무제표에 대한 법정감사</t>
  </si>
  <si>
    <t>선택(Y/N)</t>
  </si>
  <si>
    <t>좌기와 같이 수행하였습니다.</t>
  </si>
  <si>
    <t>좌기와 상이하게 수행하였습니다 (상이점기술)</t>
  </si>
  <si>
    <t>해당사항 선택
(Y/N)</t>
  </si>
  <si>
    <t>해당사항 없습니다.</t>
  </si>
  <si>
    <t>좌기금액을 초과하는 미수정왜곡표시사항은 다음과 같습니다 .</t>
  </si>
  <si>
    <t>기타 (       )</t>
  </si>
  <si>
    <t>(  ) 해당사항 없습니다.</t>
  </si>
  <si>
    <t>(  ) 다음과 같은 법규위반 사례 및 경영진의 편의가능성의 징후가 있습니다.</t>
  </si>
  <si>
    <t>(기술)</t>
  </si>
  <si>
    <t>(  ) 식별된 유의적 위험및 그에 대한 감사절차는 다음과 같습니다.</t>
  </si>
  <si>
    <t>(  ) 추가로 파악된 특수관계자는 다음과  같습니다.</t>
  </si>
  <si>
    <t>(  ) 발견된 유의적인 내부통제의 미비점은  다음과  같습니다 .</t>
  </si>
  <si>
    <t>(  ) 이사회등과 협의한 유의적 사항은 다음과  같습니다.</t>
  </si>
  <si>
    <t>(  ) 다음과 같은 기타사항이 있습니다.</t>
  </si>
  <si>
    <t>(  ) 적정의견입니다</t>
  </si>
  <si>
    <t>(  ) 다음과 같은 사유로 한정의견입니다.</t>
  </si>
  <si>
    <t>( 기술)</t>
  </si>
  <si>
    <t>(  ) 다음과 같은 사유로 부적정의견입니다.</t>
  </si>
  <si>
    <t>(  ) 다음과 같은 사유로 의견거절입니다.</t>
  </si>
  <si>
    <t>(  )  그 결과, 재무제표의 수정이나 공시가 필요한 사건은 발견되지 않았습니다.</t>
  </si>
  <si>
    <t>(  )  그 결과, 재무제표의 수정이나 공시가 필요한 사건은 다음과 같습니다.</t>
  </si>
  <si>
    <t>7410 부문감사인에 대한 그룹감사지침서</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</si>
</sst>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 #,##0_-;_-* &quot;-&quot;_-;_-@_-"/>
    <numFmt numFmtId="177" formatCode="yyyy&quot;년&quot;\ m&quot;월&quot;\ d&quot;일&quot;;@"/>
  </numFmts>
  <fonts count="29">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b/>
      <sz val="11"/>
      <color theme="1"/>
      <name val="맑은 고딕"/>
      <family val="3"/>
      <charset val="129"/>
      <scheme val="minor"/>
    </font>
    <font>
      <sz val="11"/>
      <color rgb="FFFF0000"/>
      <name val="맑은 고딕"/>
      <family val="2"/>
      <charset val="129"/>
      <scheme val="minor"/>
    </font>
    <font>
      <sz val="12"/>
      <color rgb="FF000000"/>
      <name val="HY신명조"/>
      <family val="1"/>
      <charset val="129"/>
    </font>
    <font>
      <sz val="12"/>
      <name val="HY신명조"/>
      <family val="1"/>
      <charset val="129"/>
    </font>
    <font>
      <u/>
      <sz val="12"/>
      <name val="HY신명조"/>
      <family val="1"/>
      <charset val="129"/>
    </font>
    <font>
      <b/>
      <sz val="12"/>
      <color rgb="FF000000"/>
      <name val="HY신명조"/>
      <family val="1"/>
      <charset val="129"/>
    </font>
    <font>
      <sz val="12"/>
      <color rgb="FF0070C0"/>
      <name val="HY신명조"/>
      <family val="1"/>
      <charset val="129"/>
    </font>
    <font>
      <u/>
      <sz val="12"/>
      <color rgb="FF002060"/>
      <name val="HY신명조"/>
      <family val="1"/>
      <charset val="129"/>
    </font>
    <font>
      <sz val="12"/>
      <color rgb="FF002060"/>
      <name val="HY신명조"/>
      <family val="1"/>
      <charset val="129"/>
    </font>
    <font>
      <u/>
      <sz val="12"/>
      <color rgb="FF7F7F7F"/>
      <name val="HY신명조"/>
      <family val="1"/>
      <charset val="129"/>
    </font>
    <font>
      <i/>
      <sz val="12"/>
      <color rgb="FF000000"/>
      <name val="HY신명조"/>
      <family val="1"/>
      <charset val="129"/>
    </font>
    <font>
      <sz val="12"/>
      <color rgb="FF7F7F7F"/>
      <name val="HY신명조"/>
      <family val="1"/>
      <charset val="129"/>
    </font>
    <font>
      <i/>
      <sz val="12"/>
      <color rgb="FF002060"/>
      <name val="HY신명조"/>
      <family val="1"/>
      <charset val="129"/>
    </font>
    <font>
      <sz val="12"/>
      <color theme="1"/>
      <name val="HY신명조"/>
      <family val="1"/>
      <charset val="129"/>
    </font>
    <font>
      <sz val="12"/>
      <color rgb="FFFF0000"/>
      <name val="HY신명조"/>
      <family val="1"/>
      <charset val="129"/>
    </font>
    <font>
      <b/>
      <sz val="12"/>
      <name val="HY신명조"/>
      <family val="1"/>
      <charset val="129"/>
    </font>
    <font>
      <b/>
      <sz val="10"/>
      <color rgb="FF000000"/>
      <name val="HY신명조"/>
      <charset val="129"/>
    </font>
  </fonts>
  <fills count="6">
    <fill>
      <patternFill patternType="none"/>
    </fill>
    <fill>
      <patternFill patternType="gray125"/>
    </fill>
    <fill>
      <patternFill patternType="solid">
        <fgColor rgb="FFFFFF99"/>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0" tint="-0.14999847407452621"/>
        <bgColor indexed="64"/>
      </patternFill>
    </fill>
  </fills>
  <borders count="40">
    <border>
      <left/>
      <right/>
      <top/>
      <bottom/>
      <diagonal/>
    </border>
    <border>
      <left/>
      <right/>
      <top style="thin">
        <color indexed="64"/>
      </top>
      <bottom style="thin">
        <color indexed="64"/>
      </bottom>
      <diagonal/>
    </border>
    <border>
      <left/>
      <right/>
      <top/>
      <bottom style="thin">
        <color indexed="64"/>
      </bottom>
      <diagonal/>
    </border>
    <border>
      <left/>
      <right style="thin">
        <color rgb="FF000000"/>
      </right>
      <top/>
      <bottom style="thin">
        <color rgb="FF000000"/>
      </bottom>
      <diagonal/>
    </border>
    <border>
      <left style="thin">
        <color indexed="64"/>
      </left>
      <right/>
      <top/>
      <bottom style="thin">
        <color rgb="FF000000"/>
      </bottom>
      <diagonal/>
    </border>
    <border>
      <left style="thin">
        <color rgb="FF000000"/>
      </left>
      <right/>
      <top/>
      <bottom style="thin">
        <color indexed="64"/>
      </bottom>
      <diagonal/>
    </border>
    <border>
      <left/>
      <right style="thin">
        <color rgb="FF000000"/>
      </right>
      <top style="thin">
        <color rgb="FF000000"/>
      </top>
      <bottom/>
      <diagonal/>
    </border>
    <border>
      <left style="thin">
        <color indexed="64"/>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auto="1"/>
      </left>
      <right style="thin">
        <color rgb="FF000000"/>
      </right>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rgb="FF000000"/>
      </right>
      <top/>
      <bottom/>
      <diagonal/>
    </border>
    <border>
      <left style="thin">
        <color rgb="FF000000"/>
      </left>
      <right/>
      <top/>
      <bottom/>
      <diagonal/>
    </border>
    <border>
      <left style="thin">
        <color indexed="64"/>
      </left>
      <right/>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rgb="FF000000"/>
      </top>
      <bottom style="thin">
        <color rgb="FF000000"/>
      </bottom>
      <diagonal/>
    </border>
    <border>
      <left/>
      <right style="thin">
        <color indexed="64"/>
      </right>
      <top/>
      <bottom/>
      <diagonal/>
    </border>
    <border>
      <left/>
      <right style="thin">
        <color indexed="64"/>
      </right>
      <top/>
      <bottom style="thin">
        <color rgb="FF000000"/>
      </bottom>
      <diagonal/>
    </border>
    <border>
      <left style="thin">
        <color rgb="FF000000"/>
      </left>
      <right/>
      <top style="thin">
        <color indexed="64"/>
      </top>
      <bottom/>
      <diagonal/>
    </border>
    <border>
      <left/>
      <right style="thin">
        <color indexed="64"/>
      </right>
      <top style="thin">
        <color indexed="64"/>
      </top>
      <bottom/>
      <diagonal/>
    </border>
  </borders>
  <cellStyleXfs count="22">
    <xf numFmtId="0" fontId="0" fillId="0" borderId="0">
      <alignment vertical="center"/>
    </xf>
    <xf numFmtId="0" fontId="2"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176" fontId="2" fillId="0" borderId="0" applyFont="0" applyFill="0" applyBorder="0" applyAlignment="0" applyProtection="0">
      <alignment vertical="center"/>
    </xf>
    <xf numFmtId="176" fontId="2"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1" fillId="0" borderId="0">
      <alignment vertical="center"/>
    </xf>
    <xf numFmtId="0" fontId="2" fillId="0" borderId="0">
      <alignment vertical="center"/>
    </xf>
    <xf numFmtId="0" fontId="7" fillId="0" borderId="0">
      <alignment vertical="center"/>
    </xf>
    <xf numFmtId="0" fontId="5" fillId="0" borderId="0"/>
    <xf numFmtId="0" fontId="2"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171">
    <xf numFmtId="0" fontId="0" fillId="0" borderId="0" xfId="0">
      <alignment vertical="center"/>
    </xf>
    <xf numFmtId="0" fontId="12" fillId="0" borderId="0" xfId="0" applyFont="1">
      <alignment vertical="center"/>
    </xf>
    <xf numFmtId="0" fontId="0" fillId="0" borderId="21" xfId="0" applyBorder="1">
      <alignment vertical="center"/>
    </xf>
    <xf numFmtId="0" fontId="0" fillId="3" borderId="21" xfId="0" applyFill="1" applyBorder="1">
      <alignment vertical="center"/>
    </xf>
    <xf numFmtId="0" fontId="0" fillId="2" borderId="21" xfId="0" applyFill="1" applyBorder="1">
      <alignment vertical="center"/>
    </xf>
    <xf numFmtId="14" fontId="0" fillId="2" borderId="21" xfId="0" applyNumberFormat="1" applyFill="1" applyBorder="1">
      <alignment vertical="center"/>
    </xf>
    <xf numFmtId="0" fontId="0" fillId="4" borderId="21" xfId="0" applyFill="1" applyBorder="1" applyAlignment="1">
      <alignment horizontal="center" vertical="center"/>
    </xf>
    <xf numFmtId="0" fontId="13" fillId="0" borderId="0" xfId="0" applyFont="1">
      <alignment vertical="center"/>
    </xf>
    <xf numFmtId="0" fontId="14" fillId="0" borderId="33" xfId="1" applyFont="1" applyBorder="1" applyAlignment="1">
      <alignment horizontal="justify" vertical="center" wrapText="1"/>
    </xf>
    <xf numFmtId="0" fontId="15" fillId="0" borderId="0" xfId="1" applyFont="1">
      <alignment vertical="center"/>
    </xf>
    <xf numFmtId="0" fontId="14" fillId="0" borderId="34" xfId="1" applyFont="1" applyBorder="1" applyAlignment="1">
      <alignment horizontal="justify" vertical="center" wrapText="1"/>
    </xf>
    <xf numFmtId="0" fontId="16" fillId="0" borderId="0" xfId="1" applyFont="1" applyFill="1" applyBorder="1" applyAlignment="1">
      <alignment horizontal="right" vertical="center"/>
    </xf>
    <xf numFmtId="14" fontId="15" fillId="0" borderId="0" xfId="1" applyNumberFormat="1" applyFont="1" applyFill="1" applyAlignment="1">
      <alignment horizontal="right" vertical="center"/>
    </xf>
    <xf numFmtId="0" fontId="14" fillId="0" borderId="0" xfId="1" applyFont="1" applyAlignment="1">
      <alignment horizontal="justify" vertical="center"/>
    </xf>
    <xf numFmtId="0" fontId="14" fillId="0" borderId="0" xfId="1" applyFont="1" applyAlignment="1">
      <alignment horizontal="left" vertical="center"/>
    </xf>
    <xf numFmtId="0" fontId="15" fillId="0" borderId="0" xfId="1" applyFont="1" applyAlignment="1">
      <alignment horizontal="left" vertical="center"/>
    </xf>
    <xf numFmtId="0" fontId="14" fillId="0" borderId="17" xfId="1" applyFont="1" applyBorder="1" applyAlignment="1">
      <alignment horizontal="center" vertical="center" wrapText="1"/>
    </xf>
    <xf numFmtId="0" fontId="14" fillId="2" borderId="17" xfId="1" applyFont="1" applyFill="1" applyBorder="1" applyAlignment="1">
      <alignment horizontal="left" vertical="center" wrapText="1"/>
    </xf>
    <xf numFmtId="0" fontId="14" fillId="2" borderId="30" xfId="1" applyFont="1" applyFill="1" applyBorder="1" applyAlignment="1">
      <alignment horizontal="left" vertical="center" wrapText="1"/>
    </xf>
    <xf numFmtId="0" fontId="14" fillId="2" borderId="29" xfId="1" applyFont="1" applyFill="1" applyBorder="1" applyAlignment="1">
      <alignment horizontal="left" vertical="center" wrapText="1"/>
    </xf>
    <xf numFmtId="0" fontId="14" fillId="2" borderId="21" xfId="1" applyFont="1" applyFill="1" applyBorder="1" applyAlignment="1">
      <alignment horizontal="left" vertical="center" wrapText="1"/>
    </xf>
    <xf numFmtId="0" fontId="14" fillId="0" borderId="17" xfId="1" applyFont="1" applyBorder="1" applyAlignment="1">
      <alignment horizontal="left" vertical="center" wrapText="1"/>
    </xf>
    <xf numFmtId="0" fontId="14" fillId="0" borderId="11" xfId="1" applyFont="1" applyBorder="1" applyAlignment="1">
      <alignment horizontal="justify" vertical="center" wrapText="1"/>
    </xf>
    <xf numFmtId="0" fontId="14" fillId="0" borderId="3" xfId="1" applyFont="1" applyBorder="1" applyAlignment="1">
      <alignment horizontal="justify" vertical="center" wrapText="1"/>
    </xf>
    <xf numFmtId="0" fontId="14" fillId="0" borderId="0" xfId="1" applyFont="1" applyBorder="1" applyAlignment="1">
      <alignment horizontal="justify" vertical="center" wrapText="1"/>
    </xf>
    <xf numFmtId="0" fontId="14" fillId="0" borderId="17" xfId="1" applyFont="1" applyBorder="1" applyAlignment="1">
      <alignment horizontal="justify" vertical="center" wrapText="1"/>
    </xf>
    <xf numFmtId="0" fontId="18" fillId="2" borderId="17" xfId="1" applyFont="1" applyFill="1" applyBorder="1" applyAlignment="1">
      <alignment horizontal="justify" vertical="center" wrapText="1"/>
    </xf>
    <xf numFmtId="0" fontId="15" fillId="0" borderId="17" xfId="1" applyFont="1" applyFill="1" applyBorder="1" applyAlignment="1">
      <alignment horizontal="justify" vertical="center" wrapText="1"/>
    </xf>
    <xf numFmtId="14" fontId="15" fillId="0" borderId="29" xfId="1" applyNumberFormat="1" applyFont="1" applyFill="1" applyBorder="1" applyAlignment="1">
      <alignment horizontal="justify" vertical="center" wrapText="1"/>
    </xf>
    <xf numFmtId="0" fontId="15" fillId="0" borderId="27" xfId="1" applyFont="1" applyFill="1" applyBorder="1" applyAlignment="1">
      <alignment horizontal="justify" vertical="center" wrapText="1"/>
    </xf>
    <xf numFmtId="0" fontId="15" fillId="0" borderId="0" xfId="1" applyFont="1" applyAlignment="1">
      <alignment horizontal="left" vertical="center" wrapText="1"/>
    </xf>
    <xf numFmtId="0" fontId="14" fillId="2" borderId="17" xfId="1" applyFont="1" applyFill="1" applyBorder="1" applyAlignment="1">
      <alignment horizontal="center" vertical="center" wrapText="1"/>
    </xf>
    <xf numFmtId="0" fontId="14" fillId="0" borderId="17" xfId="1" applyFont="1" applyFill="1" applyBorder="1" applyAlignment="1">
      <alignment horizontal="left" vertical="center" wrapText="1"/>
    </xf>
    <xf numFmtId="0" fontId="19" fillId="0" borderId="0" xfId="1" applyFont="1" applyAlignment="1">
      <alignment horizontal="justify" vertical="center"/>
    </xf>
    <xf numFmtId="0" fontId="20" fillId="0" borderId="0" xfId="1" applyFont="1">
      <alignment vertical="center"/>
    </xf>
    <xf numFmtId="0" fontId="15" fillId="0" borderId="0" xfId="1" applyFont="1" applyAlignment="1">
      <alignment vertical="center" wrapText="1"/>
    </xf>
    <xf numFmtId="0" fontId="17" fillId="0" borderId="0" xfId="1" applyFont="1" applyAlignment="1">
      <alignment horizontal="justify" vertical="center"/>
    </xf>
    <xf numFmtId="0" fontId="15" fillId="0" borderId="0" xfId="1" applyFont="1" applyAlignment="1">
      <alignment horizontal="justify" vertical="center"/>
    </xf>
    <xf numFmtId="0" fontId="14" fillId="0" borderId="0" xfId="1" applyFont="1" applyFill="1" applyAlignment="1">
      <alignment vertical="center"/>
    </xf>
    <xf numFmtId="0" fontId="14" fillId="0" borderId="0" xfId="1" applyFont="1" applyAlignment="1">
      <alignment horizontal="left" vertical="center" wrapText="1"/>
    </xf>
    <xf numFmtId="0" fontId="14" fillId="0" borderId="24" xfId="1" applyFont="1" applyBorder="1" applyAlignment="1">
      <alignment horizontal="justify" vertical="center" wrapText="1"/>
    </xf>
    <xf numFmtId="0" fontId="15" fillId="4" borderId="23" xfId="1" applyFont="1" applyFill="1" applyBorder="1" applyAlignment="1">
      <alignment horizontal="justify" vertical="center" wrapText="1"/>
    </xf>
    <xf numFmtId="0" fontId="15" fillId="4" borderId="3" xfId="1" applyFont="1" applyFill="1" applyBorder="1" applyAlignment="1">
      <alignment horizontal="justify" vertical="center" wrapText="1"/>
    </xf>
    <xf numFmtId="0" fontId="17" fillId="0" borderId="0" xfId="1" applyFont="1" applyAlignment="1">
      <alignment horizontal="left" vertical="center"/>
    </xf>
    <xf numFmtId="0" fontId="21" fillId="0" borderId="0" xfId="1" applyFont="1" applyAlignment="1">
      <alignment horizontal="justify" vertical="center"/>
    </xf>
    <xf numFmtId="0" fontId="15" fillId="0" borderId="10" xfId="1" applyFont="1" applyBorder="1" applyAlignment="1">
      <alignment horizontal="center" vertical="center"/>
    </xf>
    <xf numFmtId="0" fontId="22" fillId="0" borderId="11" xfId="1" applyFont="1" applyBorder="1" applyAlignment="1">
      <alignment horizontal="justify" vertical="center" wrapText="1"/>
    </xf>
    <xf numFmtId="0" fontId="22" fillId="0" borderId="10" xfId="1" applyFont="1" applyBorder="1" applyAlignment="1">
      <alignment horizontal="justify" vertical="center" wrapText="1"/>
    </xf>
    <xf numFmtId="0" fontId="22" fillId="0" borderId="4" xfId="1" applyFont="1" applyBorder="1" applyAlignment="1">
      <alignment horizontal="justify" vertical="center" wrapText="1"/>
    </xf>
    <xf numFmtId="0" fontId="22" fillId="0" borderId="3" xfId="1" applyFont="1" applyBorder="1" applyAlignment="1">
      <alignment horizontal="justify" vertical="center" wrapText="1"/>
    </xf>
    <xf numFmtId="0" fontId="22" fillId="0" borderId="0" xfId="1" applyFont="1" applyBorder="1" applyAlignment="1">
      <alignment horizontal="justify" vertical="center" wrapText="1"/>
    </xf>
    <xf numFmtId="0" fontId="22" fillId="0" borderId="23" xfId="1" applyFont="1" applyBorder="1" applyAlignment="1">
      <alignment horizontal="justify" vertical="center" wrapText="1"/>
    </xf>
    <xf numFmtId="0" fontId="14" fillId="0" borderId="22" xfId="1" applyFont="1" applyBorder="1" applyAlignment="1">
      <alignment horizontal="center" vertical="center" wrapText="1"/>
    </xf>
    <xf numFmtId="0" fontId="14" fillId="0" borderId="21" xfId="1" applyFont="1" applyBorder="1" applyAlignment="1">
      <alignment horizontal="center" vertical="center" wrapText="1"/>
    </xf>
    <xf numFmtId="0" fontId="14" fillId="0" borderId="20" xfId="1" applyFont="1" applyBorder="1" applyAlignment="1">
      <alignment horizontal="center" vertical="center" wrapText="1"/>
    </xf>
    <xf numFmtId="0" fontId="14" fillId="0" borderId="12" xfId="1" applyFont="1" applyBorder="1" applyAlignment="1">
      <alignment horizontal="center" vertical="center" wrapText="1"/>
    </xf>
    <xf numFmtId="0" fontId="14" fillId="4" borderId="18" xfId="1" applyFont="1" applyFill="1" applyBorder="1" applyAlignment="1">
      <alignment horizontal="left" vertical="center" wrapText="1"/>
    </xf>
    <xf numFmtId="0" fontId="14" fillId="4" borderId="19" xfId="1" applyFont="1" applyFill="1" applyBorder="1" applyAlignment="1">
      <alignment horizontal="justify" vertical="top" wrapText="1"/>
    </xf>
    <xf numFmtId="0" fontId="23" fillId="0" borderId="12" xfId="1" applyFont="1" applyBorder="1" applyAlignment="1">
      <alignment horizontal="right" vertical="center" wrapText="1"/>
    </xf>
    <xf numFmtId="0" fontId="14" fillId="4" borderId="17" xfId="1" applyFont="1" applyFill="1" applyBorder="1" applyAlignment="1">
      <alignment horizontal="justify" vertical="center" wrapText="1"/>
    </xf>
    <xf numFmtId="0" fontId="14" fillId="4" borderId="16" xfId="1" applyFont="1" applyFill="1" applyBorder="1" applyAlignment="1">
      <alignment horizontal="justify" vertical="center" wrapText="1"/>
    </xf>
    <xf numFmtId="0" fontId="14" fillId="0" borderId="12" xfId="1" applyFont="1" applyBorder="1" applyAlignment="1">
      <alignment horizontal="right" vertical="center" wrapText="1"/>
    </xf>
    <xf numFmtId="0" fontId="14" fillId="4" borderId="15" xfId="1" applyFont="1" applyFill="1" applyBorder="1" applyAlignment="1">
      <alignment horizontal="left" vertical="center" wrapText="1"/>
    </xf>
    <xf numFmtId="0" fontId="14" fillId="4" borderId="14" xfId="1" applyFont="1" applyFill="1" applyBorder="1" applyAlignment="1">
      <alignment horizontal="justify" vertical="center" wrapText="1"/>
    </xf>
    <xf numFmtId="0" fontId="14" fillId="4" borderId="13" xfId="1" applyFont="1" applyFill="1" applyBorder="1" applyAlignment="1">
      <alignment horizontal="justify" vertical="center" wrapText="1"/>
    </xf>
    <xf numFmtId="0" fontId="15" fillId="0" borderId="11" xfId="1" applyFont="1" applyBorder="1" applyAlignment="1">
      <alignment vertical="top" wrapText="1"/>
    </xf>
    <xf numFmtId="0" fontId="15" fillId="0" borderId="10" xfId="1" applyFont="1" applyBorder="1" applyAlignment="1">
      <alignment vertical="top" wrapText="1"/>
    </xf>
    <xf numFmtId="0" fontId="15" fillId="0" borderId="3" xfId="1" applyFont="1" applyBorder="1" applyAlignment="1">
      <alignment vertical="top" wrapText="1"/>
    </xf>
    <xf numFmtId="0" fontId="14" fillId="0" borderId="0" xfId="1" applyFont="1" applyBorder="1" applyAlignment="1">
      <alignment vertical="center" wrapText="1"/>
    </xf>
    <xf numFmtId="0" fontId="15" fillId="4" borderId="1" xfId="1" applyFont="1" applyFill="1" applyBorder="1">
      <alignment vertical="center"/>
    </xf>
    <xf numFmtId="0" fontId="14" fillId="4" borderId="1" xfId="1" applyFont="1" applyFill="1" applyBorder="1" applyAlignment="1">
      <alignment horizontal="justify" vertical="center" wrapText="1"/>
    </xf>
    <xf numFmtId="0" fontId="22" fillId="0" borderId="0" xfId="1" applyFont="1" applyAlignment="1">
      <alignment horizontal="left" vertical="center"/>
    </xf>
    <xf numFmtId="0" fontId="21" fillId="0" borderId="0" xfId="1" applyFont="1" applyAlignment="1">
      <alignment horizontal="center" vertical="center"/>
    </xf>
    <xf numFmtId="0" fontId="15" fillId="0" borderId="0" xfId="1" applyFont="1" applyFill="1">
      <alignment vertical="center"/>
    </xf>
    <xf numFmtId="0" fontId="25" fillId="5" borderId="0" xfId="1" applyFont="1" applyFill="1" applyAlignment="1">
      <alignment horizontal="left" vertical="center"/>
    </xf>
    <xf numFmtId="0" fontId="26" fillId="5" borderId="0" xfId="1" applyFont="1" applyFill="1">
      <alignment vertical="center"/>
    </xf>
    <xf numFmtId="0" fontId="28" fillId="2" borderId="23" xfId="1" applyFont="1" applyFill="1" applyBorder="1" applyAlignment="1">
      <alignment vertical="center" wrapText="1"/>
    </xf>
    <xf numFmtId="0" fontId="28" fillId="2" borderId="3" xfId="1" applyFont="1" applyFill="1" applyBorder="1" applyAlignment="1">
      <alignment vertical="center" wrapText="1"/>
    </xf>
    <xf numFmtId="0" fontId="28" fillId="2" borderId="23" xfId="1" applyFont="1" applyFill="1" applyBorder="1" applyAlignment="1">
      <alignment horizontal="justify" vertical="center" wrapText="1"/>
    </xf>
    <xf numFmtId="0" fontId="28" fillId="2" borderId="3" xfId="1" applyFont="1" applyFill="1" applyBorder="1" applyAlignment="1">
      <alignment horizontal="justify" vertical="center" wrapText="1"/>
    </xf>
    <xf numFmtId="0" fontId="28" fillId="2" borderId="6" xfId="1" applyFont="1" applyFill="1" applyBorder="1" applyAlignment="1">
      <alignment horizontal="justify" vertical="center" wrapText="1"/>
    </xf>
    <xf numFmtId="0" fontId="28" fillId="2" borderId="9" xfId="1" applyFont="1" applyFill="1" applyBorder="1" applyAlignment="1">
      <alignment horizontal="center" vertical="center" wrapText="1"/>
    </xf>
    <xf numFmtId="0" fontId="28" fillId="2" borderId="24" xfId="1" applyFont="1" applyFill="1" applyBorder="1" applyAlignment="1">
      <alignment horizontal="center" vertical="center" wrapText="1"/>
    </xf>
    <xf numFmtId="0" fontId="28" fillId="2" borderId="11" xfId="1" applyFont="1" applyFill="1" applyBorder="1" applyAlignment="1">
      <alignment horizontal="center" vertical="center" wrapText="1"/>
    </xf>
    <xf numFmtId="0" fontId="28" fillId="2" borderId="6" xfId="1" applyFont="1" applyFill="1" applyBorder="1" applyAlignment="1">
      <alignment vertical="center" wrapText="1"/>
    </xf>
    <xf numFmtId="0" fontId="17" fillId="0" borderId="6" xfId="1" applyFont="1" applyBorder="1" applyAlignment="1">
      <alignment vertical="center" wrapText="1"/>
    </xf>
    <xf numFmtId="0" fontId="28" fillId="0" borderId="25" xfId="1" applyFont="1" applyBorder="1" applyAlignment="1">
      <alignment horizontal="center" vertical="center" wrapText="1"/>
    </xf>
    <xf numFmtId="0" fontId="28" fillId="0" borderId="23" xfId="1" applyFont="1" applyBorder="1" applyAlignment="1">
      <alignment horizontal="left" vertical="center" wrapText="1"/>
    </xf>
    <xf numFmtId="0" fontId="28" fillId="0" borderId="4" xfId="1" applyFont="1" applyBorder="1" applyAlignment="1">
      <alignment horizontal="center" vertical="center" wrapText="1"/>
    </xf>
    <xf numFmtId="0" fontId="28" fillId="0" borderId="3" xfId="1" applyFont="1" applyBorder="1" applyAlignment="1">
      <alignment vertical="center" wrapText="1"/>
    </xf>
    <xf numFmtId="0" fontId="28" fillId="0" borderId="23" xfId="1" applyFont="1" applyBorder="1" applyAlignment="1">
      <alignment vertical="center" wrapText="1"/>
    </xf>
    <xf numFmtId="0" fontId="28" fillId="0" borderId="7" xfId="1" applyFont="1" applyBorder="1" applyAlignment="1">
      <alignment horizontal="center" vertical="center" wrapText="1"/>
    </xf>
    <xf numFmtId="0" fontId="14" fillId="0" borderId="24" xfId="1" applyFont="1" applyBorder="1" applyAlignment="1">
      <alignment horizontal="left" vertical="center" wrapText="1"/>
    </xf>
    <xf numFmtId="0" fontId="14" fillId="0" borderId="36" xfId="1" applyFont="1" applyBorder="1" applyAlignment="1">
      <alignment horizontal="left" vertical="center" wrapText="1"/>
    </xf>
    <xf numFmtId="0" fontId="14" fillId="0" borderId="5" xfId="1" applyFont="1" applyBorder="1" applyAlignment="1">
      <alignment horizontal="left" vertical="center" wrapText="1"/>
    </xf>
    <xf numFmtId="0" fontId="14" fillId="0" borderId="26" xfId="1" applyFont="1" applyBorder="1" applyAlignment="1">
      <alignment horizontal="left" vertical="center" wrapText="1"/>
    </xf>
    <xf numFmtId="0" fontId="28" fillId="0" borderId="25" xfId="1" applyFont="1" applyBorder="1" applyAlignment="1">
      <alignment horizontal="left" vertical="center" wrapText="1"/>
    </xf>
    <xf numFmtId="0" fontId="28" fillId="0" borderId="23" xfId="1" applyFont="1" applyBorder="1" applyAlignment="1">
      <alignment horizontal="left" vertical="center" wrapText="1"/>
    </xf>
    <xf numFmtId="0" fontId="25" fillId="5" borderId="0" xfId="1" applyFont="1" applyFill="1" applyAlignment="1">
      <alignment horizontal="left" vertical="center"/>
    </xf>
    <xf numFmtId="0" fontId="25" fillId="5" borderId="0" xfId="1" applyFont="1" applyFill="1" applyAlignment="1">
      <alignment horizontal="left" vertical="top"/>
    </xf>
    <xf numFmtId="0" fontId="17" fillId="0" borderId="0" xfId="1" applyFont="1" applyAlignment="1">
      <alignment horizontal="center" vertical="center"/>
    </xf>
    <xf numFmtId="0" fontId="14" fillId="0" borderId="0" xfId="1" applyFont="1" applyAlignment="1">
      <alignment horizontal="left" vertical="center" wrapText="1"/>
    </xf>
    <xf numFmtId="0" fontId="14" fillId="0" borderId="0" xfId="1" applyFont="1" applyBorder="1" applyAlignment="1">
      <alignment horizontal="left" vertical="center" wrapText="1"/>
    </xf>
    <xf numFmtId="0" fontId="14" fillId="4" borderId="2" xfId="1" applyFont="1" applyFill="1" applyBorder="1" applyAlignment="1">
      <alignment horizontal="left" vertical="center" wrapText="1"/>
    </xf>
    <xf numFmtId="0" fontId="14" fillId="4" borderId="2" xfId="1" applyFont="1" applyFill="1" applyBorder="1" applyAlignment="1">
      <alignment horizontal="center" vertical="center" wrapText="1"/>
    </xf>
    <xf numFmtId="0" fontId="17" fillId="0" borderId="0" xfId="1" applyFont="1" applyAlignment="1">
      <alignment horizontal="left" vertical="center"/>
    </xf>
    <xf numFmtId="0" fontId="23" fillId="0" borderId="0" xfId="1" applyFont="1" applyFill="1" applyBorder="1" applyAlignment="1">
      <alignment horizontal="left" vertical="center" wrapText="1"/>
    </xf>
    <xf numFmtId="0" fontId="15" fillId="0" borderId="0" xfId="1" applyFont="1" applyFill="1" applyBorder="1" applyAlignment="1">
      <alignment horizontal="left" vertical="center" wrapText="1"/>
    </xf>
    <xf numFmtId="0" fontId="15" fillId="0" borderId="0" xfId="1" applyFont="1" applyBorder="1" applyAlignment="1">
      <alignment horizontal="left" vertical="center" wrapText="1"/>
    </xf>
    <xf numFmtId="0" fontId="24" fillId="0" borderId="0" xfId="1" applyFont="1" applyAlignment="1">
      <alignment horizontal="left" vertical="center" wrapText="1"/>
    </xf>
    <xf numFmtId="0" fontId="15" fillId="0" borderId="0" xfId="1" applyFont="1" applyAlignment="1">
      <alignment horizontal="left" vertical="center" wrapText="1"/>
    </xf>
    <xf numFmtId="0" fontId="27" fillId="0" borderId="0" xfId="1" applyFont="1" applyAlignment="1">
      <alignment horizontal="left" vertical="center"/>
    </xf>
    <xf numFmtId="0" fontId="28" fillId="0" borderId="4" xfId="1" applyFont="1" applyBorder="1" applyAlignment="1">
      <alignment horizontal="left" vertical="top" wrapText="1"/>
    </xf>
    <xf numFmtId="0" fontId="28" fillId="0" borderId="3" xfId="1" applyFont="1" applyBorder="1" applyAlignment="1">
      <alignment horizontal="left" vertical="top" wrapText="1"/>
    </xf>
    <xf numFmtId="0" fontId="17" fillId="0" borderId="9" xfId="1" applyFont="1" applyBorder="1" applyAlignment="1">
      <alignment horizontal="left" vertical="center" wrapText="1"/>
    </xf>
    <xf numFmtId="0" fontId="17" fillId="0" borderId="8" xfId="1" applyFont="1" applyBorder="1" applyAlignment="1">
      <alignment horizontal="left" vertical="center" wrapText="1"/>
    </xf>
    <xf numFmtId="0" fontId="28" fillId="0" borderId="7" xfId="1" applyFont="1" applyBorder="1" applyAlignment="1">
      <alignment horizontal="center" vertical="center" wrapText="1"/>
    </xf>
    <xf numFmtId="0" fontId="28" fillId="0" borderId="6" xfId="1" applyFont="1" applyBorder="1" applyAlignment="1">
      <alignment horizontal="center" vertical="center" wrapText="1"/>
    </xf>
    <xf numFmtId="0" fontId="14" fillId="0" borderId="24" xfId="1" applyFont="1" applyBorder="1" applyAlignment="1">
      <alignment horizontal="left" vertical="top" wrapText="1"/>
    </xf>
    <xf numFmtId="0" fontId="14" fillId="0" borderId="36" xfId="1" applyFont="1" applyBorder="1" applyAlignment="1">
      <alignment horizontal="left" vertical="top" wrapText="1"/>
    </xf>
    <xf numFmtId="0" fontId="14" fillId="0" borderId="11" xfId="1" applyFont="1" applyBorder="1" applyAlignment="1">
      <alignment horizontal="left" vertical="top" wrapText="1"/>
    </xf>
    <xf numFmtId="0" fontId="14" fillId="0" borderId="37" xfId="1" applyFont="1" applyBorder="1" applyAlignment="1">
      <alignment horizontal="left" vertical="top" wrapText="1"/>
    </xf>
    <xf numFmtId="0" fontId="14" fillId="0" borderId="38" xfId="1" applyFont="1" applyBorder="1" applyAlignment="1">
      <alignment horizontal="left" vertical="center" wrapText="1"/>
    </xf>
    <xf numFmtId="0" fontId="14" fillId="0" borderId="39" xfId="1" applyFont="1" applyBorder="1" applyAlignment="1">
      <alignment horizontal="left" vertical="center" wrapText="1"/>
    </xf>
    <xf numFmtId="0" fontId="14" fillId="0" borderId="29" xfId="1" applyFont="1" applyBorder="1" applyAlignment="1">
      <alignment horizontal="center" vertical="center" wrapText="1"/>
    </xf>
    <xf numFmtId="0" fontId="14" fillId="0" borderId="35" xfId="1" applyFont="1" applyBorder="1" applyAlignment="1">
      <alignment horizontal="center" vertical="center" wrapText="1"/>
    </xf>
    <xf numFmtId="0" fontId="14" fillId="0" borderId="28" xfId="1" applyFont="1" applyBorder="1" applyAlignment="1">
      <alignment horizontal="center" vertical="center" wrapText="1"/>
    </xf>
    <xf numFmtId="0" fontId="14" fillId="0" borderId="27" xfId="1" applyFont="1" applyBorder="1" applyAlignment="1">
      <alignment horizontal="center" vertical="center" wrapText="1"/>
    </xf>
    <xf numFmtId="0" fontId="14" fillId="0" borderId="11" xfId="1" applyFont="1" applyBorder="1" applyAlignment="1">
      <alignment horizontal="left" vertical="center" wrapText="1"/>
    </xf>
    <xf numFmtId="0" fontId="14" fillId="0" borderId="37" xfId="1" applyFont="1" applyBorder="1" applyAlignment="1">
      <alignment horizontal="left" vertical="center" wrapText="1"/>
    </xf>
    <xf numFmtId="0" fontId="14" fillId="0" borderId="21" xfId="1" applyFont="1" applyBorder="1" applyAlignment="1">
      <alignment horizontal="left" vertical="center" wrapText="1"/>
    </xf>
    <xf numFmtId="0" fontId="15" fillId="0" borderId="9" xfId="1" applyFont="1" applyFill="1" applyBorder="1" applyAlignment="1">
      <alignment horizontal="left" vertical="center" wrapText="1"/>
    </xf>
    <xf numFmtId="0" fontId="15" fillId="0" borderId="6" xfId="1" applyFont="1" applyFill="1" applyBorder="1" applyAlignment="1">
      <alignment horizontal="left" vertical="center" wrapText="1"/>
    </xf>
    <xf numFmtId="0" fontId="15" fillId="4" borderId="10" xfId="1" applyFont="1" applyFill="1" applyBorder="1" applyAlignment="1">
      <alignment horizontal="center" vertical="center"/>
    </xf>
    <xf numFmtId="0" fontId="15" fillId="0" borderId="21" xfId="1" applyFont="1" applyBorder="1" applyAlignment="1">
      <alignment horizontal="left" vertical="center" wrapText="1"/>
    </xf>
    <xf numFmtId="0" fontId="14" fillId="0" borderId="30" xfId="1" applyFont="1" applyBorder="1" applyAlignment="1">
      <alignment horizontal="justify" vertical="center" wrapText="1"/>
    </xf>
    <xf numFmtId="0" fontId="14" fillId="0" borderId="19" xfId="1" applyFont="1" applyBorder="1" applyAlignment="1">
      <alignment horizontal="justify" vertical="center" wrapText="1"/>
    </xf>
    <xf numFmtId="0" fontId="14" fillId="0" borderId="10" xfId="1" applyFont="1" applyBorder="1" applyAlignment="1">
      <alignment horizontal="left" vertical="center" wrapText="1"/>
    </xf>
    <xf numFmtId="0" fontId="20" fillId="0" borderId="0" xfId="1" applyFont="1" applyAlignment="1">
      <alignment horizontal="left" vertical="center" wrapText="1"/>
    </xf>
    <xf numFmtId="0" fontId="20" fillId="0" borderId="0" xfId="1" applyFont="1" applyAlignment="1">
      <alignment horizontal="left" vertical="center" indent="1"/>
    </xf>
    <xf numFmtId="0" fontId="20" fillId="0" borderId="0" xfId="1" applyFont="1" applyAlignment="1">
      <alignment horizontal="left" vertical="center"/>
    </xf>
    <xf numFmtId="0" fontId="14" fillId="0" borderId="0" xfId="1" applyFont="1" applyFill="1" applyAlignment="1">
      <alignment horizontal="left" vertical="center" wrapText="1"/>
    </xf>
    <xf numFmtId="0" fontId="14" fillId="0" borderId="0" xfId="1" applyFont="1" applyAlignment="1">
      <alignment horizontal="left" vertical="center"/>
    </xf>
    <xf numFmtId="0" fontId="20" fillId="0" borderId="0" xfId="1" applyFont="1" applyAlignment="1">
      <alignment horizontal="left" vertical="center" wrapText="1" indent="1"/>
    </xf>
    <xf numFmtId="0" fontId="14" fillId="4" borderId="0" xfId="1" applyFont="1" applyFill="1" applyAlignment="1">
      <alignment horizontal="center" vertical="center"/>
    </xf>
    <xf numFmtId="0" fontId="14" fillId="0" borderId="31" xfId="1" applyFont="1" applyBorder="1" applyAlignment="1">
      <alignment horizontal="justify" vertical="center" wrapText="1"/>
    </xf>
    <xf numFmtId="0" fontId="18" fillId="2" borderId="30" xfId="1" applyFont="1" applyFill="1" applyBorder="1" applyAlignment="1">
      <alignment horizontal="justify" vertical="center" wrapText="1"/>
    </xf>
    <xf numFmtId="0" fontId="18" fillId="2" borderId="31" xfId="1" applyFont="1" applyFill="1" applyBorder="1" applyAlignment="1">
      <alignment horizontal="justify" vertical="center" wrapText="1"/>
    </xf>
    <xf numFmtId="0" fontId="18" fillId="2" borderId="19" xfId="1" applyFont="1" applyFill="1" applyBorder="1" applyAlignment="1">
      <alignment horizontal="justify" vertical="center" wrapText="1"/>
    </xf>
    <xf numFmtId="0" fontId="15" fillId="0" borderId="29" xfId="1" applyFont="1" applyFill="1" applyBorder="1" applyAlignment="1">
      <alignment horizontal="justify" vertical="center" wrapText="1"/>
    </xf>
    <xf numFmtId="0" fontId="15" fillId="0" borderId="27" xfId="1" applyFont="1" applyFill="1" applyBorder="1" applyAlignment="1">
      <alignment horizontal="justify" vertical="center" wrapText="1"/>
    </xf>
    <xf numFmtId="14" fontId="15" fillId="0" borderId="29" xfId="1" applyNumberFormat="1" applyFont="1" applyFill="1" applyBorder="1" applyAlignment="1">
      <alignment horizontal="justify" vertical="center" wrapText="1"/>
    </xf>
    <xf numFmtId="0" fontId="14" fillId="2" borderId="29" xfId="1" applyFont="1" applyFill="1" applyBorder="1" applyAlignment="1">
      <alignment horizontal="justify" vertical="center" wrapText="1"/>
    </xf>
    <xf numFmtId="0" fontId="14" fillId="2" borderId="27" xfId="1" applyFont="1" applyFill="1" applyBorder="1" applyAlignment="1">
      <alignment horizontal="justify" vertical="center" wrapText="1"/>
    </xf>
    <xf numFmtId="0" fontId="14" fillId="0" borderId="30" xfId="1" applyFont="1" applyBorder="1" applyAlignment="1">
      <alignment horizontal="center" vertical="center" wrapText="1"/>
    </xf>
    <xf numFmtId="0" fontId="14" fillId="0" borderId="19" xfId="1" applyFont="1" applyBorder="1" applyAlignment="1">
      <alignment horizontal="center" vertical="center" wrapText="1"/>
    </xf>
    <xf numFmtId="0" fontId="27" fillId="0" borderId="0" xfId="1" applyFont="1" applyAlignment="1">
      <alignment horizontal="center" vertical="center" wrapText="1"/>
    </xf>
    <xf numFmtId="0" fontId="15" fillId="0" borderId="33" xfId="1" applyFont="1" applyFill="1" applyBorder="1" applyAlignment="1">
      <alignment horizontal="center" vertical="center" wrapText="1"/>
    </xf>
    <xf numFmtId="0" fontId="15" fillId="0" borderId="1" xfId="1" applyFont="1" applyFill="1" applyBorder="1" applyAlignment="1">
      <alignment horizontal="center" vertical="center" wrapText="1"/>
    </xf>
    <xf numFmtId="0" fontId="15" fillId="0" borderId="32" xfId="1" applyFont="1" applyFill="1" applyBorder="1" applyAlignment="1">
      <alignment horizontal="center" vertical="center" wrapText="1"/>
    </xf>
    <xf numFmtId="177" fontId="15" fillId="0" borderId="33" xfId="1" applyNumberFormat="1" applyFont="1" applyFill="1" applyBorder="1" applyAlignment="1">
      <alignment horizontal="center" vertical="center" wrapText="1"/>
    </xf>
    <xf numFmtId="177" fontId="15" fillId="0" borderId="1" xfId="1" applyNumberFormat="1" applyFont="1" applyFill="1" applyBorder="1" applyAlignment="1">
      <alignment horizontal="center" vertical="center" wrapText="1"/>
    </xf>
    <xf numFmtId="177" fontId="15" fillId="0" borderId="32" xfId="1" applyNumberFormat="1" applyFont="1" applyFill="1" applyBorder="1" applyAlignment="1">
      <alignment horizontal="center" vertical="center" wrapText="1"/>
    </xf>
    <xf numFmtId="0" fontId="15" fillId="0" borderId="9" xfId="1" applyFont="1" applyBorder="1" applyAlignment="1">
      <alignment horizontal="left" vertical="center" wrapText="1"/>
    </xf>
    <xf numFmtId="0" fontId="15" fillId="0" borderId="6" xfId="1" applyFont="1" applyBorder="1" applyAlignment="1">
      <alignment horizontal="left" vertical="center" wrapText="1"/>
    </xf>
    <xf numFmtId="0" fontId="14" fillId="0" borderId="10" xfId="1" applyFont="1" applyBorder="1" applyAlignment="1">
      <alignment horizontal="left" vertical="center"/>
    </xf>
    <xf numFmtId="0" fontId="14" fillId="2" borderId="11" xfId="1" applyFont="1" applyFill="1" applyBorder="1" applyAlignment="1">
      <alignment horizontal="left" vertical="center" wrapText="1"/>
    </xf>
    <xf numFmtId="0" fontId="14" fillId="2" borderId="10" xfId="1" applyFont="1" applyFill="1" applyBorder="1" applyAlignment="1">
      <alignment horizontal="left" vertical="center" wrapText="1"/>
    </xf>
    <xf numFmtId="0" fontId="14" fillId="2" borderId="3" xfId="1" applyFont="1" applyFill="1" applyBorder="1" applyAlignment="1">
      <alignment horizontal="left" vertical="center" wrapText="1"/>
    </xf>
    <xf numFmtId="0" fontId="14" fillId="0" borderId="0" xfId="1" applyFont="1" applyAlignment="1">
      <alignment horizontal="left" vertical="center" indent="1"/>
    </xf>
    <xf numFmtId="0" fontId="14" fillId="0" borderId="0" xfId="1" applyFont="1" applyAlignment="1">
      <alignment horizontal="left" vertical="center" wrapText="1" indent="1"/>
    </xf>
  </cellXfs>
  <cellStyles count="22">
    <cellStyle name="Normal" xfId="0" builtinId="0"/>
    <cellStyle name="백분율 2" xfId="2" xr:uid="{00000000-0005-0000-0000-000001000000}"/>
    <cellStyle name="백분율 3" xfId="3" xr:uid="{00000000-0005-0000-0000-000002000000}"/>
    <cellStyle name="쉼표 [0] 2" xfId="4" xr:uid="{00000000-0005-0000-0000-000003000000}"/>
    <cellStyle name="쉼표 [0] 2 2" xfId="5" xr:uid="{00000000-0005-0000-0000-000004000000}"/>
    <cellStyle name="쉼표 [0] 3" xfId="6" xr:uid="{00000000-0005-0000-0000-000005000000}"/>
    <cellStyle name="쉼표 [0] 3 2" xfId="7" xr:uid="{00000000-0005-0000-0000-00000600000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하이퍼링크 2" xfId="19" xr:uid="{00000000-0005-0000-0000-000013000000}"/>
    <cellStyle name="하이퍼링크 3" xfId="20" xr:uid="{00000000-0005-0000-0000-000014000000}"/>
    <cellStyle name="하이퍼링크 4" xfId="21" xr:uid="{00000000-0005-0000-0000-000015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externalLink" Target="externalLinks/externalLink48.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8" Type="http://schemas.openxmlformats.org/officeDocument/2006/relationships/externalLink" Target="externalLinks/externalLink6.xml"/><Relationship Id="rId5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My%20Documents/&#51076;&#45824;&#52264;/2001&#45380;&#51076;&#45824;&#52264;/2001083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44053;&#44592;&#52285;1/Desktop/template%20manager/kicpa/&#44277;&#49884;&#49324;&#54637;&#51216;&#44160;&#54364;%20-kicp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isserver\f&amp;c\C\DBPLUS2000\save\&#49464;&#4422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jaejkim/AppData/Local/Aura/4.0/Files/19/AF/bd16e6d9-770b-4aa0-a69b-d18e04952113000000000000000000076040/79b2395e-ee2a-4ff3-8c9e-2561046133f8.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51221;&#48372;&#53685;&#49888;\&#54620;&#44397;&#44221;&#51228;\03&#45380;\&#44592;&#47568;&#44048;&#49324;\&#51312;&#49436;\FXDE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jiheechoi/Desktop/20130627%20-%20Test%20of%20Controls%20-%20Generic%20TL%20&amp;%20DELCs_KR_0809.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11%20Perform%20Preliminary%20Analytical%20Procedures%20Workbook&#51032;%20&#50892;&#53356;&#49884;&#5394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MIPOS\MAIL\TEMP\207NE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My%20Documents\&#44048;&#49324;\&#45824;&#51652;&#54868;&#54617;\&#45824;&#51652;04&#44048;&#49324;\My%20Documents\&#44048;&#49324;\&#47532;&#54840;\&#47532;&#54840;01&#44048;&#49324;\&#47532;&#54840;01&#44592;&#4756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twlim/Documents/&#50629;&#47924;&#54028;&#51068;/&#44048;&#49324;&#54952;&#50984;&#54868;/&#47588;&#52636;&#44288;&#47144;/&#52280;&#44256;&#51312;&#49436;/&#50500;&#47784;&#47112;&#54140;&#49884;&#54589;_To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WIP\11&#50900;\11&#50900;05&#510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264;&#50857;&#51652;\C\My%20Documents\48&#44592;&#44208;&#49328;\9&#50900;\&#44208;&#49328;&#47749;&#49464;&#49436;\&#47805;&#46405;1\&#48512;&#52292;\KSW\&#50689;&#50629;&#44288;&#47532;\&#51217;&#45824;&#44592;&#50504;\44&#44592;&#51217;&#45824;\&#44228;&#50557;10&#510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gw.samil.com/samilportal/filebox/dbs/24Q7111746.nsf/0/B3AA3A2879E6A87349257A7A002FF6C6/$file/(0915&#50756;&#47308;)001%20-%20Cash_&#48149;&#49464;&#55148;_0828.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archeon/Documents/1.&#51089;&#50629;/&#54620;&#44277;&#54924;&#50857;&#50669;/&#52280;&#44256;/sia/&#50976;&#54805;.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50980;&#55141;&#44540;/98&#44208;&#4932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49436;&#51648;&#54840;/Desktop/&#50629;&#47924;&#44288;&#47144;(2018)/&#44048;&#49324;&#51312;&#49436;&#49436;&#49885;&#44060;&#51221;/2018&#45380;/(&#48537;&#51076;1)2016_&#44048;&#49324;&#51312;&#49436;&#49436;&#49885;(&#50696;&#49884;)_(&#50641;&#49472;&#54028;&#51068;)/1.%20KIFRS(excel)/(&#51068;&#48152;-excel)%202000%20&#50948;&#54744;&#54217;&#44032;.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205631%20Property_Substantive%20Test&#51032;%20&#50892;&#53356;&#49884;&#5394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9900;&#50896;&#54840;\MY%20DOCUMENTS\My%20Documents\&#49900;&#44284;&#51109;&#45784;\&#48512;&#44032;&#4946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9900;&#51064;&#49688;\&#44221;&#47532;&#48512;\Documents%20and%20Settings\&#49436;&#45824;&#49457;\My%20Documents\2003&#45380;\&#44208;&#49328;&#51088;&#47308;\&#49464;&#47924;&#51312;&#51221;\&#48277;&#51064;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nrp096006/&#48148;&#53461;%20&#54868;&#47732;/&#47749;&#49464;&#49436;/3&#48516;&#44592;&#47749;&#49464;&#49436;/OK/&#50976;&#47924;&#54805;&#51088;&#49328;&#47749;&#49464;&#49436;(2011.09)(ok).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y%20Documents/BU4%20PI2/&#49464;&#50896;&#49472;&#47200;&#53581;/18/&#44228;&#51221;&#47749;&#49464;&#49436;/07%20&#52572;&#51333;&#49345;&#48152;&#44592;%20&#50689;&#50629;&#44208;&#49328;&#49436;/Documents%20and%20Settings/&#48149;&#44148;&#49688;/&#48148;&#53461;%20&#54868;&#47732;/'00&#44552;&#50997;&#44592;&#44288;&#51312;&#54924;&#4943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51473;&#50521;&#44148;&#49444;/DATA/&#44208;&#49328;/97&#45380;/97&#44592;&#4945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49436;&#51648;&#54840;/Desktop/&#50629;&#47924;&#44288;&#47144;(2018)/&#44048;&#49324;&#51312;&#49436;&#49436;&#49885;&#44060;&#51221;/2018&#45380;/(&#48537;&#51076;1)2016_&#44048;&#49324;&#51312;&#49436;&#49436;&#49885;(&#50696;&#49884;)_(&#50641;&#49472;&#54028;&#51068;)/1.%20KIFRS(excel)/(&#51068;&#48152;-excel)%201000%20&#44048;&#49324;&#44228;&#50557;.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Client\Lightron\My%20Documents\Client\Work%20Paper\TRW%20C&amp;F\A-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900;&#51064;&#49688;\&#44221;&#47532;&#48512;\INTAX\save\&#51312;&#53945;&#4946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9900;&#50896;&#54840;\MY%20DOCUMENTS\&#44048;&#44032;&#49345;&#44033;\99.&#49464;&#47924;&#51312;&#51221;\99.&#48277;&#51064;&#49464;%20&#51473;&#44036;&#50696;&#4522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44048;&#49324;/02&#45380;%20&#44048;&#49324;/&#47000;&#47564;/&#44592;&#47568;/WINDOWS/&#48148;&#53461;%20&#54868;&#47732;/&#44552;&#49457;&#48169;&#51116;/&#50980;&#55141;&#44540;/98&#44208;&#4932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0896;&#46041;&#54785;\C\My%20Documents\&#44208;&#49328;&#51088;&#47308;\2)&#44048;&#44032;&#49345;&#4403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My%20Documents/ABAS/&#44048;&#49324;&#51312;&#49436;/2007&#45380;%20&#51312;&#49436;/&#50500;&#47784;&#47112;&#54140;&#49884;&#54589;/2007%20&#44592;&#47568;&#44048;&#49324;/&#47588;&#52636;&#50529;%20&#48372;&#44256;&#49436;/&#48169;&#54032;%20&#47588;&#52636;&#5052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221;&#54788;&#51452;\C\My%20Documents\&#49457;&#51652;1999\99&#44208;&#49328;\&#47448;&#44480;&#52384;\2)&#44048;&#44032;&#49345;&#4403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9900;&#51064;&#49688;\&#44221;&#47532;&#48512;\WINDOWS\Favorites\&#48149;&#53468;&#54872;\&#44048;&#44032;&#49345;&#44033;.XLS"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51068;&#48152;&#51312;&#49436;&#54028;&#51068;(&#54364;&#51456;)_&#49688;&#51221;_&#51060;&#51648;&#48124;_20120119.xls?AA6CF713" TargetMode="External"/><Relationship Id="rId1" Type="http://schemas.openxmlformats.org/officeDocument/2006/relationships/externalLinkPath" Target="file:///\\AA6CF713\&#51068;&#48152;&#51312;&#49436;&#54028;&#51068;(&#54364;&#51456;)_&#49688;&#51221;_&#51060;&#51648;&#48124;_2012011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windows/TEMP/RollForward.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LOT&#47560;&#44048;\104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2292;&#49345;&#54788;\&#54728;&#51061;\KSW\&#50689;&#50629;&#44288;&#47532;\&#51217;&#45824;&#44592;&#50504;\44&#44592;&#51217;&#45824;\&#44228;&#50557;10&#5106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221;&#54788;&#51452;\C\My%20Documents\&#49457;&#51652;1999\&#45824;&#49457;&#44208;&#49328;\2)&#44048;&#44032;&#49345;&#4403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My%20Documents\&#44048;&#49324;\&#47532;&#54840;\&#47532;&#54840;04&#44048;&#49324;\&#47532;&#54840;04&#44592;&#475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cell r="E14">
            <v>358830</v>
          </cell>
        </row>
        <row r="15">
          <cell r="C15">
            <v>794984791</v>
          </cell>
          <cell r="E15">
            <v>671031559</v>
          </cell>
        </row>
        <row r="16">
          <cell r="C16">
            <v>0</v>
          </cell>
          <cell r="E16">
            <v>1675000</v>
          </cell>
        </row>
        <row r="17">
          <cell r="C17">
            <v>0</v>
          </cell>
          <cell r="E17">
            <v>219874</v>
          </cell>
        </row>
        <row r="19">
          <cell r="C19">
            <v>106326419</v>
          </cell>
          <cell r="E19">
            <v>100232138</v>
          </cell>
        </row>
        <row r="20">
          <cell r="C20">
            <v>0</v>
          </cell>
          <cell r="E20">
            <v>19477610</v>
          </cell>
        </row>
        <row r="21">
          <cell r="C21">
            <v>130580</v>
          </cell>
          <cell r="E21">
            <v>44691228</v>
          </cell>
        </row>
        <row r="24">
          <cell r="C24">
            <v>2140737757</v>
          </cell>
          <cell r="E24">
            <v>2247064176</v>
          </cell>
        </row>
        <row r="28">
          <cell r="D28">
            <v>6500000</v>
          </cell>
        </row>
        <row r="29">
          <cell r="D29">
            <v>-6020483</v>
          </cell>
        </row>
        <row r="30">
          <cell r="B30">
            <v>23858418</v>
          </cell>
          <cell r="D30">
            <v>23858418</v>
          </cell>
        </row>
        <row r="31">
          <cell r="B31">
            <v>-20984583</v>
          </cell>
          <cell r="D31">
            <v>-18595038</v>
          </cell>
        </row>
        <row r="32">
          <cell r="C32">
            <v>7095442173</v>
          </cell>
          <cell r="E32">
            <v>7602259473</v>
          </cell>
        </row>
        <row r="36">
          <cell r="C36">
            <v>20000000</v>
          </cell>
          <cell r="E36">
            <v>20000000</v>
          </cell>
        </row>
        <row r="41">
          <cell r="C41">
            <v>127437200</v>
          </cell>
          <cell r="E41">
            <v>64571100</v>
          </cell>
        </row>
        <row r="42">
          <cell r="C42">
            <v>44594346</v>
          </cell>
          <cell r="E42">
            <v>51278000</v>
          </cell>
        </row>
        <row r="43">
          <cell r="C43">
            <v>145916212</v>
          </cell>
          <cell r="E43">
            <v>147659523</v>
          </cell>
        </row>
        <row r="44">
          <cell r="C44">
            <v>192428000</v>
          </cell>
          <cell r="E44">
            <v>128288000</v>
          </cell>
        </row>
        <row r="46">
          <cell r="C46">
            <v>10545357830</v>
          </cell>
          <cell r="E46">
            <v>10737785830</v>
          </cell>
        </row>
        <row r="52">
          <cell r="C52">
            <v>817600000</v>
          </cell>
          <cell r="E52">
            <v>817600000</v>
          </cell>
        </row>
        <row r="57">
          <cell r="C57">
            <v>-1712838033</v>
          </cell>
          <cell r="E57">
            <v>-1234429668</v>
          </cell>
        </row>
      </sheetData>
      <sheetData sheetId="4">
        <row r="9">
          <cell r="C9">
            <v>2567172909</v>
          </cell>
          <cell r="E9">
            <v>2469562000</v>
          </cell>
        </row>
        <row r="11">
          <cell r="C11">
            <v>1625008300</v>
          </cell>
          <cell r="E11">
            <v>1346147299</v>
          </cell>
        </row>
        <row r="14">
          <cell r="C14">
            <v>41867155</v>
          </cell>
          <cell r="E14">
            <v>1096249085</v>
          </cell>
        </row>
        <row r="30">
          <cell r="C30">
            <v>296315148</v>
          </cell>
          <cell r="E30">
            <v>170707341</v>
          </cell>
        </row>
        <row r="35">
          <cell r="C35">
            <v>1675020967</v>
          </cell>
          <cell r="E35">
            <v>1420929133</v>
          </cell>
        </row>
        <row r="41">
          <cell r="C41">
            <v>-478408365</v>
          </cell>
          <cell r="E41">
            <v>-1419169045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row r="3">
          <cell r="A3" t="str">
            <v>회 사 명 :</v>
          </cell>
          <cell r="B3" t="str">
            <v>공주환경주식회사</v>
          </cell>
        </row>
        <row r="4">
          <cell r="A4" t="str">
            <v>사업년도 :</v>
          </cell>
          <cell r="B4" t="str">
            <v>제10기 2011. 1. 1 ~ 2011. 12. 31</v>
          </cell>
        </row>
        <row r="7">
          <cell r="A7" t="str">
            <v>일반조서</v>
          </cell>
          <cell r="C7" t="str">
            <v xml:space="preserve">비고 </v>
          </cell>
          <cell r="D7" t="str">
            <v>징구 또는 기록여부</v>
          </cell>
        </row>
        <row r="8">
          <cell r="A8" t="str">
            <v xml:space="preserve"> 1100 일반기업회계기준 독립성 준수 검토 및 확인서</v>
          </cell>
          <cell r="C8" t="str">
            <v xml:space="preserve">감사계약착수전, 감사계약서와 함께 심리실의 sign </v>
          </cell>
          <cell r="D8" t="str">
            <v>√</v>
          </cell>
        </row>
        <row r="9">
          <cell r="A9" t="str">
            <v xml:space="preserve"> 1200 회사의 사업에 대한 이해</v>
          </cell>
          <cell r="C9" t="str">
            <v>감사계약착수전</v>
          </cell>
          <cell r="D9" t="str">
            <v>√</v>
          </cell>
        </row>
        <row r="10">
          <cell r="A10" t="str">
            <v xml:space="preserve"> 1300 전반감사계획서</v>
          </cell>
          <cell r="C10" t="str">
            <v xml:space="preserve">감사 계약 착수, 중간감사전 </v>
          </cell>
          <cell r="D10" t="str">
            <v>√</v>
          </cell>
        </row>
        <row r="11">
          <cell r="A11" t="str">
            <v xml:space="preserve"> 1400  감사업무시간 집계표</v>
          </cell>
          <cell r="C11" t="str">
            <v xml:space="preserve">감사 계약 착수, 중간감사전 </v>
          </cell>
          <cell r="D11" t="str">
            <v>√</v>
          </cell>
        </row>
        <row r="12">
          <cell r="A12" t="str">
            <v xml:space="preserve"> 1600 분석적 검토지침</v>
          </cell>
          <cell r="C12" t="str">
            <v xml:space="preserve">감사계약직후 </v>
          </cell>
          <cell r="D12" t="str">
            <v>√</v>
          </cell>
        </row>
        <row r="13">
          <cell r="A13" t="str">
            <v xml:space="preserve"> 1700 경영자 확인서</v>
          </cell>
          <cell r="C13" t="str">
            <v xml:space="preserve">감사종료후 field 철수시까지 징구 (아래아 한글 file) </v>
          </cell>
          <cell r="D13" t="str">
            <v>√</v>
          </cell>
        </row>
        <row r="14">
          <cell r="A14" t="str">
            <v xml:space="preserve"> 1800 변호사 조회서</v>
          </cell>
          <cell r="C14" t="str">
            <v xml:space="preserve">감사종료후 field 철수시까지 징구 (아래아한글 file) </v>
          </cell>
          <cell r="D14" t="str">
            <v>√</v>
          </cell>
        </row>
        <row r="15">
          <cell r="A15" t="str">
            <v xml:space="preserve"> 1900 날인된 재무제표(주석포함)</v>
          </cell>
          <cell r="C15" t="str">
            <v xml:space="preserve">감사종료후 field 철수시까지 징구 </v>
          </cell>
          <cell r="D15" t="str">
            <v>√</v>
          </cell>
        </row>
        <row r="16">
          <cell r="A16" t="str">
            <v xml:space="preserve"> 1910 회사결산공고문 사본</v>
          </cell>
          <cell r="D16" t="str">
            <v>해당사항 없음</v>
          </cell>
        </row>
        <row r="17">
          <cell r="A17" t="str">
            <v xml:space="preserve">1110.client acceptance form </v>
          </cell>
          <cell r="C17" t="str">
            <v>감사계약착수전, 감사계약서와 함께 심리실의 sign (word file)</v>
          </cell>
          <cell r="D17" t="str">
            <v>√</v>
          </cell>
        </row>
        <row r="19">
          <cell r="A19" t="str">
            <v>내부통제조서</v>
          </cell>
        </row>
        <row r="20">
          <cell r="A20" t="str">
            <v xml:space="preserve"> 2100 고유위험의 평가표</v>
          </cell>
        </row>
        <row r="21">
          <cell r="A21" t="str">
            <v xml:space="preserve"> 2200 회계제도와 내부통제제도 이해</v>
          </cell>
        </row>
        <row r="22">
          <cell r="A22" t="str">
            <v xml:space="preserve"> 2300 통제환경 평가조서</v>
          </cell>
        </row>
        <row r="23">
          <cell r="A23" t="str">
            <v xml:space="preserve"> 2400 통제위험의 평가표</v>
          </cell>
        </row>
        <row r="24">
          <cell r="A24" t="str">
            <v xml:space="preserve"> 2410 내부통제제도 평가절차 및 평가서</v>
          </cell>
        </row>
        <row r="25">
          <cell r="A25" t="str">
            <v xml:space="preserve"> 2500 정보시스템 내부통제질문서</v>
          </cell>
        </row>
        <row r="26">
          <cell r="A26" t="str">
            <v xml:space="preserve"> 2600 내부회계관리제도 검토절차</v>
          </cell>
        </row>
        <row r="28">
          <cell r="A28" t="str">
            <v>감사완결조서</v>
          </cell>
        </row>
        <row r="29">
          <cell r="A29" t="str">
            <v xml:space="preserve"> 3100 감사완결조서</v>
          </cell>
        </row>
        <row r="30">
          <cell r="A30" t="str">
            <v xml:space="preserve"> 3150 회계감사심리점검표</v>
          </cell>
        </row>
        <row r="31">
          <cell r="A31" t="str">
            <v xml:space="preserve"> 3200 감사보고서 문안 및 공시사항 점검표</v>
          </cell>
        </row>
        <row r="32">
          <cell r="A32" t="str">
            <v xml:space="preserve"> 3250 감사수정사항 집계표</v>
          </cell>
        </row>
        <row r="33">
          <cell r="A33" t="str">
            <v xml:space="preserve"> 3300 감사업무수행점검표</v>
          </cell>
          <cell r="C33" t="str">
            <v>감사계약시부터 보고서 전달까지 계속</v>
          </cell>
        </row>
        <row r="34">
          <cell r="A34" t="str">
            <v xml:space="preserve"> 3350 감사보고서의 최종본</v>
          </cell>
          <cell r="C34" t="str">
            <v>원시 draft 와 수정된 page 및 최종분 보관</v>
          </cell>
        </row>
        <row r="35">
          <cell r="A35" t="str">
            <v xml:space="preserve"> 3400 재무제표 등에 대한 분석적절차</v>
          </cell>
        </row>
        <row r="36">
          <cell r="A36" t="str">
            <v xml:space="preserve"> 3500 정산재무상태표</v>
          </cell>
        </row>
        <row r="37">
          <cell r="A37" t="str">
            <v xml:space="preserve"> 3510 정산손익계산서</v>
          </cell>
        </row>
        <row r="38">
          <cell r="A38" t="str">
            <v xml:space="preserve"> 3520 시산표</v>
          </cell>
        </row>
        <row r="39">
          <cell r="A39" t="str">
            <v xml:space="preserve"> 3530 현금흐름표 검토조서</v>
          </cell>
        </row>
        <row r="40">
          <cell r="A40" t="str">
            <v xml:space="preserve"> 3700 보고기간종료일후 발생한 사건의 검토</v>
          </cell>
        </row>
        <row r="41">
          <cell r="A41" t="str">
            <v xml:space="preserve"> 3710 부정과 오류 및 법규 불이행사항에 대한 검토</v>
          </cell>
        </row>
        <row r="42">
          <cell r="A42" t="str">
            <v xml:space="preserve"> 3720 특수관계자와의 거래에 대한 검토</v>
          </cell>
        </row>
        <row r="43">
          <cell r="A43" t="str">
            <v xml:space="preserve"> 3730 계속기업 존속여부에 대한 검토</v>
          </cell>
        </row>
        <row r="44">
          <cell r="A44" t="str">
            <v xml:space="preserve"> 3740 기초잔액 검토절차</v>
          </cell>
        </row>
        <row r="45">
          <cell r="A45" t="str">
            <v xml:space="preserve"> 3800 내부감시기구와의 협의</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회의"/>
      <sheetName val="2001.8.31"/>
      <sheetName val="미회수보증금"/>
      <sheetName val="임대"/>
      <sheetName val="전세보조금"/>
      <sheetName val="소유부동현황"/>
      <sheetName val="SAP미상2"/>
      <sheetName val="SAP미상"/>
      <sheetName val="직판이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400"/>
      <sheetName val="공시사항점검표 -kicpa"/>
      <sheetName val="공시사항점검표 -kicpa.xlsx"/>
    </sheetNames>
    <definedNames>
      <definedName name="_KDX3" refersTo="#REF!"/>
      <definedName name="aaaa" refersTo="#REF!"/>
      <definedName name="aaaaa" refersTo="#REF!"/>
      <definedName name="aaaaaa" refersTo="#REF!"/>
      <definedName name="ASAS" refersTo="#REF!"/>
      <definedName name="asd" refersTo="#REF!"/>
      <definedName name="asdf" refersTo="#REF!"/>
      <definedName name="asdfg" refersTo="#REF!"/>
      <definedName name="asxz" refersTo="#REF!"/>
      <definedName name="audit_button2_click" refersTo="#REF!"/>
      <definedName name="BackTo" refersTo="#REF!"/>
      <definedName name="BB" refersTo="#REF!"/>
      <definedName name="bbbb" refersTo="#REF!"/>
      <definedName name="bbbbb" refersTo="#REF!"/>
      <definedName name="BlankMacro1"/>
      <definedName name="BLCH"/>
      <definedName name="book" refersTo="#REF!"/>
      <definedName name="book2" refersTo="#REF!"/>
      <definedName name="book3" refersTo="#REF!"/>
      <definedName name="bsNote" refersTo="#REF!"/>
      <definedName name="btn" refersTo="#REF!"/>
      <definedName name="btnClose" refersTo="#REF!"/>
      <definedName name="btnFootNoting" refersTo="#REF!"/>
      <definedName name="btnNext" refersTo="#REF!"/>
      <definedName name="btnnnnn" refersTo="#REF!"/>
      <definedName name="btnOK" refersTo="#REF!"/>
      <definedName name="btnPrevious" refersTo="#REF!"/>
      <definedName name="btnr" refersTo="#REF!"/>
      <definedName name="btnReturn" refersTo="#REF!"/>
      <definedName name="cash" refersTo="#REF!"/>
      <definedName name="cash1" refersTo="#REF!"/>
      <definedName name="CashFlow_Button1_Click" refersTo="#REF!"/>
      <definedName name="cashIndex" refersTo="#REF!"/>
      <definedName name="CASHM" refersTo="#REF!"/>
      <definedName name="cc" refersTo="#REF!"/>
      <definedName name="cccccccccccccccccccccc" refersTo="#REF!"/>
      <definedName name="DayFix" refersTo="#REF!"/>
      <definedName name="DayFix1" refersTo="#REF!"/>
      <definedName name="ddd" refersTo="#REF!"/>
      <definedName name="DKD" refersTo="#REF!"/>
      <definedName name="DOM" refersTo="#REF!"/>
      <definedName name="DOMUSAGER" refersTo="#REF!"/>
      <definedName name="DOMUSA저장" refersTo="#REF!"/>
      <definedName name="DOM전장" refersTo="#REF!"/>
      <definedName name="DSFDSF" refersTo="#REF!"/>
      <definedName name="erre" refersTo="#REF!"/>
      <definedName name="F_123" refersTo="#REF!"/>
      <definedName name="fa" refersTo="#REF!"/>
      <definedName name="faf" refersTo="#REF!"/>
      <definedName name="fafa" refersTo="#REF!"/>
      <definedName name="fffffff" refersTo="#REF!"/>
      <definedName name="fghgfjk" refersTo="#REF!"/>
      <definedName name="FINAL_FS" refersTo="#REF!"/>
      <definedName name="finalReport" refersTo="#REF!"/>
      <definedName name="gaa" refersTo="#REF!"/>
      <definedName name="gdfh" refersTo="#REF!"/>
      <definedName name="ge" refersTo="#REF!"/>
      <definedName name="GELALL" refersTo="#REF!"/>
      <definedName name="GELALL전장2" refersTo="#REF!"/>
      <definedName name="GER" refersTo="#REF!"/>
      <definedName name="GER전장" refersTo="#REF!"/>
      <definedName name="gfgfgf" refersTo="#REF!"/>
      <definedName name="gfhn" refersTo="#REF!"/>
      <definedName name="ggg" refersTo="#REF!"/>
      <definedName name="GHJ" refersTo="#REF!"/>
      <definedName name="gjer" refersTo="#REF!"/>
      <definedName name="GO" refersTo="#REF!"/>
      <definedName name="GoAssetChart" refersTo="#REF!"/>
      <definedName name="GoBack" refersTo="#REF!"/>
      <definedName name="GoBalanceSheet" refersTo="#REF!"/>
      <definedName name="GoCashFlow" refersTo="#REF!"/>
      <definedName name="GoData" refersTo="#REF!"/>
      <definedName name="GoIncomeChart" refersTo="#REF!"/>
      <definedName name="GotoMainSheet" refersTo="#REF!"/>
      <definedName name="gqg" refersTo="#REF!"/>
      <definedName name="gw" refersTo="#REF!"/>
      <definedName name="han" refersTo="#REF!"/>
      <definedName name="hg" refersTo="#REF!"/>
      <definedName name="hghghghghghkf" refersTo="#REF!"/>
      <definedName name="hhh" refersTo="#REF!"/>
      <definedName name="hhhhhhh" refersTo="#REF!"/>
      <definedName name="hhhhhhhhhhhhhhhh" refersTo="#REF!"/>
      <definedName name="hhhjj" refersTo="#REF!"/>
      <definedName name="hjgs" refersTo="#REF!"/>
      <definedName name="hrjjsa" refersTo="#REF!"/>
      <definedName name="hserh" refersTo="#REF!"/>
      <definedName name="HSㅅㄱ" refersTo="#REF!"/>
      <definedName name="htgj" refersTo="#REF!"/>
      <definedName name="hwhrh" refersTo="#REF!"/>
      <definedName name="iii" refersTo="#REF!"/>
      <definedName name="ini_button_Click" refersTo="#REF!"/>
      <definedName name="iuiuiuiu" refersTo="#REF!"/>
      <definedName name="iuiuiuiuiuiu" refersTo="#REF!"/>
      <definedName name="IUUIUIUIU" refersTo="#REF!"/>
      <definedName name="jfg" refersTo="#REF!"/>
      <definedName name="jhjhjhjjhjh" refersTo="#REF!"/>
      <definedName name="job_run" refersTo="#REF!"/>
      <definedName name="khhjguyftdy" refersTo="#REF!"/>
      <definedName name="KIM" refersTo="#REF!"/>
      <definedName name="kjh" refersTo="#REF!"/>
      <definedName name="kkk" refersTo="#REF!"/>
      <definedName name="kkkkkkkkkkkkkkkkkkkkkkkkkk" refersTo="#REF!"/>
      <definedName name="LC3차서" refersTo="#REF!"/>
      <definedName name="lkiolki9olkiol" refersTo="#REF!"/>
      <definedName name="lkjgh" refersTo="#REF!"/>
      <definedName name="lkjhgfbnm" refersTo="#REF!"/>
      <definedName name="lkjhghfd" refersTo="#REF!"/>
      <definedName name="lkjhghyufy" refersTo="#REF!"/>
      <definedName name="lkjkj" refersTo="#REF!"/>
      <definedName name="LKKLKKK" refersTo="#REF!"/>
      <definedName name="lkkllkkllkkl" refersTo="#REF!"/>
      <definedName name="lklklklk" refersTo="#REF!"/>
      <definedName name="lllllll" refersTo="#REF!"/>
      <definedName name="menu_button_Click" refersTo="#REF!"/>
      <definedName name="MIPX3" refersTo="#REF!"/>
      <definedName name="mmm" refersTo="#REF!"/>
      <definedName name="mncvxjzshdffadsfcvdsfcs" refersTo="#REF!"/>
      <definedName name="NEW" refersTo="#REF!"/>
      <definedName name="NextCell" refersTo="#REF!"/>
      <definedName name="nn" refersTo="#REF!"/>
      <definedName name="nnn" refersTo="#REF!"/>
      <definedName name="oiioioi" refersTo="#REF!"/>
      <definedName name="OIIOIOIOI" refersTo="#REF!"/>
      <definedName name="OptionButton21_Click" refersTo="#REF!"/>
      <definedName name="plNote" refersTo="#REF!"/>
      <definedName name="poiuytrewq" refersTo="#REF!"/>
      <definedName name="poopop" refersTo="#REF!"/>
      <definedName name="PRT6AL5AR40" refersTo="#REF!"/>
      <definedName name="PRT6AU5BA41" refersTo="#REF!"/>
      <definedName name="PRT6B5H25" refersTo="#REF!"/>
      <definedName name="PRT6BD5BK32" refersTo="#REF!"/>
      <definedName name="prt6bn252bt288" refersTo="#REF!"/>
      <definedName name="prt6bn46bt82" refersTo="#REF!"/>
      <definedName name="PRT6BN5BT41" refersTo="#REF!"/>
      <definedName name="prt6bv7cc30" refersTo="#REF!"/>
      <definedName name="prt6cf5cl37" refersTo="#REF!"/>
      <definedName name="prt6co5cs41" refersTo="#REF!"/>
      <definedName name="prt6cv5dg33" refersTo="#REF!"/>
      <definedName name="PRT6K31U52" refersTo="#REF!"/>
      <definedName name="PRT6K4U25" refersTo="#REF!"/>
      <definedName name="PRT6K57W79" refersTo="#REF!"/>
      <definedName name="PRT6K85U107" refersTo="#REF!"/>
      <definedName name="PRT6X4AI25" refersTo="#REF!"/>
      <definedName name="PY" refersTo="#REF!"/>
      <definedName name="qqqq" refersTo="#REF!"/>
      <definedName name="QQQQQQWWWWWWW" refersTo="#REF!"/>
      <definedName name="quit_button_Click" refersTo="#REF!"/>
      <definedName name="qwe" refersTo="#REF!"/>
      <definedName name="reportP2" refersTo="#REF!"/>
      <definedName name="reportPl" refersTo="#REF!"/>
      <definedName name="RERER" refersTo="#REF!"/>
      <definedName name="RRRRR" refersTo="#REF!"/>
      <definedName name="sdds" refersTo="#REF!"/>
      <definedName name="sss" refersTo="#REF!"/>
      <definedName name="SW가능" refersTo="#REF!"/>
      <definedName name="sw사용가능2" refersTo="#REF!"/>
      <definedName name="TM" refersTo="#REF!"/>
      <definedName name="treg" refersTo="#REF!"/>
      <definedName name="u" refersTo="#REF!"/>
      <definedName name="vbhfhfg" refersTo="#REF!"/>
      <definedName name="vv" refersTo="#REF!"/>
      <definedName name="vvvvvvvvvvvvvvvvvvvvvvvvvvvv" refersTo="#REF!"/>
      <definedName name="WriteIntoMainSheet" refersTo="#REF!"/>
      <definedName name="WWWWWPPPPPPP" refersTo="#REF!"/>
      <definedName name="xxxxxxxxxxxxxxxx" refersTo="#REF!"/>
      <definedName name="ytty" refersTo="#REF!"/>
      <definedName name="yyy" refersTo="#REF!"/>
      <definedName name="zxcv" refersTo="#REF!"/>
      <definedName name="ZZ" refersTo="#REF!"/>
      <definedName name="zzz" refersTo="#REF!"/>
      <definedName name="zzzz" refersTo="#REF!"/>
      <definedName name="zzzzzzzzzzzzzzz" refersTo="#REF!"/>
      <definedName name="ㄱ가ㅓ" refersTo="#REF!"/>
      <definedName name="ㄱ노" refersTo="#REF!"/>
      <definedName name="ㄱ녹ㄴ소" refersTo="#REF!"/>
      <definedName name="ㄱㄷㄷ2ㄱ2ㄱ2ㄱ2" refersTo="#REF!"/>
      <definedName name="ㄱ듀" refersTo="#REF!"/>
      <definedName name="ㄱ소ㅠ" refersTo="#REF!"/>
      <definedName name="ㄱ솏" refersTo="#REF!"/>
      <definedName name="ㄱ슈곡ㄴ" refersTo="#REF!"/>
      <definedName name="가공비" refersTo="#REF!"/>
      <definedName name="거" refersTo="#REF!"/>
      <definedName name="건물" refersTo="#REF!"/>
      <definedName name="결재요약" refersTo="#REF!"/>
      <definedName name="계획" refersTo="#REF!"/>
      <definedName name="곣논" refersTo="#REF!"/>
      <definedName name="곣놈ㄴㅋ" refersTo="#REF!"/>
      <definedName name="곤ㄱㄴ속ㄴ" refersTo="#REF!"/>
      <definedName name="교너더ㅛ" refersTo="#REF!"/>
      <definedName name="교ㅓㄳ넌" refersTo="#REF!"/>
      <definedName name="교ㅓ허" refersTo="#REF!"/>
      <definedName name="기계장치" refersTo="#REF!"/>
      <definedName name="김심선" refersTo="#REF!"/>
      <definedName name="ㄳㄱㄴ" refersTo="#REF!"/>
      <definedName name="ㄴㄱ" refersTo="#REF!"/>
      <definedName name="ㄴㄱ속ㄴ" refersTo="#REF!"/>
      <definedName name="ㄴ거ㅜ" refersTo="#REF!"/>
      <definedName name="ㄴ곡노" refersTo="#REF!"/>
      <definedName name="ㄴ곤ㄱㅁ" refersTo="#REF!"/>
      <definedName name="ㄴ곧ㄴ" refersTo="#REF!"/>
      <definedName name="ㄴ곳ㄱ노" refersTo="#REF!"/>
      <definedName name="ㄴ굔ㄱ" refersTo="#REF!"/>
      <definedName name="ㄴㄷㄹ" refersTo="#REF!"/>
      <definedName name="ㄴㄹㄷㄷㅇㄷ" refersTo="#REF!"/>
      <definedName name="ㄴㄹㅇ호ㅓㅗㄱ" refersTo="#REF!"/>
      <definedName name="ㄴㅇ" refersTo="#REF!"/>
      <definedName name="ㄴㅇㄹ홓" refersTo="#REF!"/>
      <definedName name="ㄴㅇ텃" refersTo="#REF!"/>
      <definedName name="ㄴㅇㅎㄶ" refersTo="#REF!"/>
      <definedName name="너ㅛㄴㄳ" refersTo="#REF!"/>
      <definedName name="노고" refersTo="#REF!"/>
      <definedName name="논ㄱ" refersTo="#REF!"/>
      <definedName name="놈" refersTo="#REF!"/>
      <definedName name="뇨고노" refersTo="#REF!"/>
      <definedName name="뇨ㅓㄱㄴ요" refersTo="#REF!"/>
      <definedName name="ㄶㄴ" refersTo="#REF!"/>
      <definedName name="ㄷ" refersTo="#REF!"/>
      <definedName name="ㄷㄱ" refersTo="#REF!"/>
      <definedName name="ㄷㄳㅇㅀㅊ" refersTo="#REF!"/>
      <definedName name="ㄷ더" refersTo="#REF!"/>
      <definedName name="ㄷㅎ" refersTo="#REF!"/>
      <definedName name="ㄷ흇ㅇㄹㅊ" refersTo="#REF!"/>
      <definedName name="ㄹㄶ" refersTo="#REF!"/>
      <definedName name="ㄹㄹㄴ" refersTo="#REF!"/>
      <definedName name="ㄹㄹㅇ" refersTo="#REF!"/>
      <definedName name="ㄹㅇㄴㅁㅁㅁ" refersTo="#REF!"/>
      <definedName name="ㄹㅇㄴㅇㅇ" refersTo="#REF!"/>
      <definedName name="ㄹㅇㄴ호" refersTo="#REF!"/>
      <definedName name="ㄹㅇㅇㄴ" refersTo="#REF!"/>
      <definedName name="ㄹㅇㅇㅇㄴ" refersTo="#REF!"/>
      <definedName name="ㄹㅇㅎㅀㄹ" refersTo="#REF!"/>
      <definedName name="러" refersTo="#REF!"/>
      <definedName name="롯데기공" refersTo="#REF!"/>
      <definedName name="ㅀㅇㄴ" refersTo="#REF!"/>
      <definedName name="ㅁㄴㅇㅁㄻㄹㄹ" refersTo="#REF!"/>
      <definedName name="ㅁㄷㅀ" refersTo="#REF!"/>
      <definedName name="매출1" refersTo="#REF!"/>
      <definedName name="매출2" refersTo="#REF!"/>
      <definedName name="매출원" refersTo="#REF!"/>
      <definedName name="매출원6" refersTo="#REF!"/>
      <definedName name="매출원가사본" refersTo="#REF!"/>
      <definedName name="ㅂㅂㅂ" refersTo="#REF!"/>
      <definedName name="법" refersTo="#REF!"/>
      <definedName name="법닌" refersTo="#REF!"/>
      <definedName name="법인세" refersTo="#REF!"/>
      <definedName name="ㅅㄱ" refersTo="#REF!"/>
      <definedName name="ㅅㄱㄴ곤" refersTo="#REF!"/>
      <definedName name="ㅅ건거" refersTo="#REF!"/>
      <definedName name="ㅅ곳ㄷㄴ" refersTo="#REF!"/>
      <definedName name="ㅅㄹ" refersTo="#REF!"/>
      <definedName name="ㅅ언" refersTo="#REF!"/>
      <definedName name="ㅅ엇ㅇ" refersTo="#REF!"/>
      <definedName name="사외" refersTo="#REF!"/>
      <definedName name="설치누계" refersTo="#REF!"/>
      <definedName name="세부사항3" refersTo="#REF!"/>
      <definedName name="소선경" refersTo="#REF!"/>
      <definedName name="손익계산서" refersTo="#REF!"/>
      <definedName name="쇼ㅓㅇㄱ셔ㅓ" refersTo="#REF!"/>
      <definedName name="쇼ㅓㅇㅅ" refersTo="#REF!"/>
      <definedName name="슛" refersTo="#REF!"/>
      <definedName name="시스두께" refersTo="#REF!"/>
      <definedName name="시트" refersTo="#REF!"/>
      <definedName name="신규설정자" refersTo="#REF!"/>
      <definedName name="ㅇㄱ류" refersTo="#REF!"/>
      <definedName name="ㅇㄴㅇㄹ" refersTo="#REF!"/>
      <definedName name="ㅇㄴㅇㄹㅇ" refersTo="#REF!"/>
      <definedName name="ㅇ로" refersTo="#REF!"/>
      <definedName name="ㅇㅅ거ㅛ" refersTo="#REF!"/>
      <definedName name="어렵네용" refersTo="#REF!"/>
      <definedName name="어서" refersTo="#REF!"/>
      <definedName name="연속" refersTo="#REF!"/>
      <definedName name="완성외경" refersTo="#REF!"/>
      <definedName name="요섟언" refersTo="#REF!"/>
      <definedName name="운반비9" refersTo="#REF!"/>
      <definedName name="자료1" refersTo="#REF!"/>
      <definedName name="자료2" refersTo="#REF!"/>
      <definedName name="자본" refersTo="#REF!"/>
      <definedName name="저장품" refersTo="#REF!"/>
      <definedName name="전장DOM" refersTo="#REF!"/>
      <definedName name="절연두께" refersTo="#REF!"/>
      <definedName name="정리" refersTo="#REF!"/>
      <definedName name="증빙" refersTo="#REF!"/>
      <definedName name="ㅊㅊㅊㅊㅊ" refersTo="#REF!"/>
      <definedName name="참나" refersTo="#REF!"/>
      <definedName name="참나나나나나난" refersTo="#REF!"/>
      <definedName name="참내" refersTo="#REF!"/>
      <definedName name="총괄" refersTo="#REF!"/>
      <definedName name="ㅋㅌㅊ퓨" refersTo="#REF!"/>
      <definedName name="큐ㅗㅅㄹ" refersTo="#REF!"/>
      <definedName name="ㅌㄴㄴ" refersTo="#REF!"/>
      <definedName name="텃ㅌㅇ" refersTo="#REF!"/>
      <definedName name="퇴" refersTo="#REF!"/>
      <definedName name="판관비" refersTo="#REF!"/>
      <definedName name="판보" refersTo="#REF!"/>
      <definedName name="ㅎ4ㅎ" refersTo="#REF!"/>
      <definedName name="ㅎㄶㄴ" refersTo="#REF!"/>
      <definedName name="ㅎㄷ뮤" refersTo="#REF!"/>
      <definedName name="ㅎㅇ" refersTo="#REF!"/>
      <definedName name="ㅎㅇㄹ" refersTo="#REF!"/>
      <definedName name="흎" refersTo="#REF!"/>
      <definedName name="ㅏㅏ교" refersTo="#REF!"/>
      <definedName name="ㅓㄱㄱㄱ" refersTo="#REF!"/>
      <definedName name="ㅓㄱㄷ" refersTo="#REF!"/>
      <definedName name="ㅓㄴㄱㄴㄱ" refersTo="#REF!"/>
      <definedName name="ㅓㄴ교ㅓ" refersTo="#REF!"/>
      <definedName name="ㅓㄴㄴ뇨ㅓ" refersTo="#REF!"/>
      <definedName name="ㅓㄴ서" refersTo="#REF!"/>
      <definedName name="ㅓㅅ" refersTo="#REF!"/>
      <definedName name="ㅓㅅㄱㅇㄴ쇼ㅓ" refersTo="#REF!"/>
      <definedName name="ㅓㅇ섯" refersTo="#REF!"/>
      <definedName name="ㅓㅇ쇼ㅓㄴ" refersTo="#REF!"/>
      <definedName name="ㅓ요선ㅇ" refersTo="#REF!"/>
      <definedName name="ㅓㅏ" refersTo="#REF!"/>
      <definedName name="ㅓㅛㄴㅇ교ㅓ" refersTo="#REF!"/>
      <definedName name="ㅓㅛㅅ" refersTo="#REF!"/>
      <definedName name="ㅓㅛㅅ언" refersTo="#REF!"/>
      <definedName name="ㅓㅛㅅ엉ㅅ" refersTo="#REF!"/>
      <definedName name="ㅓㅛㅇ서" refersTo="#REF!"/>
      <definedName name="ㅓㅣ" refersTo="#REF!"/>
      <definedName name="ㅗㄱㄴ" refersTo="#REF!"/>
      <definedName name="ㅗㄱㄴㄴㄱ속ㄴ" refersTo="#REF!"/>
      <definedName name="ㅗㄱㄴ속ㄴ" refersTo="#REF!"/>
      <definedName name="ㅗㄱㄴ손" refersTo="#REF!"/>
      <definedName name="ㅗㄱ녹ㄴ" refersTo="#REF!"/>
      <definedName name="ㅗㄱㄷ" refersTo="#REF!"/>
      <definedName name="ㅗㄱ소" refersTo="#REF!"/>
      <definedName name="ㅗㄳㄷ곧ㄴ" refersTo="#REF!"/>
      <definedName name="ㅗㄴㄱ소" refersTo="#REF!"/>
      <definedName name="ㅗㄴㄱ손" refersTo="#REF!"/>
      <definedName name="ㅗㄴㄱ손ㄱ" refersTo="#REF!"/>
      <definedName name="ㅗㄴㄱ솟ㄱㄴ" refersTo="#REF!"/>
      <definedName name="ㅗㄴ곤" refersTo="#REF!"/>
      <definedName name="ㅗㄴㄳ" refersTo="#REF!"/>
      <definedName name="ㅗㄷ손" refersTo="#REF!"/>
      <definedName name="ㅗㅀ" refersTo="#REF!"/>
      <definedName name="ㅗㅅㄱ노ㅠㅍ" refersTo="#REF!"/>
      <definedName name="ㅗㅅㄱ논" refersTo="#REF!"/>
      <definedName name="ㅗㅅ곤" refersTo="#REF!"/>
      <definedName name="ㅗㅅㄴ곤고" refersTo="#REF!"/>
      <definedName name="ㅗㅈ4" refersTo="#REF!"/>
      <definedName name="ㅘ" refersTo="#REF!"/>
      <definedName name="ㅛ걱" refersTo="#REF!"/>
      <definedName name="ㅛ건" refersTo="#REF!"/>
      <definedName name="ㅛㅇㅅ겅ㅅ" refersTo="#REF!"/>
      <definedName name="ㅛㅓ" refersTo="#REF!"/>
      <definedName name="ㅛㅓㄴ" refersTo="#REF!"/>
      <definedName name="ㅠㄱㄴㄳ" refersTo="#REF!"/>
      <definedName name="ㅠㄷㅁ" refersTo="#REF!"/>
      <definedName name="ㅠㅅ귷" refersTo="#REF!"/>
      <definedName name="ㅠㅠㅠ" refersTo="#REF!"/>
      <definedName name="ㅠㅠㅠㅠㅠㅠ" refersTo="#REF!"/>
      <definedName name="ㅣㅏ" refersTo="#REF!"/>
      <definedName name="ㅣㅣㅣㅣㅣㅣㅣㄹㄹㄹㄹㄹㄹㄹ" refersTo="#REF!"/>
    </defined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15호부표1"/>
      <sheetName val="15호부표2"/>
      <sheetName val="16호"/>
      <sheetName val="23호(갑)"/>
      <sheetName val="23호(을)"/>
      <sheetName val="23호(병)"/>
      <sheetName val="17호"/>
      <sheetName val="18호"/>
      <sheetName val="19호(갑)"/>
      <sheetName val="19호(을)"/>
      <sheetName val="20호(1)"/>
      <sheetName val="20호(2)"/>
      <sheetName val="20호(3)"/>
      <sheetName val="24호"/>
      <sheetName val="40호(갑)"/>
      <sheetName val="40호(을)"/>
      <sheetName val="41호"/>
      <sheetName val="63호"/>
      <sheetName val="64호"/>
    </sheetNames>
    <sheetDataSet>
      <sheetData sheetId="0">
        <row r="6">
          <cell r="C6" t="str">
            <v>㈜세경멀티뱅크</v>
          </cell>
        </row>
        <row r="9">
          <cell r="C9" t="str">
            <v>11111-251457</v>
          </cell>
        </row>
        <row r="15">
          <cell r="C15">
            <v>36526</v>
          </cell>
        </row>
      </sheetData>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sheetName val="Library Procedures"/>
      <sheetName val="Master ToC Template"/>
      <sheetName val="ToC Template"/>
      <sheetName val="Master ToC Template US"/>
      <sheetName val="Master Testing Table"/>
      <sheetName val="Testing Table"/>
      <sheetName val="Master Testing Table US"/>
      <sheetName val="Master Update"/>
      <sheetName val="Master PAE_Manual"/>
      <sheetName val="Master PAE_Automated"/>
      <sheetName val="Master PAE_Benchmark"/>
      <sheetName val="Drop down"/>
    </sheetNames>
    <sheetDataSet>
      <sheetData sheetId="0">
        <row r="6">
          <cell r="M6" t="b">
            <v>1</v>
          </cell>
        </row>
        <row r="9">
          <cell r="M9" t="b">
            <v>0</v>
          </cell>
        </row>
        <row r="11">
          <cell r="M11" t="b">
            <v>0</v>
          </cell>
        </row>
        <row r="12">
          <cell r="M12" t="b">
            <v>0</v>
          </cell>
        </row>
        <row r="14">
          <cell r="M14" t="b">
            <v>1</v>
          </cell>
        </row>
        <row r="15">
          <cell r="M15" t="b">
            <v>0</v>
          </cell>
        </row>
        <row r="16">
          <cell r="M16" t="b">
            <v>0</v>
          </cell>
        </row>
        <row r="17">
          <cell r="M17" t="b">
            <v>1</v>
          </cell>
        </row>
        <row r="20">
          <cell r="M20" t="b">
            <v>1</v>
          </cell>
        </row>
        <row r="22">
          <cell r="M22" t="b">
            <v>0</v>
          </cell>
        </row>
        <row r="23">
          <cell r="M23" t="b">
            <v>1</v>
          </cell>
        </row>
        <row r="25">
          <cell r="M25" t="b">
            <v>1</v>
          </cell>
        </row>
        <row r="32">
          <cell r="M32" t="b">
            <v>0</v>
          </cell>
        </row>
        <row r="38">
          <cell r="M38" t="b">
            <v>0</v>
          </cell>
        </row>
        <row r="40">
          <cell r="M40" t="b">
            <v>1</v>
          </cell>
        </row>
        <row r="42">
          <cell r="M42"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Q6" t="str">
            <v>No</v>
          </cell>
        </row>
        <row r="7">
          <cell r="C7" t="str">
            <v>Multiple times a day</v>
          </cell>
          <cell r="G7" t="str">
            <v>N/A, no exception</v>
          </cell>
          <cell r="I7" t="str">
            <v>Low</v>
          </cell>
          <cell r="K7" t="str">
            <v>Observation</v>
          </cell>
          <cell r="Q7" t="str">
            <v>Yes</v>
          </cell>
        </row>
        <row r="8">
          <cell r="C8" t="str">
            <v>Daily</v>
          </cell>
          <cell r="G8" t="str">
            <v>Yes, CD/W created</v>
          </cell>
          <cell r="I8" t="str">
            <v>Moderate</v>
          </cell>
          <cell r="K8" t="str">
            <v>Inspection</v>
          </cell>
        </row>
        <row r="9">
          <cell r="C9" t="str">
            <v>Weekly</v>
          </cell>
          <cell r="G9" t="str">
            <v>No</v>
          </cell>
          <cell r="I9" t="str">
            <v>High</v>
          </cell>
          <cell r="K9" t="str">
            <v>Reperformance</v>
          </cell>
        </row>
        <row r="10">
          <cell r="C10" t="str">
            <v>Monthly</v>
          </cell>
        </row>
        <row r="11">
          <cell r="C11" t="str">
            <v>Quarterly</v>
          </cell>
        </row>
        <row r="12">
          <cell r="C12" t="str">
            <v>Annually</v>
          </cell>
        </row>
        <row r="13">
          <cell r="C13" t="str">
            <v>As needed or Other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XDEAL"/>
      <sheetName val="FXDEAL.XLS"/>
    </sheetNames>
    <definedNames>
      <definedName name="Chart_Draw"/>
    </defined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Library Procedures"/>
      <sheetName val="Master Procedures (10)"/>
      <sheetName val="Master Procedures (11)"/>
      <sheetName val="Master Procedures (12)"/>
      <sheetName val="Master Procedures (13)"/>
      <sheetName val="Master Procedures (14)"/>
      <sheetName val="Master Procedures (15)"/>
      <sheetName val="Master Procedures (16)"/>
      <sheetName val="Master Procedures (17)"/>
      <sheetName val="Master Procedures (18)"/>
      <sheetName val="Master Procedures (19)"/>
      <sheetName val="Master Procedures (CUST)"/>
      <sheetName val="Master Procedures (CUST_PCAOB)"/>
      <sheetName val="Master ToC Template"/>
      <sheetName val="Master ToC Template US"/>
      <sheetName val="ToC Template"/>
      <sheetName val="Master Testing Table"/>
      <sheetName val="Master Testing Table US"/>
      <sheetName val="Testing Table"/>
      <sheetName val="Master Update"/>
      <sheetName val="Master PAE_Manual"/>
      <sheetName val="Master PAE_Automated"/>
      <sheetName val="Master PAE_Benchmark"/>
      <sheetName val="Drop down"/>
    </sheetNames>
    <sheetDataSet>
      <sheetData sheetId="0">
        <row r="25">
          <cell r="M25" t="b">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Balance Sheet"/>
      <sheetName val="Income Statement"/>
      <sheetName val="Liquidity"/>
      <sheetName val="Profitability"/>
      <sheetName val="Leverage"/>
      <sheetName val="Other Analytical Proc."/>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7NEW"/>
      <sheetName val="207NEW.XLS"/>
    </sheetNames>
    <definedNames>
      <definedName name="Data_Process"/>
    </defined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정"/>
      <sheetName val="현"/>
      <sheetName val="대"/>
      <sheetName val="손"/>
      <sheetName val="제"/>
      <sheetName val="원가명세서"/>
      <sheetName val="수정"/>
      <sheetName val="현금흐름표"/>
      <sheetName val="잉여금"/>
      <sheetName val="제조원가"/>
      <sheetName val="손익"/>
      <sheetName val="대차"/>
      <sheetName val="주석"/>
      <sheetName val="경영지표"/>
      <sheetName val="조회"/>
      <sheetName val="현금과예금"/>
      <sheetName val="유가증권"/>
      <sheetName val="매출채권"/>
      <sheetName val="매출"/>
      <sheetName val="VAT대조"/>
      <sheetName val="투자"/>
      <sheetName val="차입금"/>
      <sheetName val="자본"/>
      <sheetName val="어음수불"/>
      <sheetName val="미회수어음"/>
      <sheetName val="판관비"/>
      <sheetName val="이자비용"/>
      <sheetName val="이자수익"/>
      <sheetName val="영업외손익"/>
      <sheetName val="법인세"/>
      <sheetName val="매출채권처분"/>
      <sheetName val="이자비용 (2)"/>
      <sheetName val="기타당좌"/>
      <sheetName val="재고"/>
      <sheetName val="재고2"/>
      <sheetName val="재고3"/>
      <sheetName val="매출원가"/>
      <sheetName val="매입채무"/>
      <sheetName val="기타유동"/>
      <sheetName val="기타고정"/>
      <sheetName val="퇴직급여"/>
      <sheetName val="급여"/>
      <sheetName val="특별손익"/>
      <sheetName val="무형"/>
      <sheetName val="유형"/>
      <sheetName val="비율분석"/>
      <sheetName val="환율"/>
      <sheetName val="2"/>
      <sheetName val="이자율검토"/>
      <sheetName val="이자수익 (2)"/>
      <sheetName val="경영분석"/>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TITLE</v>
          </cell>
          <cell r="B1" t="str">
            <v>TAG</v>
          </cell>
          <cell r="C1" t="str">
            <v>JKUM</v>
          </cell>
          <cell r="D1" t="str">
            <v>A01</v>
          </cell>
          <cell r="E1" t="str">
            <v>A02</v>
          </cell>
          <cell r="F1" t="str">
            <v>A03</v>
          </cell>
          <cell r="G1" t="str">
            <v>A04</v>
          </cell>
          <cell r="H1" t="str">
            <v>A05</v>
          </cell>
          <cell r="I1" t="str">
            <v>A06</v>
          </cell>
          <cell r="J1" t="str">
            <v>A07</v>
          </cell>
          <cell r="K1" t="str">
            <v>A08</v>
          </cell>
          <cell r="L1" t="str">
            <v>A09</v>
          </cell>
          <cell r="M1" t="str">
            <v>A10</v>
          </cell>
          <cell r="N1" t="str">
            <v>A11</v>
          </cell>
          <cell r="O1" t="str">
            <v>A12</v>
          </cell>
          <cell r="P1" t="str">
            <v>MONTOT</v>
          </cell>
        </row>
        <row r="2">
          <cell r="A2" t="str">
            <v>이  자  비  용</v>
          </cell>
          <cell r="B2" t="str">
            <v>차</v>
          </cell>
          <cell r="D2">
            <v>11372950</v>
          </cell>
          <cell r="E2">
            <v>6198546</v>
          </cell>
          <cell r="F2">
            <v>57788556</v>
          </cell>
          <cell r="G2">
            <v>18795349</v>
          </cell>
          <cell r="H2">
            <v>11307354</v>
          </cell>
          <cell r="I2">
            <v>46074325</v>
          </cell>
          <cell r="J2">
            <v>18941757</v>
          </cell>
          <cell r="K2">
            <v>19210375</v>
          </cell>
          <cell r="L2">
            <v>53487369</v>
          </cell>
          <cell r="M2">
            <v>21867731</v>
          </cell>
          <cell r="N2">
            <v>23080575</v>
          </cell>
          <cell r="O2">
            <v>48643006</v>
          </cell>
          <cell r="P2">
            <v>336767893</v>
          </cell>
        </row>
        <row r="3">
          <cell r="A3" t="str">
            <v>합    계</v>
          </cell>
          <cell r="B3" t="str">
            <v>차</v>
          </cell>
          <cell r="C3">
            <v>0</v>
          </cell>
          <cell r="D3">
            <v>11372950</v>
          </cell>
          <cell r="E3">
            <v>6198546</v>
          </cell>
          <cell r="F3">
            <v>57788556</v>
          </cell>
          <cell r="G3">
            <v>18795349</v>
          </cell>
          <cell r="H3">
            <v>11307354</v>
          </cell>
          <cell r="I3">
            <v>46074325</v>
          </cell>
          <cell r="J3">
            <v>18941757</v>
          </cell>
          <cell r="K3">
            <v>19210375</v>
          </cell>
          <cell r="L3">
            <v>53487369</v>
          </cell>
          <cell r="M3">
            <v>21867731</v>
          </cell>
          <cell r="N3">
            <v>23080575</v>
          </cell>
          <cell r="O3">
            <v>48643006</v>
          </cell>
          <cell r="P3">
            <v>336767893</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Samp"/>
      <sheetName val="Check_Spell"/>
      <sheetName val="2001Non-Statistical Sampling-1"/>
      <sheetName val="Targeted Testing"/>
      <sheetName val="Non-Statistical Sampling"/>
      <sheetName val="Accept Reject"/>
      <sheetName val="AR Drop Downs"/>
      <sheetName val="ARLU"/>
      <sheetName val="Instructions"/>
      <sheetName val="First Sample Results"/>
      <sheetName val="DropDown"/>
      <sheetName val="Currency"/>
      <sheetName val="sample"/>
      <sheetName val="2000 기중거래test"/>
      <sheetName val="모집단의 선정"/>
      <sheetName val="증빙확인"/>
      <sheetName val="Sheet7"/>
    </sheetNames>
    <sheetDataSet>
      <sheetData sheetId="0"/>
      <sheetData sheetId="1"/>
      <sheetData sheetId="2"/>
      <sheetData sheetId="3"/>
      <sheetData sheetId="4">
        <row r="5">
          <cell r="AR5" t="b">
            <v>0</v>
          </cell>
        </row>
        <row r="6">
          <cell r="AR6" t="b">
            <v>0</v>
          </cell>
        </row>
        <row r="12">
          <cell r="AR12" t="str">
            <v/>
          </cell>
        </row>
        <row r="15">
          <cell r="AK15" t="str">
            <v/>
          </cell>
        </row>
        <row r="20">
          <cell r="Y20" t="str">
            <v/>
          </cell>
        </row>
      </sheetData>
      <sheetData sheetId="5"/>
      <sheetData sheetId="6">
        <row r="6">
          <cell r="A6" t="str">
            <v>Low</v>
          </cell>
          <cell r="C6">
            <v>0</v>
          </cell>
          <cell r="E6" t="str">
            <v>Yes</v>
          </cell>
          <cell r="G6" t="str">
            <v>Haphazard</v>
          </cell>
          <cell r="I6" t="str">
            <v>&gt;= 200</v>
          </cell>
          <cell r="K6">
            <v>0</v>
          </cell>
        </row>
        <row r="7">
          <cell r="A7" t="str">
            <v>Moderate</v>
          </cell>
          <cell r="C7">
            <v>1</v>
          </cell>
          <cell r="E7" t="str">
            <v>No</v>
          </cell>
          <cell r="G7" t="str">
            <v>Random</v>
          </cell>
          <cell r="I7" t="str">
            <v>100 - 199</v>
          </cell>
          <cell r="K7">
            <v>1</v>
          </cell>
        </row>
        <row r="8">
          <cell r="A8" t="str">
            <v>High</v>
          </cell>
          <cell r="C8">
            <v>2</v>
          </cell>
          <cell r="E8" t="str">
            <v>N/A</v>
          </cell>
          <cell r="I8" t="str">
            <v>50 - 99</v>
          </cell>
          <cell r="K8">
            <v>2</v>
          </cell>
        </row>
        <row r="9">
          <cell r="I9" t="str">
            <v>20 - 49</v>
          </cell>
          <cell r="K9">
            <v>3</v>
          </cell>
        </row>
        <row r="10">
          <cell r="I10" t="str">
            <v>&lt; 20</v>
          </cell>
          <cell r="K10">
            <v>4</v>
          </cell>
        </row>
        <row r="11">
          <cell r="K11">
            <v>5</v>
          </cell>
        </row>
        <row r="12">
          <cell r="K12">
            <v>6</v>
          </cell>
        </row>
        <row r="13">
          <cell r="K13">
            <v>7</v>
          </cell>
        </row>
        <row r="14">
          <cell r="K14">
            <v>8</v>
          </cell>
        </row>
        <row r="15">
          <cell r="K15">
            <v>9</v>
          </cell>
        </row>
        <row r="16">
          <cell r="K16">
            <v>10</v>
          </cell>
        </row>
        <row r="17">
          <cell r="K17">
            <v>11</v>
          </cell>
        </row>
        <row r="18">
          <cell r="K18">
            <v>12</v>
          </cell>
        </row>
        <row r="19">
          <cell r="K19">
            <v>13</v>
          </cell>
        </row>
        <row r="20">
          <cell r="K20">
            <v>14</v>
          </cell>
        </row>
        <row r="21">
          <cell r="K21">
            <v>15</v>
          </cell>
        </row>
        <row r="22">
          <cell r="K22">
            <v>16</v>
          </cell>
        </row>
        <row r="23">
          <cell r="K23">
            <v>17</v>
          </cell>
        </row>
        <row r="24">
          <cell r="K24">
            <v>18</v>
          </cell>
        </row>
        <row r="25">
          <cell r="K25">
            <v>19</v>
          </cell>
        </row>
        <row r="26">
          <cell r="K26">
            <v>20</v>
          </cell>
        </row>
        <row r="27">
          <cell r="K27" t="str">
            <v>&gt;20</v>
          </cell>
        </row>
      </sheetData>
      <sheetData sheetId="7"/>
      <sheetData sheetId="8"/>
      <sheetData sheetId="9"/>
      <sheetData sheetId="10">
        <row r="1">
          <cell r="B1" t="str">
            <v>?</v>
          </cell>
          <cell r="D1" t="str">
            <v>?</v>
          </cell>
          <cell r="H1" t="str">
            <v>Ratio Estimation</v>
          </cell>
        </row>
        <row r="2">
          <cell r="B2" t="str">
            <v>Low</v>
          </cell>
          <cell r="D2" t="str">
            <v>Haphazard</v>
          </cell>
          <cell r="H2" t="str">
            <v>Difference Estimation</v>
          </cell>
        </row>
        <row r="3">
          <cell r="B3" t="str">
            <v>Moderate</v>
          </cell>
          <cell r="D3" t="str">
            <v>Random</v>
          </cell>
        </row>
        <row r="4">
          <cell r="B4" t="str">
            <v>High</v>
          </cell>
          <cell r="D4" t="str">
            <v>Systematic</v>
          </cell>
        </row>
      </sheetData>
      <sheetData sheetId="11">
        <row r="3">
          <cell r="C3" t="str">
            <v>Won</v>
          </cell>
        </row>
        <row r="9">
          <cell r="B9" t="str">
            <v>Currency?</v>
          </cell>
        </row>
        <row r="10">
          <cell r="B10" t="str">
            <v>AUS$</v>
          </cell>
        </row>
        <row r="11">
          <cell r="B11" t="str">
            <v>CAN$</v>
          </cell>
        </row>
        <row r="12">
          <cell r="B12" t="str">
            <v>Euro</v>
          </cell>
        </row>
        <row r="13">
          <cell r="B13" t="str">
            <v>Pound</v>
          </cell>
        </row>
        <row r="14">
          <cell r="B14" t="str">
            <v>US$</v>
          </cell>
        </row>
        <row r="15">
          <cell r="B15" t="str">
            <v>Yen</v>
          </cell>
        </row>
        <row r="16">
          <cell r="B16" t="str">
            <v>Colon</v>
          </cell>
        </row>
        <row r="17">
          <cell r="B17" t="str">
            <v>Dong</v>
          </cell>
        </row>
        <row r="18">
          <cell r="B18" t="str">
            <v>Franc</v>
          </cell>
        </row>
        <row r="19">
          <cell r="B19" t="str">
            <v>Kip</v>
          </cell>
        </row>
        <row r="20">
          <cell r="B20" t="str">
            <v>Kroner</v>
          </cell>
        </row>
        <row r="21">
          <cell r="B21" t="str">
            <v>Lira</v>
          </cell>
        </row>
        <row r="22">
          <cell r="B22" t="str">
            <v>Naira</v>
          </cell>
        </row>
        <row r="23">
          <cell r="B23" t="str">
            <v>Reais</v>
          </cell>
        </row>
        <row r="24">
          <cell r="B24" t="str">
            <v>Rubles</v>
          </cell>
        </row>
        <row r="25">
          <cell r="B25" t="str">
            <v>Rupee</v>
          </cell>
        </row>
        <row r="26">
          <cell r="B26" t="str">
            <v>Sequel</v>
          </cell>
        </row>
        <row r="27">
          <cell r="B27" t="str">
            <v>Thai</v>
          </cell>
        </row>
        <row r="28">
          <cell r="B28" t="str">
            <v>Tugrik</v>
          </cell>
        </row>
        <row r="29">
          <cell r="B29" t="str">
            <v>Won</v>
          </cell>
        </row>
        <row r="30">
          <cell r="B30" t="str">
            <v>Yuan</v>
          </cell>
        </row>
        <row r="31">
          <cell r="B31" t="str">
            <v>Other</v>
          </cell>
        </row>
      </sheetData>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월05일"/>
      <sheetName val="증감분석 및 연결조정"/>
      <sheetName val="Summary"/>
      <sheetName val="11월05일.XLS"/>
    </sheetNames>
    <definedNames>
      <definedName name="DELETE"/>
    </defined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s>
    <definedNames>
      <definedName name="don"/>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1"/>
      <sheetName val="Library Procedures2"/>
      <sheetName val="Library Procedures3 "/>
      <sheetName val="Library Procedures4"/>
      <sheetName val="Library Procedures5"/>
      <sheetName val="Library Procedures6"/>
      <sheetName val="Results Template"/>
      <sheetName val="ToD Template"/>
      <sheetName val="Menu Master"/>
      <sheetName val="Targeted Testing Master"/>
      <sheetName val="Non-Statistical Sampling Master"/>
      <sheetName val="Suppl Non-Stat Sample Master"/>
      <sheetName val="Accept Reject Master"/>
      <sheetName val="First Sample Results Master"/>
      <sheetName val="Global Data"/>
    </sheetNames>
    <sheetDataSet>
      <sheetData sheetId="0"/>
      <sheetData sheetId="1"/>
      <sheetData sheetId="2"/>
      <sheetData sheetId="3"/>
      <sheetData sheetId="4"/>
      <sheetData sheetId="5"/>
      <sheetData sheetId="6">
        <row r="50">
          <cell r="C50" t="str">
            <v xml:space="preserve">   ?</v>
          </cell>
        </row>
      </sheetData>
      <sheetData sheetId="7"/>
      <sheetData sheetId="8"/>
      <sheetData sheetId="9"/>
      <sheetData sheetId="10">
        <row r="50">
          <cell r="C50" t="str">
            <v xml:space="preserve">   ?</v>
          </cell>
        </row>
        <row r="63">
          <cell r="C63">
            <v>1</v>
          </cell>
        </row>
      </sheetData>
      <sheetData sheetId="11"/>
      <sheetData sheetId="12"/>
      <sheetData sheetId="13"/>
      <sheetData sheetId="14">
        <row r="92">
          <cell r="B92" t="str">
            <v xml:space="preserve">   ?</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
      <sheetName val="3100-10"/>
      <sheetName val="3100-20"/>
      <sheetName val="Targeted Testing(취득)"/>
      <sheetName val="Result(3100-30)"/>
      <sheetName val="취득명세"/>
      <sheetName val="3100-40-1"/>
      <sheetName val="3100-40-2"/>
      <sheetName val="3100-50"/>
      <sheetName val="건물"/>
      <sheetName val="구축물"/>
      <sheetName val="기계장치"/>
      <sheetName val="차량운반구"/>
      <sheetName val="공구와기구"/>
      <sheetName val="집기비품"/>
      <sheetName val="#1_손상징후의파악"/>
      <sheetName val="#2_회수가능액의측정"/>
      <sheetName val="#3_손상차손의결정"/>
      <sheetName val="EUI Report"/>
      <sheetName val="ToD Template"/>
      <sheetName val="Menu Master"/>
      <sheetName val="Targeted Testing Master"/>
      <sheetName val="Non-Statistical Sampling Master"/>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0">
          <cell r="C50" t="str">
            <v xml:space="preserve">   ?</v>
          </cell>
        </row>
        <row r="51">
          <cell r="C51" t="str">
            <v>Low</v>
          </cell>
        </row>
        <row r="52">
          <cell r="C52" t="str">
            <v>Moderate</v>
          </cell>
        </row>
        <row r="53">
          <cell r="C53" t="str">
            <v>High</v>
          </cell>
        </row>
        <row r="63">
          <cell r="C63">
            <v>1</v>
          </cell>
        </row>
      </sheetData>
      <sheetData sheetId="23"/>
      <sheetData sheetId="24">
        <row r="45">
          <cell r="T45">
            <v>0</v>
          </cell>
        </row>
        <row r="85">
          <cell r="C85">
            <v>0</v>
          </cell>
        </row>
        <row r="87">
          <cell r="C87">
            <v>0</v>
          </cell>
        </row>
      </sheetData>
      <sheetData sheetId="25"/>
      <sheetData sheetId="26"/>
      <sheetData sheetId="27"/>
      <sheetData sheetId="28"/>
      <sheetData sheetId="29"/>
      <sheetData sheetId="30"/>
      <sheetData sheetId="31"/>
      <sheetData sheetId="32"/>
      <sheetData sheetId="33">
        <row r="92">
          <cell r="B92" t="str">
            <v xml:space="preserve">   ?</v>
          </cell>
        </row>
        <row r="93">
          <cell r="B93" t="str">
            <v>Low</v>
          </cell>
        </row>
        <row r="94">
          <cell r="B94" t="str">
            <v>Moderate</v>
          </cell>
        </row>
        <row r="95">
          <cell r="B95" t="str">
            <v>High</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
      <sheetName val="2110"/>
      <sheetName val="2100A"/>
      <sheetName val="2110A"/>
      <sheetName val="2110B"/>
      <sheetName val="2120"/>
      <sheetName val="2120A"/>
      <sheetName val="2131"/>
      <sheetName val="2132"/>
      <sheetName val="2133"/>
      <sheetName val="2301"/>
      <sheetName val="2302"/>
      <sheetName val="2511"/>
      <sheetName val="2512"/>
      <sheetName val="2513"/>
      <sheetName val="2520"/>
      <sheetName val="2530"/>
      <sheetName val="2530A"/>
      <sheetName val="2530B"/>
      <sheetName val="2530C"/>
      <sheetName val="2600"/>
      <sheetName val="2700"/>
      <sheetName val="2700-3"/>
      <sheetName val="2700A"/>
      <sheetName val="Sheet1"/>
      <sheetName val="Sheet2"/>
      <sheetName val="Sheet3"/>
    </sheetNames>
    <definedNames>
      <definedName name="prt6bn46bt82" refersTo="#REF!" sheetId="20"/>
      <definedName name="PRT6BN5BT41" refersTo="#REF!" sheetId="20"/>
      <definedName name="prt6bv7cc30" refersTo="#REF!" sheetId="20"/>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Disclosure"/>
      <sheetName val="유형자산 취득 처분"/>
      <sheetName val="For Cash Flow"/>
      <sheetName val="감가상각비 Analytical Review"/>
      <sheetName val="감가상각비 Test"/>
      <sheetName val="감가상각비 배분"/>
      <sheetName val="유형자산 취득 명세"/>
      <sheetName val="처분내역"/>
      <sheetName val="Sample Data"/>
      <sheetName val="CMA_Calculations"/>
      <sheetName val="CMA_Selections"/>
      <sheetName val="XREF"/>
      <sheetName val="Tickmarks"/>
    </sheetNames>
    <sheetDataSet>
      <sheetData sheetId="0">
        <row r="53">
          <cell r="J53">
            <v>4707594</v>
          </cell>
        </row>
      </sheetData>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
      <sheetName val="3호(1)"/>
      <sheetName val="3호(2)-앞"/>
      <sheetName val="3호(2)-뒷"/>
      <sheetName val="4호(1)"/>
      <sheetName val="4호(2)"/>
      <sheetName val="5호"/>
      <sheetName val="6호"/>
      <sheetName val="7호(1)"/>
      <sheetName val="7호(2)"/>
      <sheetName val="8호"/>
      <sheetName val="9호"/>
      <sheetName val="10호"/>
      <sheetName val="11호"/>
      <sheetName val="12호-1쪽"/>
      <sheetName val="12호-2쪽"/>
      <sheetName val="15호"/>
      <sheetName val="16호"/>
      <sheetName val="16호-3쪽"/>
      <sheetName val="18호"/>
      <sheetName val="19호"/>
      <sheetName val="22호"/>
      <sheetName val="23호"/>
      <sheetName val="25호"/>
      <sheetName val="27호"/>
      <sheetName val="28호"/>
      <sheetName val="30호"/>
      <sheetName val="31호"/>
      <sheetName val="32호"/>
      <sheetName val="33호"/>
      <sheetName val="33(2)호 "/>
      <sheetName val="34호"/>
      <sheetName val="36호(1)"/>
      <sheetName val="36호(2)"/>
      <sheetName val="37호"/>
      <sheetName val="37호-3쪽"/>
      <sheetName val="38호"/>
      <sheetName val="39호"/>
      <sheetName val="40호"/>
      <sheetName val="부가세"/>
      <sheetName val="테이블"/>
      <sheetName val="계정code"/>
      <sheetName val="경락률"/>
      <sheetName val="법원비용"/>
      <sheetName val="LoanList"/>
      <sheetName val="잔존년수"/>
      <sheetName val="항고구분"/>
      <sheetName val="경매회차하락률"/>
      <sheetName val="3월"/>
      <sheetName val="4월"/>
      <sheetName val="5월"/>
      <sheetName val="TABLE01"/>
      <sheetName val="원본"/>
      <sheetName val="생산현황"/>
      <sheetName val="노무비-TT"/>
      <sheetName val="판매비업"/>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8월--12월"/>
      <sheetName val="1월--7월"/>
      <sheetName val="시황"/>
      <sheetName val="표지"/>
      <sheetName val="보정전"/>
      <sheetName val="합판1-4"/>
      <sheetName val="고객별개발추진계획-1- (2)"/>
      <sheetName val="Sheet1"/>
      <sheetName val="수율현황"/>
      <sheetName val="요약"/>
    </sheetNames>
    <sheetDataSet>
      <sheetData sheetId="0" refreshError="1">
        <row r="6">
          <cell r="C6" t="str">
            <v>영화금속㈜</v>
          </cell>
        </row>
        <row r="7">
          <cell r="C7" t="str">
            <v>최인영</v>
          </cell>
        </row>
        <row r="16">
          <cell r="C16" t="str">
            <v>창원</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상 주의사항"/>
      <sheetName val="회사정보"/>
      <sheetName val="총괄표"/>
      <sheetName val="요약대차대조표"/>
      <sheetName val="표준대차대조표(갑)"/>
      <sheetName val="표준대차대조표(을)"/>
      <sheetName val="표준대차대조표(병)"/>
      <sheetName val="요약손익계산서"/>
      <sheetName val="표준손익계산서(갑)"/>
      <sheetName val="표준손익계산서(을)"/>
      <sheetName val="부속명세서(갑)"/>
      <sheetName val="부속명세서(을)"/>
      <sheetName val="부속명세서(병)"/>
      <sheetName val="요약원가명세서"/>
      <sheetName val="요약이익잉여금"/>
      <sheetName val="1호"/>
      <sheetName val="2호"/>
      <sheetName val="3호"/>
      <sheetName val="4호"/>
      <sheetName val="5호"/>
      <sheetName val="6호"/>
      <sheetName val="6호의2"/>
      <sheetName val="7호"/>
      <sheetName val="8호(갑)"/>
      <sheetName val="8호(을)"/>
      <sheetName val="8호(병)"/>
      <sheetName val="8호부표1"/>
      <sheetName val="8호부표2"/>
      <sheetName val="8호부표3"/>
      <sheetName val="8호부표4"/>
      <sheetName val="8호부표5"/>
      <sheetName val="8호부표5의2"/>
      <sheetName val="8호부표6"/>
      <sheetName val="8호부표7"/>
      <sheetName val="8호부표8"/>
      <sheetName val="8호부표9"/>
      <sheetName val="9호"/>
      <sheetName val="10호(갑)"/>
      <sheetName val="10호(을)"/>
      <sheetName val="11호"/>
      <sheetName val="12호"/>
      <sheetName val="13호"/>
      <sheetName val="14호(갑) "/>
      <sheetName val="14호(을)"/>
      <sheetName val="15호"/>
      <sheetName val="15호부표1"/>
      <sheetName val="15호부표2"/>
      <sheetName val="16호"/>
      <sheetName val="16호의2"/>
      <sheetName val="17호"/>
      <sheetName val="18호"/>
      <sheetName val="19호(갑)"/>
      <sheetName val="19호(을)"/>
      <sheetName val="20호(1)"/>
      <sheetName val="20호(2)"/>
      <sheetName val="20호(3)"/>
      <sheetName val="21호"/>
      <sheetName val="22호"/>
      <sheetName val="23호(갑)"/>
      <sheetName val="23호(을)"/>
      <sheetName val="23호(병)"/>
      <sheetName val="24호"/>
      <sheetName val="25호"/>
      <sheetName val="일반정보"/>
    </sheetNames>
    <sheetDataSet>
      <sheetData sheetId="0"/>
      <sheetData sheetId="1">
        <row r="7">
          <cell r="C7" t="str">
            <v>전정도</v>
          </cell>
        </row>
        <row r="10">
          <cell r="C10" t="str">
            <v>590411-1851114</v>
          </cell>
        </row>
        <row r="11">
          <cell r="C11" t="str">
            <v>울산광역시 남구 성암동 20-1</v>
          </cell>
        </row>
        <row r="12">
          <cell r="C12" t="str">
            <v>제조,건설</v>
          </cell>
        </row>
        <row r="13">
          <cell r="C13" t="str">
            <v>산업기계외</v>
          </cell>
        </row>
        <row r="14">
          <cell r="C14" t="str">
            <v>052-228-5801</v>
          </cell>
        </row>
        <row r="17">
          <cell r="C17" t="str">
            <v>울산</v>
          </cell>
        </row>
        <row r="18">
          <cell r="C18" t="str">
            <v>중소기업</v>
          </cell>
        </row>
        <row r="21">
          <cell r="C21">
            <v>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명세서"/>
      <sheetName val="무형자산명세서"/>
      <sheetName val="유무형자산명세서(2011.09)(ok)"/>
      <sheetName val="유무형자산명세서(2011.09)(ok).xlsx"/>
    </sheetNames>
    <definedNames>
      <definedName name="BlankMacro1"/>
    </definedNames>
    <sheetDataSet>
      <sheetData sheetId="0" refreshError="1"/>
      <sheetData sheetId="1" refreshError="1"/>
      <sheetData sheetId="2" refreshError="1"/>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사항"/>
      <sheetName val="금융기관총괄"/>
      <sheetName val="금융거래총괄표"/>
      <sheetName val="작성예"/>
      <sheetName val="은행"/>
      <sheetName val="금융"/>
      <sheetName val="보험"/>
      <sheetName val="리스"/>
      <sheetName val="주소"/>
      <sheetName val="은행초과"/>
      <sheetName val="금융초과"/>
    </sheetNames>
    <sheetDataSet>
      <sheetData sheetId="0" refreshError="1"/>
      <sheetData sheetId="1" refreshError="1"/>
      <sheetData sheetId="2" refreshError="1"/>
      <sheetData sheetId="3" refreshError="1"/>
      <sheetData sheetId="4">
        <row r="59">
          <cell r="B59">
            <v>2003</v>
          </cell>
          <cell r="E59">
            <v>12</v>
          </cell>
          <cell r="G59">
            <v>31</v>
          </cell>
          <cell r="K59" t="str">
            <v>㈜옵토네스트</v>
          </cell>
        </row>
        <row r="100">
          <cell r="B100">
            <v>2003</v>
          </cell>
          <cell r="E100">
            <v>1</v>
          </cell>
          <cell r="G100">
            <v>1</v>
          </cell>
          <cell r="K100">
            <v>2003</v>
          </cell>
          <cell r="N100">
            <v>12</v>
          </cell>
          <cell r="P100">
            <v>31</v>
          </cell>
          <cell r="W100" t="str">
            <v>㈜옵토네스트</v>
          </cell>
        </row>
        <row r="119">
          <cell r="B119">
            <v>2003</v>
          </cell>
          <cell r="E119">
            <v>12</v>
          </cell>
          <cell r="G119">
            <v>31</v>
          </cell>
          <cell r="K119" t="str">
            <v>㈜옵토네스트</v>
          </cell>
        </row>
        <row r="160">
          <cell r="B160">
            <v>2003</v>
          </cell>
          <cell r="E160">
            <v>1</v>
          </cell>
          <cell r="G160">
            <v>1</v>
          </cell>
          <cell r="K160">
            <v>2003</v>
          </cell>
          <cell r="N160">
            <v>12</v>
          </cell>
          <cell r="P160">
            <v>31</v>
          </cell>
          <cell r="W160" t="str">
            <v>㈜옵토네스트</v>
          </cell>
        </row>
        <row r="178">
          <cell r="B178">
            <v>2003</v>
          </cell>
          <cell r="E178">
            <v>12</v>
          </cell>
          <cell r="G178">
            <v>31</v>
          </cell>
          <cell r="K178" t="str">
            <v>㈜옵토네스트</v>
          </cell>
        </row>
        <row r="207">
          <cell r="F207" t="str">
            <v>㈜옵토네스트</v>
          </cell>
          <cell r="P207">
            <v>2003</v>
          </cell>
          <cell r="S207">
            <v>12</v>
          </cell>
          <cell r="U207">
            <v>31</v>
          </cell>
        </row>
        <row r="238">
          <cell r="B238">
            <v>2003</v>
          </cell>
          <cell r="E238">
            <v>12</v>
          </cell>
          <cell r="G238">
            <v>31</v>
          </cell>
          <cell r="K238" t="str">
            <v>㈜옵토네스트</v>
          </cell>
        </row>
        <row r="267">
          <cell r="F267" t="str">
            <v>㈜옵토네스트</v>
          </cell>
          <cell r="P267">
            <v>2003</v>
          </cell>
          <cell r="S267">
            <v>12</v>
          </cell>
          <cell r="U267">
            <v>31</v>
          </cell>
        </row>
        <row r="298">
          <cell r="B298">
            <v>2003</v>
          </cell>
          <cell r="E298">
            <v>12</v>
          </cell>
          <cell r="G298">
            <v>31</v>
          </cell>
          <cell r="K298" t="str">
            <v>㈜옵토네스트</v>
          </cell>
        </row>
        <row r="323">
          <cell r="B323">
            <v>2003</v>
          </cell>
          <cell r="E323">
            <v>12</v>
          </cell>
          <cell r="G323">
            <v>31</v>
          </cell>
          <cell r="K323" t="str">
            <v>㈜옵토네스트</v>
          </cell>
        </row>
        <row r="358">
          <cell r="B358">
            <v>2003</v>
          </cell>
          <cell r="E358">
            <v>12</v>
          </cell>
          <cell r="G358">
            <v>31</v>
          </cell>
          <cell r="K358" t="str">
            <v>㈜옵토네스트</v>
          </cell>
        </row>
        <row r="383">
          <cell r="B383">
            <v>2003</v>
          </cell>
          <cell r="E383">
            <v>12</v>
          </cell>
          <cell r="G383">
            <v>31</v>
          </cell>
          <cell r="K383" t="str">
            <v>㈜옵토네스트</v>
          </cell>
        </row>
        <row r="418">
          <cell r="B418" t="str">
            <v>㈜옵토네스트</v>
          </cell>
          <cell r="N418">
            <v>2003</v>
          </cell>
          <cell r="Q418">
            <v>1</v>
          </cell>
          <cell r="S418">
            <v>1</v>
          </cell>
          <cell r="W418">
            <v>2003</v>
          </cell>
          <cell r="Z418">
            <v>12</v>
          </cell>
          <cell r="AB418">
            <v>31</v>
          </cell>
        </row>
        <row r="443">
          <cell r="E443" t="str">
            <v>㈜옵토네스트</v>
          </cell>
          <cell r="Z443">
            <v>2003</v>
          </cell>
          <cell r="AC443">
            <v>12</v>
          </cell>
          <cell r="AE443">
            <v>31</v>
          </cell>
        </row>
        <row r="478">
          <cell r="B478" t="str">
            <v>㈜옵토네스트</v>
          </cell>
          <cell r="N478">
            <v>2003</v>
          </cell>
          <cell r="Q478">
            <v>1</v>
          </cell>
          <cell r="S478">
            <v>1</v>
          </cell>
          <cell r="W478">
            <v>2003</v>
          </cell>
          <cell r="Z478">
            <v>12</v>
          </cell>
          <cell r="AB478">
            <v>31</v>
          </cell>
        </row>
        <row r="503">
          <cell r="E503" t="str">
            <v>㈜옵토네스트</v>
          </cell>
          <cell r="Z503">
            <v>2003</v>
          </cell>
          <cell r="AC503">
            <v>12</v>
          </cell>
          <cell r="AE503">
            <v>31</v>
          </cell>
        </row>
      </sheetData>
      <sheetData sheetId="5">
        <row r="59">
          <cell r="C59">
            <v>2003</v>
          </cell>
          <cell r="G59">
            <v>12</v>
          </cell>
          <cell r="I59">
            <v>31</v>
          </cell>
          <cell r="M59" t="str">
            <v>㈜옵토네스트</v>
          </cell>
        </row>
        <row r="116">
          <cell r="C116">
            <v>2003</v>
          </cell>
          <cell r="G116">
            <v>12</v>
          </cell>
          <cell r="I116">
            <v>31</v>
          </cell>
          <cell r="M116" t="str">
            <v>㈜옵토네스트</v>
          </cell>
        </row>
        <row r="212">
          <cell r="Z212">
            <v>2003</v>
          </cell>
          <cell r="AD212">
            <v>12</v>
          </cell>
          <cell r="AF212">
            <v>31</v>
          </cell>
        </row>
        <row r="269">
          <cell r="Z269">
            <v>2003</v>
          </cell>
          <cell r="AD269">
            <v>12</v>
          </cell>
          <cell r="AF269">
            <v>31</v>
          </cell>
        </row>
      </sheetData>
      <sheetData sheetId="6">
        <row r="59">
          <cell r="B59">
            <v>2003</v>
          </cell>
          <cell r="F59">
            <v>12</v>
          </cell>
          <cell r="H59">
            <v>31</v>
          </cell>
          <cell r="M59" t="str">
            <v>㈜옵토네스트</v>
          </cell>
        </row>
        <row r="73">
          <cell r="B73">
            <v>2003</v>
          </cell>
          <cell r="F73">
            <v>12</v>
          </cell>
          <cell r="H73">
            <v>31</v>
          </cell>
          <cell r="M73" t="str">
            <v>㈜옵토네스트</v>
          </cell>
        </row>
        <row r="87">
          <cell r="B87">
            <v>2003</v>
          </cell>
          <cell r="F87">
            <v>12</v>
          </cell>
          <cell r="H87">
            <v>31</v>
          </cell>
        </row>
        <row r="98">
          <cell r="B98">
            <v>2003</v>
          </cell>
          <cell r="F98">
            <v>12</v>
          </cell>
          <cell r="H98">
            <v>31</v>
          </cell>
          <cell r="M98" t="str">
            <v>㈜옵토네스트</v>
          </cell>
        </row>
        <row r="116">
          <cell r="B116">
            <v>2003</v>
          </cell>
          <cell r="F116">
            <v>12</v>
          </cell>
          <cell r="H116">
            <v>31</v>
          </cell>
          <cell r="M116" t="str">
            <v>㈜옵토네스트</v>
          </cell>
        </row>
        <row r="130">
          <cell r="B130">
            <v>2003</v>
          </cell>
          <cell r="F130">
            <v>12</v>
          </cell>
          <cell r="H130">
            <v>31</v>
          </cell>
          <cell r="M130" t="str">
            <v>㈜옵토네스트</v>
          </cell>
        </row>
        <row r="144">
          <cell r="B144">
            <v>2003</v>
          </cell>
          <cell r="F144">
            <v>12</v>
          </cell>
          <cell r="H144">
            <v>31</v>
          </cell>
        </row>
        <row r="155">
          <cell r="B155">
            <v>2003</v>
          </cell>
          <cell r="F155">
            <v>12</v>
          </cell>
          <cell r="H155">
            <v>31</v>
          </cell>
          <cell r="M155" t="str">
            <v>㈜옵토네스트</v>
          </cell>
        </row>
      </sheetData>
      <sheetData sheetId="7">
        <row r="60">
          <cell r="B60">
            <v>2003</v>
          </cell>
          <cell r="F60">
            <v>12</v>
          </cell>
          <cell r="H60">
            <v>31</v>
          </cell>
          <cell r="M60" t="str">
            <v>㈜옵토네스트</v>
          </cell>
        </row>
        <row r="74">
          <cell r="B74">
            <v>2003</v>
          </cell>
          <cell r="F74">
            <v>12</v>
          </cell>
          <cell r="H74">
            <v>31</v>
          </cell>
          <cell r="M74" t="str">
            <v>㈜옵토네스트</v>
          </cell>
        </row>
        <row r="90">
          <cell r="B90">
            <v>2003</v>
          </cell>
          <cell r="F90">
            <v>12</v>
          </cell>
          <cell r="H90">
            <v>31</v>
          </cell>
          <cell r="M90" t="str">
            <v>㈜옵토네스트</v>
          </cell>
        </row>
        <row r="108">
          <cell r="B108">
            <v>2003</v>
          </cell>
          <cell r="F108">
            <v>12</v>
          </cell>
          <cell r="H108">
            <v>31</v>
          </cell>
          <cell r="M108" t="str">
            <v>㈜옵토네스트</v>
          </cell>
        </row>
        <row r="122">
          <cell r="B122">
            <v>2003</v>
          </cell>
          <cell r="F122">
            <v>12</v>
          </cell>
          <cell r="H122">
            <v>31</v>
          </cell>
          <cell r="M122" t="str">
            <v>㈜옵토네스트</v>
          </cell>
        </row>
        <row r="138">
          <cell r="B138">
            <v>2003</v>
          </cell>
          <cell r="F138">
            <v>12</v>
          </cell>
          <cell r="H138">
            <v>31</v>
          </cell>
          <cell r="M138" t="str">
            <v>㈜옵토네스트</v>
          </cell>
        </row>
      </sheetData>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공사기성"/>
      <sheetName val="기성수정 (옥수동)"/>
      <sheetName val="공사수입금기표현황"/>
      <sheetName val="공사수입금기표현황 (2)"/>
      <sheetName val="기표현황"/>
      <sheetName val="분양수입"/>
      <sheetName val="요약I.S (1차)"/>
      <sheetName val="요약I.S (1차) (2)"/>
      <sheetName val="Sheet1"/>
      <sheetName val="요약I.S(보고용)"/>
      <sheetName val="진행율(세무조정)"/>
      <sheetName val="진행율(세무조정) (2)"/>
      <sheetName val="진행율(반기)"/>
    </sheetNames>
    <sheetDataSet>
      <sheetData sheetId="0" refreshError="1"/>
      <sheetData sheetId="1">
        <row r="18">
          <cell r="O18">
            <v>1047351721</v>
          </cell>
          <cell r="P18">
            <v>4756739015</v>
          </cell>
          <cell r="Q18">
            <v>4259630200</v>
          </cell>
          <cell r="R18">
            <v>1085020379</v>
          </cell>
          <cell r="S18">
            <v>37668658</v>
          </cell>
          <cell r="T18">
            <v>1304191239</v>
          </cell>
        </row>
        <row r="19">
          <cell r="O19">
            <v>926837143</v>
          </cell>
          <cell r="P19">
            <v>13109458540</v>
          </cell>
          <cell r="Q19">
            <v>15228276740</v>
          </cell>
          <cell r="R19">
            <v>669905078</v>
          </cell>
          <cell r="S19">
            <v>-256932065</v>
          </cell>
          <cell r="T19">
            <v>0</v>
          </cell>
        </row>
        <row r="20">
          <cell r="O20" t="str">
            <v xml:space="preserve"> </v>
          </cell>
          <cell r="P20" t="str">
            <v xml:space="preserve"> </v>
          </cell>
          <cell r="Q20" t="str">
            <v xml:space="preserve"> </v>
          </cell>
          <cell r="R20" t="str">
            <v xml:space="preserve"> </v>
          </cell>
          <cell r="S20" t="str">
            <v xml:space="preserve"> </v>
          </cell>
          <cell r="T20" t="str">
            <v xml:space="preserve"> </v>
          </cell>
        </row>
        <row r="21">
          <cell r="O21">
            <v>834063</v>
          </cell>
          <cell r="P21">
            <v>3505591363</v>
          </cell>
          <cell r="Q21">
            <v>3504757300</v>
          </cell>
          <cell r="R21">
            <v>834063</v>
          </cell>
          <cell r="S21">
            <v>0</v>
          </cell>
          <cell r="T21">
            <v>1944463353</v>
          </cell>
        </row>
        <row r="22">
          <cell r="O22">
            <v>5400975901</v>
          </cell>
          <cell r="P22">
            <v>21702508067</v>
          </cell>
          <cell r="Q22">
            <v>17268164933</v>
          </cell>
          <cell r="R22">
            <v>4976398173</v>
          </cell>
          <cell r="S22">
            <v>-424577728</v>
          </cell>
          <cell r="T22">
            <v>0</v>
          </cell>
        </row>
        <row r="23">
          <cell r="O23">
            <v>447256441</v>
          </cell>
          <cell r="P23">
            <v>1763576512</v>
          </cell>
          <cell r="Q23">
            <v>1422222992</v>
          </cell>
          <cell r="R23">
            <v>482287280</v>
          </cell>
          <cell r="S23">
            <v>35030839</v>
          </cell>
          <cell r="T23">
            <v>299209728</v>
          </cell>
        </row>
        <row r="24">
          <cell r="O24">
            <v>1675492</v>
          </cell>
          <cell r="P24">
            <v>333653640</v>
          </cell>
          <cell r="Q24">
            <v>372925352</v>
          </cell>
          <cell r="R24">
            <v>62091920</v>
          </cell>
          <cell r="S24">
            <v>60416428</v>
          </cell>
          <cell r="T24">
            <v>0</v>
          </cell>
        </row>
        <row r="25">
          <cell r="O25">
            <v>0</v>
          </cell>
          <cell r="P25">
            <v>0</v>
          </cell>
          <cell r="Q25">
            <v>0</v>
          </cell>
          <cell r="R25">
            <v>0</v>
          </cell>
          <cell r="S25">
            <v>0</v>
          </cell>
          <cell r="T25">
            <v>119454545</v>
          </cell>
        </row>
        <row r="26">
          <cell r="O26">
            <v>222159649</v>
          </cell>
          <cell r="P26">
            <v>2409016285</v>
          </cell>
          <cell r="Q26">
            <v>2572772513</v>
          </cell>
          <cell r="R26">
            <v>261364293</v>
          </cell>
          <cell r="S26">
            <v>39204644</v>
          </cell>
          <cell r="T26">
            <v>2437343194</v>
          </cell>
        </row>
        <row r="27">
          <cell r="O27">
            <v>1708809</v>
          </cell>
          <cell r="P27">
            <v>254827477</v>
          </cell>
          <cell r="Q27">
            <v>321384073</v>
          </cell>
          <cell r="R27">
            <v>2169670</v>
          </cell>
          <cell r="S27">
            <v>460861</v>
          </cell>
          <cell r="T27">
            <v>121506257</v>
          </cell>
        </row>
        <row r="28">
          <cell r="O28">
            <v>341603482</v>
          </cell>
          <cell r="P28">
            <v>2637121325</v>
          </cell>
          <cell r="Q28">
            <v>2637601280</v>
          </cell>
          <cell r="R28">
            <v>372398720</v>
          </cell>
          <cell r="S28">
            <v>30795238</v>
          </cell>
          <cell r="T28">
            <v>0</v>
          </cell>
        </row>
        <row r="29">
          <cell r="O29">
            <v>4679355</v>
          </cell>
          <cell r="P29">
            <v>2241612917</v>
          </cell>
          <cell r="Q29">
            <v>3035696184</v>
          </cell>
          <cell r="R29">
            <v>120303816</v>
          </cell>
          <cell r="S29">
            <v>115624461</v>
          </cell>
          <cell r="T29">
            <v>0</v>
          </cell>
        </row>
        <row r="30">
          <cell r="O30" t="str">
            <v xml:space="preserve"> </v>
          </cell>
          <cell r="P30" t="str">
            <v xml:space="preserve"> </v>
          </cell>
          <cell r="Q30" t="str">
            <v xml:space="preserve"> </v>
          </cell>
          <cell r="R30" t="str">
            <v xml:space="preserve"> </v>
          </cell>
          <cell r="S30" t="str">
            <v xml:space="preserve"> </v>
          </cell>
          <cell r="T30" t="str">
            <v xml:space="preserve"> </v>
          </cell>
        </row>
        <row r="31">
          <cell r="O31">
            <v>2598945810</v>
          </cell>
          <cell r="P31">
            <v>7791085233</v>
          </cell>
          <cell r="Q31">
            <v>5413738526</v>
          </cell>
          <cell r="R31">
            <v>2709868113</v>
          </cell>
          <cell r="S31">
            <v>110922303</v>
          </cell>
          <cell r="T31">
            <v>9300766641</v>
          </cell>
        </row>
        <row r="32">
          <cell r="O32" t="str">
            <v xml:space="preserve"> </v>
          </cell>
          <cell r="P32" t="str">
            <v xml:space="preserve"> </v>
          </cell>
          <cell r="Q32" t="str">
            <v xml:space="preserve"> </v>
          </cell>
          <cell r="R32" t="str">
            <v xml:space="preserve"> </v>
          </cell>
          <cell r="S32" t="str">
            <v xml:space="preserve"> </v>
          </cell>
          <cell r="T32" t="str">
            <v xml:space="preserve"> </v>
          </cell>
        </row>
        <row r="33">
          <cell r="O33">
            <v>49159826</v>
          </cell>
          <cell r="P33">
            <v>71127198</v>
          </cell>
          <cell r="Q33">
            <v>27542307</v>
          </cell>
          <cell r="R33">
            <v>37094057</v>
          </cell>
          <cell r="S33">
            <v>-12065769</v>
          </cell>
          <cell r="T33">
            <v>0</v>
          </cell>
        </row>
        <row r="34">
          <cell r="O34" t="str">
            <v xml:space="preserve"> </v>
          </cell>
          <cell r="P34" t="str">
            <v xml:space="preserve"> </v>
          </cell>
          <cell r="Q34" t="str">
            <v xml:space="preserve"> </v>
          </cell>
          <cell r="R34" t="str">
            <v xml:space="preserve"> </v>
          </cell>
          <cell r="S34" t="str">
            <v xml:space="preserve"> </v>
          </cell>
          <cell r="T34" t="str">
            <v xml:space="preserve"> </v>
          </cell>
        </row>
        <row r="35">
          <cell r="O35">
            <v>7153486758</v>
          </cell>
          <cell r="P35">
            <v>12204160317</v>
          </cell>
          <cell r="Q35">
            <v>5959926204</v>
          </cell>
          <cell r="R35">
            <v>8441300489</v>
          </cell>
          <cell r="S35">
            <v>1287813731</v>
          </cell>
          <cell r="T35">
            <v>63663080355</v>
          </cell>
        </row>
        <row r="36">
          <cell r="O36" t="str">
            <v xml:space="preserve"> </v>
          </cell>
        </row>
        <row r="37">
          <cell r="O37">
            <v>2212762505</v>
          </cell>
          <cell r="P37">
            <v>5788686719</v>
          </cell>
          <cell r="Q37">
            <v>4243316979</v>
          </cell>
          <cell r="R37">
            <v>2230425889</v>
          </cell>
          <cell r="S37">
            <v>17663384</v>
          </cell>
          <cell r="T37">
            <v>11498044679</v>
          </cell>
        </row>
        <row r="38">
          <cell r="O38">
            <v>1456931710</v>
          </cell>
          <cell r="P38">
            <v>2790556024</v>
          </cell>
          <cell r="Q38">
            <v>1591934596</v>
          </cell>
          <cell r="R38">
            <v>1738084526</v>
          </cell>
          <cell r="S38">
            <v>281152816</v>
          </cell>
          <cell r="T38">
            <v>4374632173</v>
          </cell>
        </row>
        <row r="39">
          <cell r="O39">
            <v>168531149</v>
          </cell>
          <cell r="P39">
            <v>369574819</v>
          </cell>
          <cell r="Q39">
            <v>232621951</v>
          </cell>
          <cell r="R39">
            <v>195126682</v>
          </cell>
          <cell r="S39">
            <v>26595533</v>
          </cell>
          <cell r="T39">
            <v>743321367</v>
          </cell>
        </row>
        <row r="40">
          <cell r="O40">
            <v>298362307</v>
          </cell>
          <cell r="P40">
            <v>844085541</v>
          </cell>
          <cell r="Q40">
            <v>606359149</v>
          </cell>
          <cell r="R40">
            <v>331513674</v>
          </cell>
          <cell r="S40">
            <v>33151367</v>
          </cell>
          <cell r="T40">
            <v>5014854450</v>
          </cell>
        </row>
        <row r="41">
          <cell r="O41">
            <v>195290329</v>
          </cell>
          <cell r="P41">
            <v>348771590</v>
          </cell>
          <cell r="Q41">
            <v>153481261</v>
          </cell>
          <cell r="R41">
            <v>195290329</v>
          </cell>
          <cell r="S41">
            <v>0</v>
          </cell>
          <cell r="T41">
            <v>651228410</v>
          </cell>
        </row>
        <row r="42">
          <cell r="O42">
            <v>21714387</v>
          </cell>
          <cell r="P42">
            <v>73017623</v>
          </cell>
          <cell r="Q42">
            <v>53219124</v>
          </cell>
          <cell r="R42">
            <v>22525298</v>
          </cell>
          <cell r="S42">
            <v>810911</v>
          </cell>
          <cell r="T42">
            <v>8578435578</v>
          </cell>
        </row>
        <row r="43">
          <cell r="O43">
            <v>328872664</v>
          </cell>
          <cell r="P43">
            <v>336921154</v>
          </cell>
          <cell r="Q43">
            <v>10371887</v>
          </cell>
          <cell r="R43">
            <v>423809941</v>
          </cell>
          <cell r="S43">
            <v>94937277</v>
          </cell>
          <cell r="T43">
            <v>15943118172</v>
          </cell>
        </row>
        <row r="44">
          <cell r="O44">
            <v>25229703</v>
          </cell>
          <cell r="P44">
            <v>25229703</v>
          </cell>
          <cell r="Q44">
            <v>0</v>
          </cell>
          <cell r="R44">
            <v>28861000</v>
          </cell>
          <cell r="S44">
            <v>3631297</v>
          </cell>
          <cell r="T44">
            <v>0</v>
          </cell>
        </row>
        <row r="45">
          <cell r="O45">
            <v>81219576</v>
          </cell>
          <cell r="P45">
            <v>81219576</v>
          </cell>
          <cell r="Q45">
            <v>0</v>
          </cell>
          <cell r="R45">
            <v>137768182</v>
          </cell>
          <cell r="S45">
            <v>56548606</v>
          </cell>
          <cell r="T45">
            <v>0</v>
          </cell>
        </row>
        <row r="46">
          <cell r="O46">
            <v>403342302</v>
          </cell>
          <cell r="P46">
            <v>403342302</v>
          </cell>
          <cell r="Q46">
            <v>0</v>
          </cell>
          <cell r="R46">
            <v>518447806</v>
          </cell>
          <cell r="S46">
            <v>115105504</v>
          </cell>
          <cell r="T46">
            <v>24095188558</v>
          </cell>
        </row>
        <row r="47">
          <cell r="O47">
            <v>92535925</v>
          </cell>
          <cell r="P47">
            <v>92535925</v>
          </cell>
          <cell r="Q47">
            <v>0</v>
          </cell>
          <cell r="R47">
            <v>106397515</v>
          </cell>
          <cell r="S47">
            <v>13861590</v>
          </cell>
          <cell r="T47">
            <v>2867862485</v>
          </cell>
        </row>
        <row r="48">
          <cell r="O48">
            <v>196689574</v>
          </cell>
          <cell r="P48">
            <v>196689574</v>
          </cell>
          <cell r="Q48">
            <v>0</v>
          </cell>
          <cell r="R48">
            <v>222751500</v>
          </cell>
          <cell r="S48">
            <v>26061926</v>
          </cell>
          <cell r="T48">
            <v>13434637580</v>
          </cell>
        </row>
        <row r="49">
          <cell r="O49">
            <v>8475367</v>
          </cell>
          <cell r="P49">
            <v>8475367</v>
          </cell>
          <cell r="Q49">
            <v>0</v>
          </cell>
          <cell r="R49">
            <v>9631099</v>
          </cell>
          <cell r="S49">
            <v>1155732</v>
          </cell>
          <cell r="T49">
            <v>2317768901</v>
          </cell>
        </row>
        <row r="50">
          <cell r="O50">
            <v>7618875</v>
          </cell>
          <cell r="P50">
            <v>7618875</v>
          </cell>
          <cell r="Q50">
            <v>0</v>
          </cell>
          <cell r="R50">
            <v>7936328</v>
          </cell>
          <cell r="S50">
            <v>317453</v>
          </cell>
          <cell r="T50">
            <v>2479663672</v>
          </cell>
        </row>
        <row r="51">
          <cell r="O51">
            <v>51726002</v>
          </cell>
          <cell r="P51">
            <v>51726002</v>
          </cell>
          <cell r="Q51">
            <v>0</v>
          </cell>
          <cell r="R51">
            <v>55619357</v>
          </cell>
          <cell r="S51">
            <v>3893355</v>
          </cell>
          <cell r="T51">
            <v>9536016071</v>
          </cell>
        </row>
        <row r="52">
          <cell r="O52">
            <v>76759380</v>
          </cell>
          <cell r="P52">
            <v>76759380</v>
          </cell>
          <cell r="Q52">
            <v>0</v>
          </cell>
          <cell r="R52">
            <v>87226568</v>
          </cell>
          <cell r="S52">
            <v>10467188</v>
          </cell>
          <cell r="T52">
            <v>10162773432</v>
          </cell>
        </row>
        <row r="53">
          <cell r="O53">
            <v>0</v>
          </cell>
          <cell r="P53">
            <v>0</v>
          </cell>
          <cell r="Q53">
            <v>0</v>
          </cell>
          <cell r="R53">
            <v>0</v>
          </cell>
          <cell r="S53" t="str">
            <v xml:space="preserve"> </v>
          </cell>
          <cell r="T53">
            <v>0</v>
          </cell>
        </row>
        <row r="54">
          <cell r="O54">
            <v>39838420322</v>
          </cell>
          <cell r="P54">
            <v>167594162427</v>
          </cell>
          <cell r="Q54">
            <v>148239239228</v>
          </cell>
          <cell r="R54">
            <v>40011884779</v>
          </cell>
          <cell r="S54">
            <v>173464457</v>
          </cell>
          <cell r="T54">
            <v>207860057382</v>
          </cell>
        </row>
        <row r="55">
          <cell r="O55">
            <v>5520956040</v>
          </cell>
          <cell r="P55">
            <v>26082614795</v>
          </cell>
          <cell r="Q55">
            <v>23025373745</v>
          </cell>
          <cell r="R55">
            <v>6182481568</v>
          </cell>
          <cell r="S55">
            <v>661525528</v>
          </cell>
          <cell r="T55">
            <v>1067144687</v>
          </cell>
        </row>
        <row r="56">
          <cell r="O56">
            <v>1950801861</v>
          </cell>
          <cell r="P56">
            <v>1950801861</v>
          </cell>
          <cell r="Q56">
            <v>0</v>
          </cell>
          <cell r="R56">
            <v>2075321128</v>
          </cell>
          <cell r="S56">
            <v>124519267</v>
          </cell>
          <cell r="T56">
            <v>13924678872</v>
          </cell>
        </row>
        <row r="57">
          <cell r="O57">
            <v>1106912435</v>
          </cell>
          <cell r="P57">
            <v>1106912435</v>
          </cell>
          <cell r="Q57">
            <v>0</v>
          </cell>
          <cell r="R57">
            <v>1184984695</v>
          </cell>
          <cell r="S57">
            <v>78072260</v>
          </cell>
          <cell r="T57">
            <v>5315015305</v>
          </cell>
        </row>
        <row r="58">
          <cell r="O58">
            <v>8578670336</v>
          </cell>
          <cell r="P58">
            <v>29140329091</v>
          </cell>
          <cell r="Q58">
            <v>23025373745</v>
          </cell>
          <cell r="R58">
            <v>9442787391</v>
          </cell>
          <cell r="S58">
            <v>864117055</v>
          </cell>
          <cell r="T58">
            <v>20306838864</v>
          </cell>
        </row>
        <row r="59">
          <cell r="O59">
            <v>48417090658</v>
          </cell>
          <cell r="P59">
            <v>196734491518</v>
          </cell>
          <cell r="Q59">
            <v>171264612973</v>
          </cell>
          <cell r="R59">
            <v>49454672170</v>
          </cell>
          <cell r="S59">
            <v>1037581512</v>
          </cell>
          <cell r="T59">
            <v>228166896246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1A"/>
      <sheetName val="1100"/>
      <sheetName val="1100A"/>
      <sheetName val="1200"/>
      <sheetName val="1200-1"/>
      <sheetName val="1300"/>
      <sheetName val="Sheet1"/>
      <sheetName val="Sheet2"/>
      <sheetName val="Shee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ODO"/>
      <sheetName val="RATE"/>
      <sheetName val="COBS"/>
      <sheetName val="COIS"/>
      <sheetName val="S&amp;A.G&amp;S"/>
      <sheetName val="GAAP sum"/>
      <sheetName val="98gaap diff"/>
    </sheetNames>
    <sheetDataSet>
      <sheetData sheetId="0"/>
      <sheetData sheetId="1"/>
      <sheetData sheetId="2"/>
      <sheetData sheetId="3">
        <row r="4">
          <cell r="G4">
            <v>4113300409</v>
          </cell>
        </row>
        <row r="19">
          <cell r="G19">
            <v>770587970</v>
          </cell>
        </row>
      </sheetData>
      <sheetData sheetId="4"/>
      <sheetData sheetId="5"/>
      <sheetData sheetId="6"/>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sheetName val="2호의2"/>
      <sheetName val="2호의3"/>
      <sheetName val="2호의4"/>
      <sheetName val="3호"/>
      <sheetName val="4호"/>
      <sheetName val="5호"/>
      <sheetName val="5호부표"/>
      <sheetName val="6호"/>
      <sheetName val="7호"/>
      <sheetName val="8호"/>
      <sheetName val="9호"/>
      <sheetName val="9호의2"/>
      <sheetName val="10호"/>
      <sheetName val="11호"/>
      <sheetName val="12호"/>
      <sheetName val="13호"/>
      <sheetName val="14호"/>
      <sheetName val="15호"/>
      <sheetName val="16호"/>
      <sheetName val="17호"/>
      <sheetName val="18호"/>
      <sheetName val="19호"/>
      <sheetName val="20호"/>
      <sheetName val="20호부표"/>
      <sheetName val="21호"/>
      <sheetName val="21호부표"/>
      <sheetName val="22호"/>
      <sheetName val="23호"/>
      <sheetName val="24호"/>
      <sheetName val="25호"/>
      <sheetName val="26호"/>
      <sheetName val="26호의2"/>
      <sheetName val="27호"/>
      <sheetName val="28호"/>
      <sheetName val="29호"/>
      <sheetName val="30호"/>
      <sheetName val="31호"/>
      <sheetName val="32호"/>
      <sheetName val="33호"/>
      <sheetName val="33호의2"/>
      <sheetName val="34호"/>
      <sheetName val="35호"/>
      <sheetName val="36호"/>
      <sheetName val="37호"/>
      <sheetName val="37호의2"/>
      <sheetName val="38호"/>
      <sheetName val="39호"/>
      <sheetName val="40호"/>
      <sheetName val="40호의2"/>
      <sheetName val="41호"/>
      <sheetName val="42호"/>
      <sheetName val="42호의2"/>
      <sheetName val="43호"/>
      <sheetName val="44호"/>
      <sheetName val="45호"/>
      <sheetName val="46호"/>
      <sheetName val="46호의2"/>
      <sheetName val="46호의2-뒷"/>
      <sheetName val="46호의3"/>
      <sheetName val="46호의3-뒷"/>
      <sheetName val="47호"/>
      <sheetName val="48호"/>
      <sheetName val="49호"/>
      <sheetName val="50호"/>
      <sheetName val="51호"/>
      <sheetName val="52호"/>
      <sheetName val="53호"/>
      <sheetName val="54호"/>
      <sheetName val="55호"/>
      <sheetName val="56호"/>
      <sheetName val="57호"/>
      <sheetName val="58호"/>
      <sheetName val="58호의2"/>
      <sheetName val="59호"/>
      <sheetName val="60호"/>
      <sheetName val="60호의2"/>
      <sheetName val="60호의3"/>
      <sheetName val="60호의4"/>
      <sheetName val="61호"/>
      <sheetName val="62호"/>
      <sheetName val="63호"/>
      <sheetName val="63호의2"/>
      <sheetName val="63호의3"/>
      <sheetName val="64호의2"/>
      <sheetName val="64호"/>
      <sheetName val="65호"/>
      <sheetName val="66호"/>
      <sheetName val="66호의2"/>
      <sheetName val="67호"/>
      <sheetName val="68호"/>
      <sheetName val="69호"/>
      <sheetName val="70호"/>
      <sheetName val="71호의1"/>
      <sheetName val="71호의2"/>
      <sheetName val="72호"/>
      <sheetName val="73호"/>
      <sheetName val="74호의(1)"/>
      <sheetName val="74호의(2)"/>
      <sheetName val="74호의2"/>
      <sheetName val="75호"/>
      <sheetName val="76호"/>
      <sheetName val="78호"/>
      <sheetName val="79호"/>
      <sheetName val="80호"/>
      <sheetName val="80호 (2)"/>
      <sheetName val="81호"/>
      <sheetName val="81호 (2)"/>
      <sheetName val="82호"/>
      <sheetName val="83호"/>
      <sheetName val="83호 (2)"/>
      <sheetName val="84호"/>
      <sheetName val="조특세"/>
    </sheetNames>
    <sheetDataSet>
      <sheetData sheetId="0">
        <row r="11">
          <cell r="C11" t="str">
            <v>123456-1456789</v>
          </cell>
        </row>
        <row r="12">
          <cell r="C12" t="str">
            <v>(02)123-4567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중간예납신고"/>
      <sheetName val="1호2"/>
      <sheetName val="3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15호"/>
      <sheetName val="15호부표1"/>
      <sheetName val="15호부표2"/>
      <sheetName val="16호"/>
      <sheetName val="17호"/>
      <sheetName val="6-2호"/>
      <sheetName val="23호(갑)"/>
      <sheetName val="23호(을)"/>
      <sheetName val="32호 "/>
      <sheetName val="33호"/>
      <sheetName val="34호"/>
      <sheetName val="6-4호(병)"/>
      <sheetName val="40호(갑)"/>
      <sheetName val="40호(을)"/>
      <sheetName val="39호"/>
      <sheetName val="21호"/>
      <sheetName val="22호"/>
      <sheetName val="26호(갑)"/>
      <sheetName val="26호(을)"/>
      <sheetName val="6-14호(병)"/>
      <sheetName val="7호"/>
      <sheetName val="50호(갑)"/>
      <sheetName val="50호(을)"/>
      <sheetName val="10(1)호"/>
      <sheetName val="10(2)호"/>
      <sheetName val="10(3)호"/>
      <sheetName val="10(3)부표"/>
      <sheetName val="11호"/>
      <sheetName val="12호"/>
      <sheetName val="14(1)(갑)"/>
      <sheetName val="60호(갑)"/>
      <sheetName val="60호(을)"/>
      <sheetName val="국영"/>
      <sheetName val="연차1"/>
      <sheetName val="경비분류(1)"/>
      <sheetName val="12월상여"/>
      <sheetName val="아파트진행률"/>
    </sheetNames>
    <sheetDataSet>
      <sheetData sheetId="0">
        <row r="8">
          <cell r="C8" t="str">
            <v>609-81-12296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s>
    <sheetDataSet>
      <sheetData sheetId="0" refreshError="1">
        <row r="6">
          <cell r="C6" t="str">
            <v>㈜삼부커뮤닉스</v>
          </cell>
        </row>
        <row r="8">
          <cell r="C8" t="str">
            <v>112-81-29813</v>
          </cell>
        </row>
        <row r="15">
          <cell r="C15">
            <v>36161</v>
          </cell>
        </row>
        <row r="16">
          <cell r="C16">
            <v>36525</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브랜드계층구조"/>
      <sheetName val="시판금액"/>
      <sheetName val="시판금액Chart"/>
      <sheetName val="시판비율"/>
      <sheetName val="시판비율Chart"/>
      <sheetName val="방판금액"/>
      <sheetName val="방판금액Chart"/>
      <sheetName val="방판비율"/>
      <sheetName val="방판비율Chart"/>
      <sheetName val="MassBeauty금액"/>
      <sheetName val="MassBeauty금액Chart"/>
      <sheetName val="MassBeauty비율"/>
      <sheetName val="MassBeauty비율Chart"/>
      <sheetName val="건강금액"/>
      <sheetName val="건강금액Chart"/>
      <sheetName val="건강비율"/>
      <sheetName val="건강비율Chart"/>
      <sheetName val="손익항목표"/>
      <sheetName val="질의(금액)참조"/>
      <sheetName val="질의(금액)"/>
      <sheetName val="질의(비율)참조"/>
      <sheetName val="질의(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C2" t="str">
            <v>매출액</v>
          </cell>
          <cell r="D2">
            <v>1</v>
          </cell>
          <cell r="E2">
            <v>7</v>
          </cell>
          <cell r="F2">
            <v>13</v>
          </cell>
          <cell r="G2">
            <v>19</v>
          </cell>
        </row>
        <row r="3">
          <cell r="C3" t="str">
            <v>매출수량</v>
          </cell>
          <cell r="D3">
            <v>23</v>
          </cell>
          <cell r="E3">
            <v>29</v>
          </cell>
          <cell r="F3">
            <v>35</v>
          </cell>
          <cell r="G3">
            <v>41</v>
          </cell>
        </row>
        <row r="4">
          <cell r="C4" t="str">
            <v>매출원가</v>
          </cell>
          <cell r="D4">
            <v>45</v>
          </cell>
          <cell r="E4">
            <v>51</v>
          </cell>
          <cell r="F4">
            <v>57</v>
          </cell>
          <cell r="G4">
            <v>63</v>
          </cell>
        </row>
        <row r="5">
          <cell r="C5" t="str">
            <v>매출총이익</v>
          </cell>
          <cell r="D5">
            <v>67</v>
          </cell>
          <cell r="E5">
            <v>73</v>
          </cell>
          <cell r="F5">
            <v>79</v>
          </cell>
          <cell r="G5">
            <v>85</v>
          </cell>
        </row>
        <row r="6">
          <cell r="C6" t="str">
            <v>광고비</v>
          </cell>
          <cell r="D6">
            <v>89</v>
          </cell>
          <cell r="E6">
            <v>95</v>
          </cell>
          <cell r="F6">
            <v>101</v>
          </cell>
          <cell r="G6">
            <v>107</v>
          </cell>
        </row>
        <row r="7">
          <cell r="C7" t="str">
            <v>물류비</v>
          </cell>
          <cell r="D7">
            <v>111</v>
          </cell>
          <cell r="E7">
            <v>117</v>
          </cell>
          <cell r="F7">
            <v>123</v>
          </cell>
          <cell r="G7">
            <v>129</v>
          </cell>
        </row>
        <row r="8">
          <cell r="C8" t="str">
            <v>판관비계</v>
          </cell>
          <cell r="D8">
            <v>133</v>
          </cell>
          <cell r="E8">
            <v>139</v>
          </cell>
          <cell r="F8">
            <v>145</v>
          </cell>
          <cell r="G8">
            <v>151</v>
          </cell>
        </row>
        <row r="9">
          <cell r="C9" t="str">
            <v>영업이익</v>
          </cell>
          <cell r="D9">
            <v>155</v>
          </cell>
          <cell r="E9">
            <v>161</v>
          </cell>
          <cell r="F9">
            <v>167</v>
          </cell>
          <cell r="G9">
            <v>173</v>
          </cell>
        </row>
      </sheetData>
      <sheetData sheetId="20">
        <row r="14">
          <cell r="C14">
            <v>8893.9494410000007</v>
          </cell>
          <cell r="D14">
            <v>10290.200359</v>
          </cell>
          <cell r="E14">
            <v>9766.3106750000006</v>
          </cell>
          <cell r="F14">
            <v>10373.229608</v>
          </cell>
          <cell r="G14">
            <v>10219.418138000001</v>
          </cell>
          <cell r="H14">
            <v>7917.8199299999997</v>
          </cell>
          <cell r="I14">
            <v>7481.072134</v>
          </cell>
          <cell r="J14">
            <v>6941.208995</v>
          </cell>
          <cell r="K14">
            <v>11659.359966</v>
          </cell>
          <cell r="L14">
            <v>10197.119532000001</v>
          </cell>
          <cell r="M14">
            <v>9265.9223590000001</v>
          </cell>
          <cell r="N14">
            <v>8849.4763309999998</v>
          </cell>
        </row>
        <row r="15">
          <cell r="C15">
            <v>8066.7128309999998</v>
          </cell>
          <cell r="D15">
            <v>7626.2730590000001</v>
          </cell>
          <cell r="E15">
            <v>6550.9925290000001</v>
          </cell>
          <cell r="F15">
            <v>5608.8333620000003</v>
          </cell>
          <cell r="G15">
            <v>6034.905917</v>
          </cell>
          <cell r="H15">
            <v>5711.5623640000003</v>
          </cell>
          <cell r="I15">
            <v>4729.1285680000001</v>
          </cell>
          <cell r="J15">
            <v>3953.6006160000002</v>
          </cell>
          <cell r="K15">
            <v>6462.0455789999996</v>
          </cell>
          <cell r="L15">
            <v>6255.9101520000004</v>
          </cell>
          <cell r="M15">
            <v>7379.1886119999999</v>
          </cell>
          <cell r="N15">
            <v>7063.5217009999997</v>
          </cell>
        </row>
        <row r="16">
          <cell r="C16">
            <v>2183.781371</v>
          </cell>
          <cell r="D16">
            <v>2151.8615300000001</v>
          </cell>
          <cell r="E16">
            <v>1454.8194920000001</v>
          </cell>
          <cell r="F16">
            <v>1559.298256</v>
          </cell>
          <cell r="G16">
            <v>1786.566638</v>
          </cell>
          <cell r="H16">
            <v>1380.8942440000001</v>
          </cell>
          <cell r="I16">
            <v>1252.9940939999999</v>
          </cell>
          <cell r="J16">
            <v>1263.6247000000001</v>
          </cell>
          <cell r="K16">
            <v>1110.02864</v>
          </cell>
          <cell r="L16">
            <v>1224.4938279999999</v>
          </cell>
          <cell r="M16">
            <v>1182.323815</v>
          </cell>
          <cell r="N16">
            <v>840.32850199999996</v>
          </cell>
        </row>
        <row r="17">
          <cell r="C17">
            <v>1729.2676220000001</v>
          </cell>
          <cell r="D17">
            <v>1782.478883</v>
          </cell>
          <cell r="E17">
            <v>1081.241278</v>
          </cell>
          <cell r="F17">
            <v>1190.508701</v>
          </cell>
          <cell r="G17">
            <v>1431.4314690000001</v>
          </cell>
          <cell r="H17">
            <v>1187.026732</v>
          </cell>
          <cell r="I17">
            <v>950.71142099999997</v>
          </cell>
          <cell r="J17">
            <v>904.26297599999998</v>
          </cell>
          <cell r="K17">
            <v>1524.820872</v>
          </cell>
          <cell r="L17">
            <v>1125.4222769999999</v>
          </cell>
          <cell r="M17">
            <v>1105.5110930000001</v>
          </cell>
          <cell r="N17">
            <v>1555.3602880000001</v>
          </cell>
        </row>
        <row r="18">
          <cell r="C18">
            <v>27097.259309000001</v>
          </cell>
          <cell r="D18">
            <v>31885.022400000002</v>
          </cell>
          <cell r="E18">
            <v>32633.725081000001</v>
          </cell>
          <cell r="F18">
            <v>28986.563779</v>
          </cell>
          <cell r="G18">
            <v>35822.589564000002</v>
          </cell>
          <cell r="H18">
            <v>32148.049416000002</v>
          </cell>
          <cell r="I18">
            <v>17490.364474999998</v>
          </cell>
          <cell r="J18">
            <v>22050.926189999998</v>
          </cell>
          <cell r="K18">
            <v>26570.931901</v>
          </cell>
          <cell r="L18">
            <v>27410.706872999999</v>
          </cell>
          <cell r="M18">
            <v>26359.285875000001</v>
          </cell>
          <cell r="N18">
            <v>21628.908415999998</v>
          </cell>
        </row>
        <row r="19">
          <cell r="C19">
            <v>39463.059526999998</v>
          </cell>
          <cell r="D19">
            <v>38978.455175000003</v>
          </cell>
          <cell r="E19">
            <v>37594.545399000002</v>
          </cell>
          <cell r="F19">
            <v>38385.672314000003</v>
          </cell>
          <cell r="G19">
            <v>42298.832850999999</v>
          </cell>
          <cell r="H19">
            <v>25923.857058000001</v>
          </cell>
          <cell r="I19">
            <v>24896.341607999999</v>
          </cell>
          <cell r="J19">
            <v>33850.882063999998</v>
          </cell>
          <cell r="K19">
            <v>44288.440321000002</v>
          </cell>
          <cell r="L19">
            <v>36124.535996999999</v>
          </cell>
          <cell r="M19">
            <v>37355.405445999997</v>
          </cell>
          <cell r="N19">
            <v>29671.70853</v>
          </cell>
        </row>
        <row r="20">
          <cell r="C20">
            <v>2974.2032600000002</v>
          </cell>
          <cell r="D20">
            <v>3389.9849159999999</v>
          </cell>
          <cell r="E20">
            <v>2416.0981550000001</v>
          </cell>
          <cell r="F20">
            <v>3579.817618</v>
          </cell>
          <cell r="G20">
            <v>3198.5722959999998</v>
          </cell>
          <cell r="H20">
            <v>2154.5442950000001</v>
          </cell>
          <cell r="I20">
            <v>1332.055374</v>
          </cell>
          <cell r="J20">
            <v>1568.819444</v>
          </cell>
          <cell r="K20">
            <v>3087.2871610000002</v>
          </cell>
          <cell r="L20">
            <v>3458.6796210000002</v>
          </cell>
          <cell r="M20">
            <v>3728.1608059999999</v>
          </cell>
          <cell r="N20">
            <v>2227.3686950000001</v>
          </cell>
        </row>
        <row r="21">
          <cell r="C21">
            <v>8246.4783779999998</v>
          </cell>
          <cell r="D21">
            <v>3138.3095290000001</v>
          </cell>
          <cell r="E21">
            <v>4980.4323420000001</v>
          </cell>
          <cell r="F21">
            <v>7887.9524520000004</v>
          </cell>
          <cell r="G21">
            <v>4527.4223929999998</v>
          </cell>
          <cell r="H21">
            <v>7233.8077789999998</v>
          </cell>
          <cell r="I21">
            <v>26105.775364000001</v>
          </cell>
          <cell r="J21">
            <v>4030.4423449999999</v>
          </cell>
          <cell r="K21">
            <v>2954.7237089999999</v>
          </cell>
          <cell r="L21">
            <v>5933.3205180000004</v>
          </cell>
          <cell r="M21">
            <v>6906.1993890000003</v>
          </cell>
          <cell r="N21">
            <v>2617.5101060000002</v>
          </cell>
        </row>
        <row r="22">
          <cell r="C22">
            <v>1079.639709</v>
          </cell>
          <cell r="D22">
            <v>1052.201309</v>
          </cell>
          <cell r="E22">
            <v>1650.5559949999999</v>
          </cell>
          <cell r="F22">
            <v>1363.5526829999999</v>
          </cell>
          <cell r="G22">
            <v>1047.0766120000001</v>
          </cell>
          <cell r="H22">
            <v>1120.26331</v>
          </cell>
          <cell r="I22">
            <v>1006.506647</v>
          </cell>
          <cell r="J22">
            <v>1103.9310820000001</v>
          </cell>
          <cell r="K22">
            <v>756.33191899999997</v>
          </cell>
          <cell r="L22">
            <v>1104.149351</v>
          </cell>
          <cell r="M22">
            <v>880.93631300000004</v>
          </cell>
          <cell r="N22">
            <v>878.07869000000005</v>
          </cell>
        </row>
        <row r="23">
          <cell r="C23">
            <v>2330.1843410000001</v>
          </cell>
          <cell r="D23">
            <v>2274.0894039999998</v>
          </cell>
          <cell r="E23">
            <v>1772.9602359999999</v>
          </cell>
          <cell r="F23">
            <v>1955.1287440000001</v>
          </cell>
          <cell r="G23">
            <v>2428.263708</v>
          </cell>
          <cell r="H23">
            <v>1971.152069</v>
          </cell>
          <cell r="I23">
            <v>1865.129696</v>
          </cell>
          <cell r="J23">
            <v>1315.0120119999999</v>
          </cell>
          <cell r="K23">
            <v>2288.8868459999999</v>
          </cell>
          <cell r="L23">
            <v>2291.3753040000001</v>
          </cell>
          <cell r="M23">
            <v>2139.6756500000001</v>
          </cell>
          <cell r="N23">
            <v>1956.776838</v>
          </cell>
        </row>
        <row r="24">
          <cell r="C24">
            <v>1143.3128630000001</v>
          </cell>
          <cell r="D24">
            <v>785.37807199999997</v>
          </cell>
          <cell r="E24">
            <v>992.80051800000001</v>
          </cell>
          <cell r="F24">
            <v>1177.7423209999999</v>
          </cell>
          <cell r="G24">
            <v>1434.3366289999999</v>
          </cell>
          <cell r="H24">
            <v>1170.2982609999999</v>
          </cell>
          <cell r="I24">
            <v>1186.2104469999999</v>
          </cell>
          <cell r="J24">
            <v>1222.8308830000001</v>
          </cell>
          <cell r="K24">
            <v>1014.56141</v>
          </cell>
          <cell r="L24">
            <v>1078.2771439999999</v>
          </cell>
          <cell r="M24">
            <v>1197.7725089999999</v>
          </cell>
          <cell r="N24">
            <v>849.31263999999999</v>
          </cell>
        </row>
        <row r="25">
          <cell r="C25">
            <v>2755.901402</v>
          </cell>
          <cell r="D25">
            <v>1901.0561620000001</v>
          </cell>
          <cell r="E25">
            <v>2479.5507269999998</v>
          </cell>
          <cell r="F25">
            <v>2396.7074769999999</v>
          </cell>
          <cell r="G25">
            <v>2450.123454</v>
          </cell>
          <cell r="H25">
            <v>2860.7040139999999</v>
          </cell>
          <cell r="I25">
            <v>3213.4596449999999</v>
          </cell>
          <cell r="J25">
            <v>3766.7288859999999</v>
          </cell>
          <cell r="K25">
            <v>2952.3254870000001</v>
          </cell>
          <cell r="L25">
            <v>2909.2847069999998</v>
          </cell>
          <cell r="M25">
            <v>2917.2153069999999</v>
          </cell>
          <cell r="N25">
            <v>2655.4480699999999</v>
          </cell>
        </row>
        <row r="26">
          <cell r="C26">
            <v>-2.0238779999999998</v>
          </cell>
          <cell r="D26">
            <v>0.27305499999999999</v>
          </cell>
          <cell r="E26">
            <v>-0.65102499999999996</v>
          </cell>
          <cell r="F26">
            <v>-1.5227470000000001</v>
          </cell>
          <cell r="G26">
            <v>-2.145448</v>
          </cell>
          <cell r="H26">
            <v>-2.3877869999999999</v>
          </cell>
          <cell r="I26">
            <v>-1.778907</v>
          </cell>
          <cell r="J26">
            <v>-0.73055199999999998</v>
          </cell>
          <cell r="K26">
            <v>-0.10266</v>
          </cell>
          <cell r="L26">
            <v>-3.4991840000000001</v>
          </cell>
          <cell r="M26">
            <v>-7.0208000000000007E-2</v>
          </cell>
          <cell r="N26">
            <v>-0.31126999999999999</v>
          </cell>
        </row>
        <row r="27">
          <cell r="C27">
            <v>1086.7857730000001</v>
          </cell>
          <cell r="D27">
            <v>769.05760799999996</v>
          </cell>
          <cell r="E27">
            <v>999.17900399999996</v>
          </cell>
          <cell r="F27">
            <v>685.51646100000005</v>
          </cell>
          <cell r="G27">
            <v>912.38472100000001</v>
          </cell>
          <cell r="H27">
            <v>990.11252999999999</v>
          </cell>
          <cell r="I27">
            <v>839.72955200000001</v>
          </cell>
          <cell r="J27">
            <v>906.01534300000003</v>
          </cell>
          <cell r="K27">
            <v>1301.836783</v>
          </cell>
          <cell r="L27">
            <v>1074.900674</v>
          </cell>
          <cell r="M27">
            <v>899.70741099999998</v>
          </cell>
          <cell r="N27">
            <v>654.49809000000005</v>
          </cell>
        </row>
        <row r="28">
          <cell r="C28">
            <v>2261.140848</v>
          </cell>
          <cell r="D28">
            <v>2151.3590899999999</v>
          </cell>
          <cell r="E28">
            <v>2852.1512379999999</v>
          </cell>
          <cell r="F28">
            <v>2511.0834799999998</v>
          </cell>
          <cell r="G28">
            <v>2567.9311029999999</v>
          </cell>
          <cell r="H28">
            <v>2550.3384430000001</v>
          </cell>
          <cell r="I28">
            <v>2067.714555</v>
          </cell>
          <cell r="J28">
            <v>2616.783492</v>
          </cell>
          <cell r="K28">
            <v>2753.7222360000001</v>
          </cell>
          <cell r="L28">
            <v>2411.6272549999999</v>
          </cell>
          <cell r="M28">
            <v>2700.0047509999999</v>
          </cell>
          <cell r="N28">
            <v>2075.6169759999998</v>
          </cell>
        </row>
        <row r="29">
          <cell r="C29">
            <v>920.23697200000004</v>
          </cell>
          <cell r="D29">
            <v>1264.1612210000001</v>
          </cell>
          <cell r="E29">
            <v>528.38315499999999</v>
          </cell>
          <cell r="F29">
            <v>664.70991900000001</v>
          </cell>
          <cell r="G29">
            <v>717.34199100000001</v>
          </cell>
          <cell r="H29">
            <v>418.73398800000001</v>
          </cell>
          <cell r="I29">
            <v>406.71896800000002</v>
          </cell>
          <cell r="J29">
            <v>377.036835</v>
          </cell>
          <cell r="K29">
            <v>487.99912899999998</v>
          </cell>
          <cell r="L29">
            <v>411.46813300000002</v>
          </cell>
          <cell r="M29">
            <v>271.70124399999997</v>
          </cell>
          <cell r="N29">
            <v>228.73201299999999</v>
          </cell>
        </row>
        <row r="30">
          <cell r="C30">
            <v>45.958466000000001</v>
          </cell>
          <cell r="D30">
            <v>69.886177000000004</v>
          </cell>
          <cell r="E30">
            <v>106.294428</v>
          </cell>
          <cell r="F30">
            <v>49.913786999999999</v>
          </cell>
          <cell r="G30">
            <v>-1.3289439999999999</v>
          </cell>
          <cell r="H30">
            <v>-6.6065389999999997</v>
          </cell>
          <cell r="I30">
            <v>-5.9236149999999999</v>
          </cell>
          <cell r="J30">
            <v>1.063601</v>
          </cell>
          <cell r="K30">
            <v>-3.1586509999999999</v>
          </cell>
          <cell r="L30">
            <v>-11.001528</v>
          </cell>
          <cell r="M30">
            <v>-12.183821</v>
          </cell>
          <cell r="N30">
            <v>-10.976822</v>
          </cell>
        </row>
        <row r="31">
          <cell r="C31">
            <v>817.07656999999995</v>
          </cell>
          <cell r="D31">
            <v>739.28560400000003</v>
          </cell>
          <cell r="E31">
            <v>1185.2188140000001</v>
          </cell>
          <cell r="F31">
            <v>851.06631800000002</v>
          </cell>
          <cell r="G31">
            <v>285.48965199999998</v>
          </cell>
          <cell r="H31">
            <v>-29.593831999999999</v>
          </cell>
          <cell r="I31">
            <v>-9.564152</v>
          </cell>
          <cell r="J31">
            <v>-31.078139</v>
          </cell>
          <cell r="K31">
            <v>-22.962871</v>
          </cell>
          <cell r="L31">
            <v>-55.619197</v>
          </cell>
          <cell r="M31">
            <v>-113.287683</v>
          </cell>
          <cell r="N31">
            <v>-137.508893</v>
          </cell>
        </row>
        <row r="32">
          <cell r="C32">
            <v>618.87141799999995</v>
          </cell>
          <cell r="D32">
            <v>652.54186000000004</v>
          </cell>
          <cell r="E32">
            <v>852.95224199999996</v>
          </cell>
          <cell r="F32">
            <v>730.49757999999997</v>
          </cell>
          <cell r="G32">
            <v>348.34566799999999</v>
          </cell>
          <cell r="H32">
            <v>123.36921</v>
          </cell>
          <cell r="I32">
            <v>112.41017600000001</v>
          </cell>
          <cell r="J32">
            <v>117.993487</v>
          </cell>
          <cell r="K32">
            <v>182.20532299999999</v>
          </cell>
          <cell r="L32">
            <v>235.77927600000001</v>
          </cell>
          <cell r="M32">
            <v>270.69994800000001</v>
          </cell>
          <cell r="N32">
            <v>186.58764400000001</v>
          </cell>
        </row>
        <row r="33">
          <cell r="C33">
            <v>410.31400000000002</v>
          </cell>
          <cell r="D33">
            <v>425.58100000000002</v>
          </cell>
          <cell r="E33">
            <v>511.298</v>
          </cell>
          <cell r="F33">
            <v>437.55799999999999</v>
          </cell>
          <cell r="G33">
            <v>392.87900000000002</v>
          </cell>
          <cell r="H33">
            <v>391.33600000000001</v>
          </cell>
          <cell r="I33">
            <v>423.738</v>
          </cell>
          <cell r="J33">
            <v>333.42399999999998</v>
          </cell>
          <cell r="K33">
            <v>427.46300000000002</v>
          </cell>
          <cell r="L33">
            <v>396.036</v>
          </cell>
          <cell r="M33">
            <v>415.02499999999998</v>
          </cell>
          <cell r="N33">
            <v>398.79700000000003</v>
          </cell>
        </row>
        <row r="34">
          <cell r="C34">
            <v>491.976</v>
          </cell>
          <cell r="D34">
            <v>467.61700000000002</v>
          </cell>
          <cell r="E34">
            <v>402.48200000000003</v>
          </cell>
          <cell r="F34">
            <v>374.97800000000001</v>
          </cell>
          <cell r="G34">
            <v>438.90300000000002</v>
          </cell>
          <cell r="H34">
            <v>449.86700000000002</v>
          </cell>
          <cell r="I34">
            <v>378.988</v>
          </cell>
          <cell r="J34">
            <v>297.20100000000002</v>
          </cell>
          <cell r="K34">
            <v>360.69499999999999</v>
          </cell>
          <cell r="L34">
            <v>377.38499999999999</v>
          </cell>
          <cell r="M34">
            <v>463.72800000000001</v>
          </cell>
          <cell r="N34">
            <v>461.37299999999999</v>
          </cell>
        </row>
        <row r="35">
          <cell r="C35">
            <v>122.34099999999999</v>
          </cell>
          <cell r="D35">
            <v>127.467</v>
          </cell>
          <cell r="E35">
            <v>84.991</v>
          </cell>
          <cell r="F35">
            <v>89.662999999999997</v>
          </cell>
          <cell r="G35">
            <v>118.34699999999999</v>
          </cell>
          <cell r="H35">
            <v>96.89</v>
          </cell>
          <cell r="I35">
            <v>190.72</v>
          </cell>
          <cell r="J35">
            <v>87.965000000000003</v>
          </cell>
          <cell r="K35">
            <v>75.662000000000006</v>
          </cell>
          <cell r="L35">
            <v>78.462000000000003</v>
          </cell>
          <cell r="M35">
            <v>83.308000000000007</v>
          </cell>
          <cell r="N35">
            <v>60.53</v>
          </cell>
        </row>
        <row r="36">
          <cell r="C36">
            <v>72.195999999999998</v>
          </cell>
          <cell r="D36">
            <v>70.908000000000001</v>
          </cell>
          <cell r="E36">
            <v>47.36</v>
          </cell>
          <cell r="F36">
            <v>51.792999999999999</v>
          </cell>
          <cell r="G36">
            <v>60.277000000000001</v>
          </cell>
          <cell r="H36">
            <v>49.088999999999999</v>
          </cell>
          <cell r="I36">
            <v>41.741999999999997</v>
          </cell>
          <cell r="J36">
            <v>37.841999999999999</v>
          </cell>
          <cell r="K36">
            <v>60.801000000000002</v>
          </cell>
          <cell r="L36">
            <v>46.201999999999998</v>
          </cell>
          <cell r="M36">
            <v>47.494</v>
          </cell>
          <cell r="N36">
            <v>62.792999999999999</v>
          </cell>
        </row>
        <row r="37">
          <cell r="C37">
            <v>11030.005999999999</v>
          </cell>
          <cell r="D37">
            <v>9187.0769999999993</v>
          </cell>
          <cell r="E37">
            <v>10516.628000000001</v>
          </cell>
          <cell r="F37">
            <v>13551.447</v>
          </cell>
          <cell r="G37">
            <v>12843.156000000001</v>
          </cell>
          <cell r="H37">
            <v>16060.421</v>
          </cell>
          <cell r="I37">
            <v>11679.65</v>
          </cell>
          <cell r="J37">
            <v>7957.741</v>
          </cell>
          <cell r="K37">
            <v>7942.4660000000003</v>
          </cell>
          <cell r="L37">
            <v>10678.843000000001</v>
          </cell>
          <cell r="M37">
            <v>10198.646000000001</v>
          </cell>
          <cell r="N37">
            <v>9577.3359999999993</v>
          </cell>
        </row>
        <row r="38">
          <cell r="C38">
            <v>15193.725</v>
          </cell>
          <cell r="D38">
            <v>17350.289000000001</v>
          </cell>
          <cell r="E38">
            <v>17937.527999999998</v>
          </cell>
          <cell r="F38">
            <v>17635.679</v>
          </cell>
          <cell r="G38">
            <v>13917.195</v>
          </cell>
          <cell r="H38">
            <v>19479.077000000001</v>
          </cell>
          <cell r="I38">
            <v>12187.904</v>
          </cell>
          <cell r="J38">
            <v>14584.518</v>
          </cell>
          <cell r="K38">
            <v>12052.36</v>
          </cell>
          <cell r="L38">
            <v>18681.302</v>
          </cell>
          <cell r="M38">
            <v>16071.49</v>
          </cell>
          <cell r="N38">
            <v>14421.775</v>
          </cell>
        </row>
        <row r="39">
          <cell r="C39">
            <v>883.22799999999995</v>
          </cell>
          <cell r="D39">
            <v>1290.0719999999999</v>
          </cell>
          <cell r="E39">
            <v>2284.0659999999998</v>
          </cell>
          <cell r="F39">
            <v>1630.3589999999999</v>
          </cell>
          <cell r="G39">
            <v>1280.0840000000001</v>
          </cell>
          <cell r="H39">
            <v>1572.547</v>
          </cell>
          <cell r="I39">
            <v>471.10500000000002</v>
          </cell>
          <cell r="J39">
            <v>829.49099999999999</v>
          </cell>
          <cell r="K39">
            <v>1056.4059999999999</v>
          </cell>
          <cell r="L39">
            <v>1132.778</v>
          </cell>
          <cell r="M39">
            <v>564.47900000000004</v>
          </cell>
          <cell r="N39">
            <v>1542.4549999999999</v>
          </cell>
        </row>
        <row r="40">
          <cell r="C40">
            <v>521.36099999999999</v>
          </cell>
          <cell r="D40">
            <v>103.441</v>
          </cell>
          <cell r="E40">
            <v>430.82900000000001</v>
          </cell>
          <cell r="F40">
            <v>2152.3429999999998</v>
          </cell>
          <cell r="G40">
            <v>1004.926</v>
          </cell>
          <cell r="H40">
            <v>3744.931</v>
          </cell>
          <cell r="I40">
            <v>4344.0119999999997</v>
          </cell>
          <cell r="J40">
            <v>391.50299999999999</v>
          </cell>
          <cell r="K40">
            <v>187.11600000000001</v>
          </cell>
          <cell r="L40">
            <v>968.69</v>
          </cell>
          <cell r="M40">
            <v>926.077</v>
          </cell>
          <cell r="N40">
            <v>101.83199999999999</v>
          </cell>
        </row>
        <row r="41">
          <cell r="C41">
            <v>200.85599999999999</v>
          </cell>
          <cell r="D41">
            <v>210.16300000000001</v>
          </cell>
          <cell r="E41">
            <v>278.96100000000001</v>
          </cell>
          <cell r="F41">
            <v>329.80200000000002</v>
          </cell>
          <cell r="G41">
            <v>246.09200000000001</v>
          </cell>
          <cell r="H41">
            <v>257.226</v>
          </cell>
          <cell r="I41">
            <v>229.49199999999999</v>
          </cell>
          <cell r="J41">
            <v>173.608</v>
          </cell>
          <cell r="K41">
            <v>105.892</v>
          </cell>
          <cell r="L41">
            <v>295.47000000000003</v>
          </cell>
          <cell r="M41">
            <v>233.66200000000001</v>
          </cell>
          <cell r="N41">
            <v>196.1</v>
          </cell>
        </row>
        <row r="42">
          <cell r="C42">
            <v>317.505</v>
          </cell>
          <cell r="D42">
            <v>278.85199999999998</v>
          </cell>
          <cell r="E42">
            <v>371.90199999999999</v>
          </cell>
          <cell r="F42">
            <v>485.80900000000003</v>
          </cell>
          <cell r="G42">
            <v>448.92200000000003</v>
          </cell>
          <cell r="H42">
            <v>435.01</v>
          </cell>
          <cell r="I42">
            <v>340.81700000000001</v>
          </cell>
          <cell r="J42">
            <v>337.07299999999998</v>
          </cell>
          <cell r="K42">
            <v>1017.204</v>
          </cell>
          <cell r="L42">
            <v>897.995</v>
          </cell>
          <cell r="M42">
            <v>600.81399999999996</v>
          </cell>
          <cell r="N42">
            <v>479.63600000000002</v>
          </cell>
        </row>
        <row r="43">
          <cell r="C43">
            <v>260.32600000000002</v>
          </cell>
          <cell r="D43">
            <v>172.77500000000001</v>
          </cell>
          <cell r="E43">
            <v>211.721</v>
          </cell>
          <cell r="F43">
            <v>261.375</v>
          </cell>
          <cell r="G43">
            <v>308.98399999999998</v>
          </cell>
          <cell r="H43">
            <v>238.27600000000001</v>
          </cell>
          <cell r="I43">
            <v>256.11599999999999</v>
          </cell>
          <cell r="J43">
            <v>266.81900000000002</v>
          </cell>
          <cell r="K43">
            <v>459.86</v>
          </cell>
          <cell r="L43">
            <v>457.03899999999999</v>
          </cell>
          <cell r="M43">
            <v>246.239</v>
          </cell>
          <cell r="N43">
            <v>195.358</v>
          </cell>
        </row>
        <row r="44">
          <cell r="C44">
            <v>638.54499999999996</v>
          </cell>
          <cell r="D44">
            <v>451.738</v>
          </cell>
          <cell r="E44">
            <v>1046.3440000000001</v>
          </cell>
          <cell r="F44">
            <v>716.88900000000001</v>
          </cell>
          <cell r="G44">
            <v>588.60500000000002</v>
          </cell>
          <cell r="H44">
            <v>763.75400000000002</v>
          </cell>
          <cell r="I44">
            <v>790.50599999999997</v>
          </cell>
          <cell r="J44">
            <v>974.38</v>
          </cell>
          <cell r="K44">
            <v>862.40499999999997</v>
          </cell>
          <cell r="L44">
            <v>788.66200000000003</v>
          </cell>
          <cell r="M44">
            <v>794.83500000000004</v>
          </cell>
          <cell r="N44">
            <v>1054.3489999999999</v>
          </cell>
        </row>
        <row r="45">
          <cell r="C45">
            <v>-0.57999999999999996</v>
          </cell>
          <cell r="D45">
            <v>5.7000000000000002E-2</v>
          </cell>
          <cell r="E45">
            <v>-0.376</v>
          </cell>
          <cell r="F45">
            <v>-0.68799999999999994</v>
          </cell>
          <cell r="G45">
            <v>-0.93100000000000005</v>
          </cell>
          <cell r="H45">
            <v>-0.98799999999999999</v>
          </cell>
          <cell r="I45">
            <v>-0.54400000000000004</v>
          </cell>
          <cell r="J45">
            <v>-0.20300000000000001</v>
          </cell>
          <cell r="K45">
            <v>-4.7E-2</v>
          </cell>
          <cell r="L45">
            <v>-1.486</v>
          </cell>
          <cell r="M45">
            <v>-0.04</v>
          </cell>
          <cell r="N45">
            <v>-0.13400000000000001</v>
          </cell>
        </row>
        <row r="46">
          <cell r="C46">
            <v>444.96699999999998</v>
          </cell>
          <cell r="D46">
            <v>267.65699999999998</v>
          </cell>
          <cell r="E46">
            <v>395.73399999999998</v>
          </cell>
          <cell r="F46">
            <v>310.05599999999998</v>
          </cell>
          <cell r="G46">
            <v>334.17399999999998</v>
          </cell>
          <cell r="H46">
            <v>405.59199999999998</v>
          </cell>
          <cell r="I46">
            <v>308.61</v>
          </cell>
          <cell r="J46">
            <v>392.82600000000002</v>
          </cell>
          <cell r="K46">
            <v>517.05700000000002</v>
          </cell>
          <cell r="L46">
            <v>376.36700000000002</v>
          </cell>
          <cell r="M46">
            <v>406.911</v>
          </cell>
          <cell r="N46">
            <v>289.56400000000002</v>
          </cell>
        </row>
        <row r="47">
          <cell r="C47">
            <v>1519.5170000000001</v>
          </cell>
          <cell r="D47">
            <v>1444.2670000000001</v>
          </cell>
          <cell r="E47">
            <v>2510.1759999999999</v>
          </cell>
          <cell r="F47">
            <v>2153.864</v>
          </cell>
          <cell r="G47">
            <v>1794.0360000000001</v>
          </cell>
          <cell r="H47">
            <v>1368.836</v>
          </cell>
          <cell r="I47">
            <v>1038.424</v>
          </cell>
          <cell r="J47">
            <v>1528.874</v>
          </cell>
          <cell r="K47">
            <v>1313.5740000000001</v>
          </cell>
          <cell r="L47">
            <v>1238.21</v>
          </cell>
          <cell r="M47">
            <v>1670.837</v>
          </cell>
          <cell r="N47">
            <v>1165.895</v>
          </cell>
        </row>
        <row r="48">
          <cell r="C48">
            <v>89.56</v>
          </cell>
          <cell r="D48">
            <v>123.38</v>
          </cell>
          <cell r="E48">
            <v>77.66</v>
          </cell>
          <cell r="F48">
            <v>76.881</v>
          </cell>
          <cell r="G48">
            <v>92.864999999999995</v>
          </cell>
          <cell r="H48">
            <v>51.197000000000003</v>
          </cell>
          <cell r="I48">
            <v>46.051000000000002</v>
          </cell>
          <cell r="J48">
            <v>46.616999999999997</v>
          </cell>
          <cell r="K48">
            <v>57.023000000000003</v>
          </cell>
          <cell r="L48">
            <v>48.095999999999997</v>
          </cell>
          <cell r="M48">
            <v>28.225000000000001</v>
          </cell>
          <cell r="N48">
            <v>22.449000000000002</v>
          </cell>
        </row>
        <row r="49">
          <cell r="C49">
            <v>14.026</v>
          </cell>
          <cell r="D49">
            <v>19.318000000000001</v>
          </cell>
          <cell r="E49">
            <v>31.117999999999999</v>
          </cell>
          <cell r="F49">
            <v>13.177</v>
          </cell>
          <cell r="G49">
            <v>-0.222</v>
          </cell>
          <cell r="H49">
            <v>-1.139</v>
          </cell>
          <cell r="I49">
            <v>-1.137</v>
          </cell>
          <cell r="J49">
            <v>-0.47399999999999998</v>
          </cell>
          <cell r="K49">
            <v>-0.56799999999999995</v>
          </cell>
          <cell r="L49">
            <v>-1.738</v>
          </cell>
          <cell r="M49">
            <v>-1.788</v>
          </cell>
          <cell r="N49">
            <v>-2.2490000000000001</v>
          </cell>
        </row>
        <row r="50">
          <cell r="C50">
            <v>411.53699999999998</v>
          </cell>
          <cell r="D50">
            <v>440.38400000000001</v>
          </cell>
          <cell r="E50">
            <v>596.44500000000005</v>
          </cell>
          <cell r="F50">
            <v>462.78300000000002</v>
          </cell>
          <cell r="G50">
            <v>153.779</v>
          </cell>
          <cell r="H50">
            <v>-20.282</v>
          </cell>
          <cell r="I50">
            <v>-8.4169999999999998</v>
          </cell>
          <cell r="J50">
            <v>-18.395</v>
          </cell>
          <cell r="K50">
            <v>-12.534000000000001</v>
          </cell>
          <cell r="L50">
            <v>-28.175999999999998</v>
          </cell>
          <cell r="M50">
            <v>-58.692</v>
          </cell>
          <cell r="N50">
            <v>-69.674000000000007</v>
          </cell>
        </row>
        <row r="51">
          <cell r="C51">
            <v>269.01</v>
          </cell>
          <cell r="D51">
            <v>275.60199999999998</v>
          </cell>
          <cell r="E51">
            <v>402.50400000000002</v>
          </cell>
          <cell r="F51">
            <v>317.755</v>
          </cell>
          <cell r="G51">
            <v>137.82400000000001</v>
          </cell>
          <cell r="H51">
            <v>57.52</v>
          </cell>
          <cell r="I51">
            <v>35.570999999999998</v>
          </cell>
          <cell r="J51">
            <v>46.6</v>
          </cell>
          <cell r="K51">
            <v>61.137</v>
          </cell>
          <cell r="L51">
            <v>94.563000000000002</v>
          </cell>
          <cell r="M51">
            <v>102.63200000000001</v>
          </cell>
          <cell r="N51">
            <v>87.402000000000001</v>
          </cell>
        </row>
        <row r="52">
          <cell r="C52">
            <v>1343.114875</v>
          </cell>
          <cell r="D52">
            <v>1769.584893</v>
          </cell>
          <cell r="E52">
            <v>1540.64489</v>
          </cell>
          <cell r="F52">
            <v>1694.4482439999999</v>
          </cell>
          <cell r="G52">
            <v>1613.482064</v>
          </cell>
          <cell r="H52">
            <v>1247.6769850000001</v>
          </cell>
          <cell r="I52">
            <v>1455.036098</v>
          </cell>
          <cell r="J52">
            <v>1113.3560640000001</v>
          </cell>
          <cell r="K52">
            <v>2095.9560280000001</v>
          </cell>
          <cell r="L52">
            <v>1624.665788</v>
          </cell>
          <cell r="M52">
            <v>1450.497558</v>
          </cell>
          <cell r="N52">
            <v>1516.641333</v>
          </cell>
        </row>
        <row r="53">
          <cell r="C53">
            <v>1514.12565</v>
          </cell>
          <cell r="D53">
            <v>1474.069154</v>
          </cell>
          <cell r="E53">
            <v>1371.5265300000001</v>
          </cell>
          <cell r="F53">
            <v>1212.7604020000001</v>
          </cell>
          <cell r="G53">
            <v>1144.316896</v>
          </cell>
          <cell r="H53">
            <v>1138.2427720000001</v>
          </cell>
          <cell r="I53">
            <v>1133.818888</v>
          </cell>
          <cell r="J53">
            <v>812.70676800000001</v>
          </cell>
          <cell r="K53">
            <v>1364.2219480000001</v>
          </cell>
          <cell r="L53">
            <v>1168.8202550000001</v>
          </cell>
          <cell r="M53">
            <v>1498.418246</v>
          </cell>
          <cell r="N53">
            <v>1449.33124</v>
          </cell>
        </row>
        <row r="54">
          <cell r="C54">
            <v>389.5043</v>
          </cell>
          <cell r="D54">
            <v>427.80336499999999</v>
          </cell>
          <cell r="E54">
            <v>261.805116</v>
          </cell>
          <cell r="F54">
            <v>330.81308100000001</v>
          </cell>
          <cell r="G54">
            <v>345.13507600000003</v>
          </cell>
          <cell r="H54">
            <v>261.31926099999998</v>
          </cell>
          <cell r="I54">
            <v>300.25799499999999</v>
          </cell>
          <cell r="J54">
            <v>272.53581100000002</v>
          </cell>
          <cell r="K54">
            <v>247.086231</v>
          </cell>
          <cell r="L54">
            <v>250.45869400000001</v>
          </cell>
          <cell r="M54">
            <v>254.824186</v>
          </cell>
          <cell r="N54">
            <v>203.23108400000001</v>
          </cell>
        </row>
        <row r="55">
          <cell r="C55">
            <v>348.56672099999997</v>
          </cell>
          <cell r="D55">
            <v>381.12815399999999</v>
          </cell>
          <cell r="E55">
            <v>209.53170399999999</v>
          </cell>
          <cell r="F55">
            <v>265.27941299999998</v>
          </cell>
          <cell r="G55">
            <v>303.69995599999999</v>
          </cell>
          <cell r="H55">
            <v>244.12636800000001</v>
          </cell>
          <cell r="I55">
            <v>230.59826100000001</v>
          </cell>
          <cell r="J55">
            <v>185.03849299999999</v>
          </cell>
          <cell r="K55">
            <v>356.60226599999999</v>
          </cell>
          <cell r="L55">
            <v>234.614126</v>
          </cell>
          <cell r="M55">
            <v>222.333181</v>
          </cell>
          <cell r="N55">
            <v>329.68365899999998</v>
          </cell>
        </row>
        <row r="56">
          <cell r="C56">
            <v>4509.4853510000003</v>
          </cell>
          <cell r="D56">
            <v>5720.2293529999997</v>
          </cell>
          <cell r="E56">
            <v>5529.0854099999997</v>
          </cell>
          <cell r="F56">
            <v>5495.2397819999996</v>
          </cell>
          <cell r="G56">
            <v>6831.2654160000002</v>
          </cell>
          <cell r="H56">
            <v>6316.1046850000002</v>
          </cell>
          <cell r="I56">
            <v>3965.9121129999999</v>
          </cell>
          <cell r="J56">
            <v>4194.3251600000003</v>
          </cell>
          <cell r="K56">
            <v>5391.6953190000004</v>
          </cell>
          <cell r="L56">
            <v>5120.428328</v>
          </cell>
          <cell r="M56">
            <v>5740.8764270000001</v>
          </cell>
          <cell r="N56">
            <v>4523.8176579999999</v>
          </cell>
        </row>
        <row r="57">
          <cell r="C57">
            <v>4510.1813990000001</v>
          </cell>
          <cell r="D57">
            <v>5510.1787960000001</v>
          </cell>
          <cell r="E57">
            <v>4150.3897729999999</v>
          </cell>
          <cell r="F57">
            <v>4925.6150299999999</v>
          </cell>
          <cell r="G57">
            <v>5790.529603</v>
          </cell>
          <cell r="H57">
            <v>3814.89014</v>
          </cell>
          <cell r="I57">
            <v>3683.8759669999999</v>
          </cell>
          <cell r="J57">
            <v>4814.1927089999999</v>
          </cell>
          <cell r="K57">
            <v>6211.6744820000004</v>
          </cell>
          <cell r="L57">
            <v>4596.5894840000001</v>
          </cell>
          <cell r="M57">
            <v>4397.3132589999996</v>
          </cell>
          <cell r="N57">
            <v>4050.866528</v>
          </cell>
        </row>
        <row r="58">
          <cell r="C58">
            <v>594.87596199999996</v>
          </cell>
          <cell r="D58">
            <v>678.60387400000002</v>
          </cell>
          <cell r="E58">
            <v>446.331928</v>
          </cell>
          <cell r="F58">
            <v>766.52421700000002</v>
          </cell>
          <cell r="G58">
            <v>554.10058800000002</v>
          </cell>
          <cell r="H58">
            <v>451.00318099999998</v>
          </cell>
          <cell r="I58">
            <v>275.45578399999999</v>
          </cell>
          <cell r="J58">
            <v>289.62542500000001</v>
          </cell>
          <cell r="K58">
            <v>664.60180500000001</v>
          </cell>
          <cell r="L58">
            <v>766.62780099999998</v>
          </cell>
          <cell r="M58">
            <v>783.95828900000004</v>
          </cell>
          <cell r="N58">
            <v>460.45750700000002</v>
          </cell>
        </row>
        <row r="59">
          <cell r="C59">
            <v>2529.4098840000001</v>
          </cell>
          <cell r="D59">
            <v>984.39891799999998</v>
          </cell>
          <cell r="E59">
            <v>1682.4913200000001</v>
          </cell>
          <cell r="F59">
            <v>2840.9881479999999</v>
          </cell>
          <cell r="G59">
            <v>1582.06168</v>
          </cell>
          <cell r="H59">
            <v>2715.8927870000002</v>
          </cell>
          <cell r="I59">
            <v>8626.1326040000004</v>
          </cell>
          <cell r="J59">
            <v>1329.4968349999999</v>
          </cell>
          <cell r="K59">
            <v>1001.386498</v>
          </cell>
          <cell r="L59">
            <v>2251.9114530000002</v>
          </cell>
          <cell r="M59">
            <v>2221.0090610000002</v>
          </cell>
          <cell r="N59">
            <v>1039.48406</v>
          </cell>
        </row>
        <row r="60">
          <cell r="C60">
            <v>344.95342399999998</v>
          </cell>
          <cell r="D60">
            <v>330.24727100000001</v>
          </cell>
          <cell r="E60">
            <v>516.86077599999999</v>
          </cell>
          <cell r="F60">
            <v>500.00519800000001</v>
          </cell>
          <cell r="G60">
            <v>371.37017400000002</v>
          </cell>
          <cell r="H60">
            <v>633.46793700000001</v>
          </cell>
          <cell r="I60">
            <v>88.771781000000004</v>
          </cell>
          <cell r="J60">
            <v>363.76569499999999</v>
          </cell>
          <cell r="K60">
            <v>266.89201800000001</v>
          </cell>
          <cell r="L60">
            <v>331.33712600000001</v>
          </cell>
          <cell r="M60">
            <v>302.14266600000002</v>
          </cell>
          <cell r="N60">
            <v>310.73333500000001</v>
          </cell>
        </row>
        <row r="61">
          <cell r="C61">
            <v>441.836071</v>
          </cell>
          <cell r="D61">
            <v>413.04752999999999</v>
          </cell>
          <cell r="E61">
            <v>282.01294799999999</v>
          </cell>
          <cell r="F61">
            <v>330.77664700000003</v>
          </cell>
          <cell r="G61">
            <v>476.62792899999999</v>
          </cell>
          <cell r="H61">
            <v>344.83783799999998</v>
          </cell>
          <cell r="I61">
            <v>321.888892</v>
          </cell>
          <cell r="J61">
            <v>255.232338</v>
          </cell>
          <cell r="K61">
            <v>433.21910100000002</v>
          </cell>
          <cell r="L61">
            <v>426.48175300000003</v>
          </cell>
          <cell r="M61">
            <v>374.42394400000001</v>
          </cell>
          <cell r="N61">
            <v>389.59472499999998</v>
          </cell>
        </row>
        <row r="62">
          <cell r="C62">
            <v>433.77314899999999</v>
          </cell>
          <cell r="D62">
            <v>294.60717799999998</v>
          </cell>
          <cell r="E62">
            <v>432.364778</v>
          </cell>
          <cell r="F62">
            <v>557.89694699999995</v>
          </cell>
          <cell r="G62">
            <v>603.02145499999995</v>
          </cell>
          <cell r="H62">
            <v>452.25099</v>
          </cell>
          <cell r="I62">
            <v>545.86528199999998</v>
          </cell>
          <cell r="J62">
            <v>471.87493499999999</v>
          </cell>
          <cell r="K62">
            <v>441.99216000000001</v>
          </cell>
          <cell r="L62">
            <v>471.23803500000002</v>
          </cell>
          <cell r="M62">
            <v>519.87582399999997</v>
          </cell>
          <cell r="N62">
            <v>379.22148199999998</v>
          </cell>
        </row>
        <row r="63">
          <cell r="C63">
            <v>1130.9063699999999</v>
          </cell>
          <cell r="D63">
            <v>732.74994100000004</v>
          </cell>
          <cell r="E63">
            <v>1136.251043</v>
          </cell>
          <cell r="F63">
            <v>990.33934099999999</v>
          </cell>
          <cell r="G63">
            <v>1024.4862169999999</v>
          </cell>
          <cell r="H63">
            <v>1145.779301</v>
          </cell>
          <cell r="I63">
            <v>1475.5028970000001</v>
          </cell>
          <cell r="J63">
            <v>1645.2527580000001</v>
          </cell>
          <cell r="K63">
            <v>1338.2366870000001</v>
          </cell>
          <cell r="L63">
            <v>1206.1211639999999</v>
          </cell>
          <cell r="M63">
            <v>1250.0498110000001</v>
          </cell>
          <cell r="N63">
            <v>1220.252714</v>
          </cell>
        </row>
        <row r="64">
          <cell r="C64">
            <v>-0.70231900000000003</v>
          </cell>
          <cell r="D64">
            <v>0.215004</v>
          </cell>
          <cell r="E64">
            <v>-7.9455999999999999E-2</v>
          </cell>
          <cell r="F64">
            <v>-0.51830600000000004</v>
          </cell>
          <cell r="G64">
            <v>-0.59935799999999995</v>
          </cell>
          <cell r="H64">
            <v>-0.70037700000000003</v>
          </cell>
          <cell r="I64">
            <v>-0.52318699999999996</v>
          </cell>
          <cell r="J64">
            <v>-0.18443000000000001</v>
          </cell>
          <cell r="K64">
            <v>0.72605900000000001</v>
          </cell>
          <cell r="L64">
            <v>-1.088384</v>
          </cell>
          <cell r="M64">
            <v>-3.241E-3</v>
          </cell>
          <cell r="N64">
            <v>-7.9640000000000002E-2</v>
          </cell>
        </row>
        <row r="65">
          <cell r="C65">
            <v>581.29963299999997</v>
          </cell>
          <cell r="D65">
            <v>399.14208400000001</v>
          </cell>
          <cell r="E65">
            <v>480.76174400000002</v>
          </cell>
          <cell r="F65">
            <v>329.96580599999999</v>
          </cell>
          <cell r="G65">
            <v>426.987978</v>
          </cell>
          <cell r="H65">
            <v>453.14361300000002</v>
          </cell>
          <cell r="I65">
            <v>443.23645099999999</v>
          </cell>
          <cell r="J65">
            <v>416.31177400000001</v>
          </cell>
          <cell r="K65">
            <v>716.56266200000005</v>
          </cell>
          <cell r="L65">
            <v>568.41512599999999</v>
          </cell>
          <cell r="M65">
            <v>466.19713100000001</v>
          </cell>
          <cell r="N65">
            <v>347.60250300000001</v>
          </cell>
        </row>
        <row r="66">
          <cell r="C66">
            <v>1031.7138399999999</v>
          </cell>
          <cell r="D66">
            <v>968.65068699999995</v>
          </cell>
          <cell r="E66">
            <v>1350.1799679999999</v>
          </cell>
          <cell r="F66">
            <v>1250.1686629999999</v>
          </cell>
          <cell r="G66">
            <v>1162.8294820000001</v>
          </cell>
          <cell r="H66">
            <v>1106.3928840000001</v>
          </cell>
          <cell r="I66">
            <v>947.56887400000005</v>
          </cell>
          <cell r="J66">
            <v>1149.4381960000001</v>
          </cell>
          <cell r="K66">
            <v>1287.656522</v>
          </cell>
          <cell r="L66">
            <v>1065.367274</v>
          </cell>
          <cell r="M66">
            <v>1287.688447</v>
          </cell>
          <cell r="N66">
            <v>1096.941206</v>
          </cell>
        </row>
        <row r="67">
          <cell r="C67">
            <v>301.04820899999999</v>
          </cell>
          <cell r="D67">
            <v>429.92951099999999</v>
          </cell>
          <cell r="E67">
            <v>205.81591499999999</v>
          </cell>
          <cell r="F67">
            <v>254.103948</v>
          </cell>
          <cell r="G67">
            <v>326.62508600000001</v>
          </cell>
          <cell r="H67">
            <v>196.51076</v>
          </cell>
          <cell r="I67">
            <v>183.19392199999999</v>
          </cell>
          <cell r="J67">
            <v>153.22117</v>
          </cell>
          <cell r="K67">
            <v>221.47862499999999</v>
          </cell>
          <cell r="L67">
            <v>180.988664</v>
          </cell>
          <cell r="M67">
            <v>126.612691</v>
          </cell>
          <cell r="N67">
            <v>124.834197</v>
          </cell>
        </row>
        <row r="68">
          <cell r="C68">
            <v>31.801247</v>
          </cell>
          <cell r="D68">
            <v>40.772652999999998</v>
          </cell>
          <cell r="E68">
            <v>53.105221999999998</v>
          </cell>
          <cell r="F68">
            <v>24.186640000000001</v>
          </cell>
          <cell r="G68">
            <v>0.55342800000000003</v>
          </cell>
          <cell r="H68">
            <v>-1.3351139999999999</v>
          </cell>
          <cell r="I68">
            <v>-1.5979000000000001</v>
          </cell>
          <cell r="J68">
            <v>1.740216</v>
          </cell>
          <cell r="K68">
            <v>-0.88606499999999999</v>
          </cell>
          <cell r="L68">
            <v>-2.8523960000000002</v>
          </cell>
          <cell r="M68">
            <v>-3.0756420000000002</v>
          </cell>
          <cell r="N68">
            <v>-3.9970059999999998</v>
          </cell>
        </row>
        <row r="69">
          <cell r="C69">
            <v>406.979895</v>
          </cell>
          <cell r="D69">
            <v>365.81732</v>
          </cell>
          <cell r="E69">
            <v>531.54891999999995</v>
          </cell>
          <cell r="F69">
            <v>411.41254199999997</v>
          </cell>
          <cell r="G69">
            <v>127.48390499999999</v>
          </cell>
          <cell r="H69">
            <v>-13.371639999999999</v>
          </cell>
          <cell r="I69">
            <v>-3.7338170000000002</v>
          </cell>
          <cell r="J69">
            <v>-13.446422</v>
          </cell>
          <cell r="K69">
            <v>-10.183353</v>
          </cell>
          <cell r="L69">
            <v>-24.865051000000001</v>
          </cell>
          <cell r="M69">
            <v>-44.197330999999998</v>
          </cell>
          <cell r="N69">
            <v>-53.554966</v>
          </cell>
        </row>
        <row r="70">
          <cell r="C70">
            <v>281.03219899999999</v>
          </cell>
          <cell r="D70">
            <v>302.741827</v>
          </cell>
          <cell r="E70">
            <v>383.23167599999999</v>
          </cell>
          <cell r="F70">
            <v>324.88928099999998</v>
          </cell>
          <cell r="G70">
            <v>143.02947499999999</v>
          </cell>
          <cell r="H70">
            <v>54.998047</v>
          </cell>
          <cell r="I70">
            <v>51.017896</v>
          </cell>
          <cell r="J70">
            <v>50.588366000000001</v>
          </cell>
          <cell r="K70">
            <v>83.876382000000007</v>
          </cell>
          <cell r="L70">
            <v>111.52086</v>
          </cell>
          <cell r="M70">
            <v>192.96853400000001</v>
          </cell>
          <cell r="N70">
            <v>100.313647</v>
          </cell>
        </row>
        <row r="71">
          <cell r="C71">
            <v>7550.8345660000005</v>
          </cell>
          <cell r="D71">
            <v>8520.6154659999993</v>
          </cell>
          <cell r="E71">
            <v>8225.6657849999992</v>
          </cell>
          <cell r="F71">
            <v>8678.7813640000004</v>
          </cell>
          <cell r="G71">
            <v>8605.9360739999993</v>
          </cell>
          <cell r="H71">
            <v>6670.1429449999996</v>
          </cell>
          <cell r="I71">
            <v>6026.0360360000004</v>
          </cell>
          <cell r="J71">
            <v>5827.8529310000004</v>
          </cell>
          <cell r="K71">
            <v>9563.4039379999995</v>
          </cell>
          <cell r="L71">
            <v>8572.4537440000004</v>
          </cell>
          <cell r="M71">
            <v>7815.4248010000001</v>
          </cell>
          <cell r="N71">
            <v>7332.8349980000003</v>
          </cell>
        </row>
        <row r="72">
          <cell r="C72">
            <v>6552.5871809999999</v>
          </cell>
          <cell r="D72">
            <v>6152.2039050000003</v>
          </cell>
          <cell r="E72">
            <v>5179.465999</v>
          </cell>
          <cell r="F72">
            <v>4396.0729600000004</v>
          </cell>
          <cell r="G72">
            <v>4890.5890209999998</v>
          </cell>
          <cell r="H72">
            <v>4573.3195919999998</v>
          </cell>
          <cell r="I72">
            <v>3595.3096799999998</v>
          </cell>
          <cell r="J72">
            <v>3140.8938480000002</v>
          </cell>
          <cell r="K72">
            <v>5097.8236310000002</v>
          </cell>
          <cell r="L72">
            <v>5087.0898969999998</v>
          </cell>
          <cell r="M72">
            <v>5880.7703659999997</v>
          </cell>
          <cell r="N72">
            <v>5614.1904610000001</v>
          </cell>
        </row>
        <row r="73">
          <cell r="C73">
            <v>1794.277071</v>
          </cell>
          <cell r="D73">
            <v>1724.0581649999999</v>
          </cell>
          <cell r="E73">
            <v>1193.0143760000001</v>
          </cell>
          <cell r="F73">
            <v>1228.485175</v>
          </cell>
          <cell r="G73">
            <v>1441.431562</v>
          </cell>
          <cell r="H73">
            <v>1119.574983</v>
          </cell>
          <cell r="I73">
            <v>952.73609899999997</v>
          </cell>
          <cell r="J73">
            <v>991.08888899999999</v>
          </cell>
          <cell r="K73">
            <v>862.942409</v>
          </cell>
          <cell r="L73">
            <v>974.03513399999997</v>
          </cell>
          <cell r="M73">
            <v>927.49962900000003</v>
          </cell>
          <cell r="N73">
            <v>637.09741799999995</v>
          </cell>
        </row>
        <row r="74">
          <cell r="C74">
            <v>1380.7009009999999</v>
          </cell>
          <cell r="D74">
            <v>1401.350729</v>
          </cell>
          <cell r="E74">
            <v>871.70957399999998</v>
          </cell>
          <cell r="F74">
            <v>925.229288</v>
          </cell>
          <cell r="G74">
            <v>1127.7315129999999</v>
          </cell>
          <cell r="H74">
            <v>942.90036399999997</v>
          </cell>
          <cell r="I74">
            <v>720.11315999999999</v>
          </cell>
          <cell r="J74">
            <v>719.22448299999996</v>
          </cell>
          <cell r="K74">
            <v>1168.2186059999999</v>
          </cell>
          <cell r="L74">
            <v>890.80815099999995</v>
          </cell>
          <cell r="M74">
            <v>883.17791199999999</v>
          </cell>
          <cell r="N74">
            <v>1225.676629</v>
          </cell>
        </row>
        <row r="75">
          <cell r="C75">
            <v>22587.773958000002</v>
          </cell>
          <cell r="D75">
            <v>26164.793046999999</v>
          </cell>
          <cell r="E75">
            <v>27104.639671000001</v>
          </cell>
          <cell r="F75">
            <v>23491.323997</v>
          </cell>
          <cell r="G75">
            <v>28991.324148</v>
          </cell>
          <cell r="H75">
            <v>25831.944731</v>
          </cell>
          <cell r="I75">
            <v>13524.452362</v>
          </cell>
          <cell r="J75">
            <v>17856.601030000002</v>
          </cell>
          <cell r="K75">
            <v>21179.236582000001</v>
          </cell>
          <cell r="L75">
            <v>22290.278545000001</v>
          </cell>
          <cell r="M75">
            <v>20618.409447999999</v>
          </cell>
          <cell r="N75">
            <v>17105.090757999998</v>
          </cell>
        </row>
        <row r="76">
          <cell r="C76">
            <v>34952.878127999997</v>
          </cell>
          <cell r="D76">
            <v>33468.276379000003</v>
          </cell>
          <cell r="E76">
            <v>33444.155626</v>
          </cell>
          <cell r="F76">
            <v>33460.057284000002</v>
          </cell>
          <cell r="G76">
            <v>36508.303247999997</v>
          </cell>
          <cell r="H76">
            <v>22108.966917999998</v>
          </cell>
          <cell r="I76">
            <v>21212.465640999999</v>
          </cell>
          <cell r="J76">
            <v>29036.689354999999</v>
          </cell>
          <cell r="K76">
            <v>38076.765839</v>
          </cell>
          <cell r="L76">
            <v>31527.946512999999</v>
          </cell>
          <cell r="M76">
            <v>32958.092187000002</v>
          </cell>
          <cell r="N76">
            <v>25620.842002000001</v>
          </cell>
        </row>
        <row r="77">
          <cell r="C77">
            <v>2379.3272980000002</v>
          </cell>
          <cell r="D77">
            <v>2711.381042</v>
          </cell>
          <cell r="E77">
            <v>1969.7662270000001</v>
          </cell>
          <cell r="F77">
            <v>2813.2934009999999</v>
          </cell>
          <cell r="G77">
            <v>2644.471708</v>
          </cell>
          <cell r="H77">
            <v>1703.5411140000001</v>
          </cell>
          <cell r="I77">
            <v>1056.59959</v>
          </cell>
          <cell r="J77">
            <v>1279.194019</v>
          </cell>
          <cell r="K77">
            <v>2422.685356</v>
          </cell>
          <cell r="L77">
            <v>2692.0518200000001</v>
          </cell>
          <cell r="M77">
            <v>2944.2025170000002</v>
          </cell>
          <cell r="N77">
            <v>1766.911188</v>
          </cell>
        </row>
        <row r="78">
          <cell r="C78">
            <v>5717.0684940000001</v>
          </cell>
          <cell r="D78">
            <v>2153.9106109999998</v>
          </cell>
          <cell r="E78">
            <v>3297.941022</v>
          </cell>
          <cell r="F78">
            <v>5046.9643040000001</v>
          </cell>
          <cell r="G78">
            <v>2945.360713</v>
          </cell>
          <cell r="H78">
            <v>4517.914992</v>
          </cell>
          <cell r="I78">
            <v>17479.642759999999</v>
          </cell>
          <cell r="J78">
            <v>2700.94551</v>
          </cell>
          <cell r="K78">
            <v>1953.337211</v>
          </cell>
          <cell r="L78">
            <v>3681.4090649999998</v>
          </cell>
          <cell r="M78">
            <v>4685.1903279999997</v>
          </cell>
          <cell r="N78">
            <v>1578.026046</v>
          </cell>
        </row>
        <row r="79">
          <cell r="C79">
            <v>734.686285</v>
          </cell>
          <cell r="D79">
            <v>721.95403799999997</v>
          </cell>
          <cell r="E79">
            <v>1133.695219</v>
          </cell>
          <cell r="F79">
            <v>863.54748500000005</v>
          </cell>
          <cell r="G79">
            <v>675.70643800000005</v>
          </cell>
          <cell r="H79">
            <v>486.79537299999998</v>
          </cell>
          <cell r="I79">
            <v>917.73486600000001</v>
          </cell>
          <cell r="J79">
            <v>740.16538700000001</v>
          </cell>
          <cell r="K79">
            <v>489.43990100000002</v>
          </cell>
          <cell r="L79">
            <v>772.81222500000001</v>
          </cell>
          <cell r="M79">
            <v>578.79364699999996</v>
          </cell>
          <cell r="N79">
            <v>567.34535500000004</v>
          </cell>
        </row>
        <row r="80">
          <cell r="C80">
            <v>1888.34827</v>
          </cell>
          <cell r="D80">
            <v>1861.041874</v>
          </cell>
          <cell r="E80">
            <v>1490.9472880000001</v>
          </cell>
          <cell r="F80">
            <v>1624.352097</v>
          </cell>
          <cell r="G80">
            <v>1951.635779</v>
          </cell>
          <cell r="H80">
            <v>1626.3142310000001</v>
          </cell>
          <cell r="I80">
            <v>1543.240804</v>
          </cell>
          <cell r="J80">
            <v>1059.7796740000001</v>
          </cell>
          <cell r="K80">
            <v>1855.667745</v>
          </cell>
          <cell r="L80">
            <v>1864.8935509999999</v>
          </cell>
          <cell r="M80">
            <v>1765.251706</v>
          </cell>
          <cell r="N80">
            <v>1567.1821130000001</v>
          </cell>
        </row>
        <row r="81">
          <cell r="C81">
            <v>709.539714</v>
          </cell>
          <cell r="D81">
            <v>490.770894</v>
          </cell>
          <cell r="E81">
            <v>560.43574000000001</v>
          </cell>
          <cell r="F81">
            <v>619.84537399999999</v>
          </cell>
          <cell r="G81">
            <v>831.31517399999996</v>
          </cell>
          <cell r="H81">
            <v>718.04727100000002</v>
          </cell>
          <cell r="I81">
            <v>640.34516499999995</v>
          </cell>
          <cell r="J81">
            <v>750.95594800000003</v>
          </cell>
          <cell r="K81">
            <v>572.56925000000001</v>
          </cell>
          <cell r="L81">
            <v>607.03910900000005</v>
          </cell>
          <cell r="M81">
            <v>677.89668500000005</v>
          </cell>
          <cell r="N81">
            <v>470.09115800000001</v>
          </cell>
        </row>
        <row r="82">
          <cell r="C82">
            <v>1624.995032</v>
          </cell>
          <cell r="D82">
            <v>1168.3062210000001</v>
          </cell>
          <cell r="E82">
            <v>1343.2996840000001</v>
          </cell>
          <cell r="F82">
            <v>1406.368136</v>
          </cell>
          <cell r="G82">
            <v>1425.6372369999999</v>
          </cell>
          <cell r="H82">
            <v>1714.9247130000001</v>
          </cell>
          <cell r="I82">
            <v>1737.9567480000001</v>
          </cell>
          <cell r="J82">
            <v>2121.4761279999998</v>
          </cell>
          <cell r="K82">
            <v>1614.0888</v>
          </cell>
          <cell r="L82">
            <v>1703.1635429999999</v>
          </cell>
          <cell r="M82">
            <v>1667.1654960000001</v>
          </cell>
          <cell r="N82">
            <v>1435.1953559999999</v>
          </cell>
        </row>
        <row r="83">
          <cell r="C83">
            <v>-1.3215589999999999</v>
          </cell>
          <cell r="D83">
            <v>5.8050999999999998E-2</v>
          </cell>
          <cell r="E83">
            <v>-0.57156899999999999</v>
          </cell>
          <cell r="F83">
            <v>-1.0044409999999999</v>
          </cell>
          <cell r="G83">
            <v>-1.54609</v>
          </cell>
          <cell r="H83">
            <v>-1.6874100000000001</v>
          </cell>
          <cell r="I83">
            <v>-1.2557199999999999</v>
          </cell>
          <cell r="J83">
            <v>-0.546122</v>
          </cell>
          <cell r="K83">
            <v>-0.82871899999999998</v>
          </cell>
          <cell r="L83">
            <v>-2.4108000000000001</v>
          </cell>
          <cell r="M83">
            <v>-6.6966999999999999E-2</v>
          </cell>
          <cell r="N83">
            <v>-0.23163</v>
          </cell>
        </row>
        <row r="84">
          <cell r="C84">
            <v>505.48613999999998</v>
          </cell>
          <cell r="D84">
            <v>369.915524</v>
          </cell>
          <cell r="E84">
            <v>518.41726000000006</v>
          </cell>
          <cell r="F84">
            <v>355.55065500000001</v>
          </cell>
          <cell r="G84">
            <v>485.39674300000001</v>
          </cell>
          <cell r="H84">
            <v>536.96891700000003</v>
          </cell>
          <cell r="I84">
            <v>396.49310100000002</v>
          </cell>
          <cell r="J84">
            <v>489.70356900000002</v>
          </cell>
          <cell r="K84">
            <v>585.27412100000004</v>
          </cell>
          <cell r="L84">
            <v>506.48554799999999</v>
          </cell>
          <cell r="M84">
            <v>433.51028000000002</v>
          </cell>
          <cell r="N84">
            <v>306.89558699999998</v>
          </cell>
        </row>
        <row r="85">
          <cell r="C85">
            <v>1229.4270079999999</v>
          </cell>
          <cell r="D85">
            <v>1182.7084030000001</v>
          </cell>
          <cell r="E85">
            <v>1501.97127</v>
          </cell>
          <cell r="F85">
            <v>1260.9148170000001</v>
          </cell>
          <cell r="G85">
            <v>1405.101621</v>
          </cell>
          <cell r="H85">
            <v>1443.945559</v>
          </cell>
          <cell r="I85">
            <v>1120.145681</v>
          </cell>
          <cell r="J85">
            <v>1467.345296</v>
          </cell>
          <cell r="K85">
            <v>1466.0657140000001</v>
          </cell>
          <cell r="L85">
            <v>1346.2599809999999</v>
          </cell>
          <cell r="M85">
            <v>1412.3163039999999</v>
          </cell>
          <cell r="N85">
            <v>978.67577000000006</v>
          </cell>
        </row>
        <row r="86">
          <cell r="C86">
            <v>619.18876299999999</v>
          </cell>
          <cell r="D86">
            <v>834.23171000000002</v>
          </cell>
          <cell r="E86">
            <v>322.56724000000003</v>
          </cell>
          <cell r="F86">
            <v>410.60597100000001</v>
          </cell>
          <cell r="G86">
            <v>390.716905</v>
          </cell>
          <cell r="H86">
            <v>222.22322800000001</v>
          </cell>
          <cell r="I86">
            <v>223.525046</v>
          </cell>
          <cell r="J86">
            <v>223.815665</v>
          </cell>
          <cell r="K86">
            <v>266.52050400000002</v>
          </cell>
          <cell r="L86">
            <v>230.47946899999999</v>
          </cell>
          <cell r="M86">
            <v>145.08855299999999</v>
          </cell>
          <cell r="N86">
            <v>103.89781600000001</v>
          </cell>
        </row>
        <row r="87">
          <cell r="C87">
            <v>14.157219</v>
          </cell>
          <cell r="D87">
            <v>29.113524000000002</v>
          </cell>
          <cell r="E87">
            <v>53.189205999999999</v>
          </cell>
          <cell r="F87">
            <v>25.727146999999999</v>
          </cell>
          <cell r="G87">
            <v>-1.8823719999999999</v>
          </cell>
          <cell r="H87">
            <v>-5.2714249999999998</v>
          </cell>
          <cell r="I87">
            <v>-4.3257149999999998</v>
          </cell>
          <cell r="J87">
            <v>-0.67661499999999997</v>
          </cell>
          <cell r="K87">
            <v>-2.272586</v>
          </cell>
          <cell r="L87">
            <v>-8.1491319999999998</v>
          </cell>
          <cell r="M87">
            <v>-9.1081789999999998</v>
          </cell>
          <cell r="N87">
            <v>-6.9798159999999996</v>
          </cell>
        </row>
        <row r="88">
          <cell r="C88">
            <v>410.096675</v>
          </cell>
          <cell r="D88">
            <v>373.46828399999998</v>
          </cell>
          <cell r="E88">
            <v>653.669894</v>
          </cell>
          <cell r="F88">
            <v>439.65377599999999</v>
          </cell>
          <cell r="G88">
            <v>158.00574700000001</v>
          </cell>
          <cell r="H88">
            <v>-16.222192</v>
          </cell>
          <cell r="I88">
            <v>-5.8303349999999998</v>
          </cell>
          <cell r="J88">
            <v>-17.631716999999998</v>
          </cell>
          <cell r="K88">
            <v>-12.779517999999999</v>
          </cell>
          <cell r="L88">
            <v>-30.754145999999999</v>
          </cell>
          <cell r="M88">
            <v>-69.090351999999996</v>
          </cell>
          <cell r="N88">
            <v>-83.953926999999993</v>
          </cell>
        </row>
        <row r="89">
          <cell r="C89">
            <v>337.83921900000001</v>
          </cell>
          <cell r="D89">
            <v>349.80003299999998</v>
          </cell>
          <cell r="E89">
            <v>469.72056600000002</v>
          </cell>
          <cell r="F89">
            <v>405.60829899999999</v>
          </cell>
          <cell r="G89">
            <v>205.316193</v>
          </cell>
          <cell r="H89">
            <v>68.371162999999996</v>
          </cell>
          <cell r="I89">
            <v>61.39228</v>
          </cell>
          <cell r="J89">
            <v>67.405120999999994</v>
          </cell>
          <cell r="K89">
            <v>98.328941</v>
          </cell>
          <cell r="L89">
            <v>124.258416</v>
          </cell>
          <cell r="M89">
            <v>77.731414000000001</v>
          </cell>
          <cell r="N89">
            <v>86.273996999999994</v>
          </cell>
        </row>
        <row r="90">
          <cell r="C90">
            <v>1092.808675</v>
          </cell>
          <cell r="D90">
            <v>1446.009172</v>
          </cell>
          <cell r="E90">
            <v>1777.2299109999999</v>
          </cell>
          <cell r="F90">
            <v>1401.376663</v>
          </cell>
          <cell r="G90">
            <v>1266.1358929999999</v>
          </cell>
          <cell r="H90">
            <v>1155.8134259999999</v>
          </cell>
          <cell r="I90">
            <v>421.48259400000001</v>
          </cell>
          <cell r="J90">
            <v>281.19515000000001</v>
          </cell>
          <cell r="K90">
            <v>414.19809700000002</v>
          </cell>
          <cell r="L90">
            <v>1259.4487730000001</v>
          </cell>
          <cell r="M90">
            <v>1029.135282</v>
          </cell>
          <cell r="N90">
            <v>484.24891200000002</v>
          </cell>
        </row>
        <row r="91">
          <cell r="C91">
            <v>320.98511100000002</v>
          </cell>
          <cell r="D91">
            <v>600.08497199999999</v>
          </cell>
          <cell r="E91">
            <v>366.42268300000001</v>
          </cell>
          <cell r="F91">
            <v>1464.0536</v>
          </cell>
          <cell r="G91">
            <v>1349.6673989999999</v>
          </cell>
          <cell r="H91">
            <v>491.35831300000001</v>
          </cell>
          <cell r="I91">
            <v>557.85207700000001</v>
          </cell>
          <cell r="J91">
            <v>847.94713400000001</v>
          </cell>
          <cell r="K91">
            <v>1061.221485</v>
          </cell>
          <cell r="L91">
            <v>934.50655300000005</v>
          </cell>
          <cell r="M91">
            <v>608.60783400000003</v>
          </cell>
          <cell r="N91">
            <v>895.10272299999997</v>
          </cell>
        </row>
        <row r="92">
          <cell r="C92">
            <v>55.819519999999997</v>
          </cell>
          <cell r="D92">
            <v>115.77052999999999</v>
          </cell>
          <cell r="E92">
            <v>83.868347</v>
          </cell>
          <cell r="F92">
            <v>47.546934</v>
          </cell>
          <cell r="G92">
            <v>317.61289699999998</v>
          </cell>
          <cell r="H92">
            <v>78.700727000000001</v>
          </cell>
          <cell r="I92">
            <v>44.442630999999999</v>
          </cell>
          <cell r="J92">
            <v>60.158138000000001</v>
          </cell>
          <cell r="K92">
            <v>-176.52946299999999</v>
          </cell>
          <cell r="L92">
            <v>21.451523999999999</v>
          </cell>
          <cell r="M92">
            <v>17.105269</v>
          </cell>
          <cell r="N92">
            <v>12.296868999999999</v>
          </cell>
        </row>
        <row r="93">
          <cell r="C93">
            <v>299.849538</v>
          </cell>
          <cell r="D93">
            <v>276.34195899999997</v>
          </cell>
          <cell r="E93">
            <v>293.70659000000001</v>
          </cell>
          <cell r="F93">
            <v>218.67989399999999</v>
          </cell>
          <cell r="G93">
            <v>202.40213299999999</v>
          </cell>
          <cell r="H93">
            <v>22.858692000000001</v>
          </cell>
          <cell r="I93">
            <v>48.475670999999998</v>
          </cell>
          <cell r="J93">
            <v>49.916333999999999</v>
          </cell>
          <cell r="K93">
            <v>88.153513000000004</v>
          </cell>
          <cell r="L93">
            <v>44.029527000000002</v>
          </cell>
          <cell r="M93">
            <v>45.524163000000001</v>
          </cell>
          <cell r="N93">
            <v>60.968784999999997</v>
          </cell>
        </row>
        <row r="94">
          <cell r="C94">
            <v>812.391932</v>
          </cell>
          <cell r="D94">
            <v>2320.4724230000002</v>
          </cell>
          <cell r="E94">
            <v>2109.3174049999998</v>
          </cell>
          <cell r="F94">
            <v>2126.481491</v>
          </cell>
          <cell r="G94">
            <v>2162.1084890000002</v>
          </cell>
          <cell r="H94">
            <v>1339.692681</v>
          </cell>
          <cell r="I94">
            <v>1104.092684</v>
          </cell>
          <cell r="J94">
            <v>958.27687400000002</v>
          </cell>
          <cell r="K94">
            <v>952.29402300000004</v>
          </cell>
          <cell r="L94">
            <v>1483.903892</v>
          </cell>
          <cell r="M94">
            <v>1457.311706</v>
          </cell>
          <cell r="N94">
            <v>969.08187099999998</v>
          </cell>
        </row>
        <row r="95">
          <cell r="C95">
            <v>854.23747000000003</v>
          </cell>
          <cell r="D95">
            <v>927.004637</v>
          </cell>
          <cell r="E95">
            <v>1651.5522269999999</v>
          </cell>
          <cell r="F95">
            <v>968.74917300000004</v>
          </cell>
          <cell r="G95">
            <v>1113.7664239999999</v>
          </cell>
          <cell r="H95">
            <v>829.559349</v>
          </cell>
          <cell r="I95">
            <v>776.62872200000004</v>
          </cell>
          <cell r="J95">
            <v>760.36902899999995</v>
          </cell>
          <cell r="K95">
            <v>1024.3786789999999</v>
          </cell>
          <cell r="L95">
            <v>1287.0293650000001</v>
          </cell>
          <cell r="M95">
            <v>913.63991299999998</v>
          </cell>
          <cell r="N95">
            <v>650.82796599999995</v>
          </cell>
        </row>
        <row r="96">
          <cell r="C96">
            <v>39.736181000000002</v>
          </cell>
          <cell r="D96">
            <v>69.393544000000006</v>
          </cell>
          <cell r="E96">
            <v>111.444013</v>
          </cell>
          <cell r="F96">
            <v>125.111053</v>
          </cell>
          <cell r="G96">
            <v>68.707220000000007</v>
          </cell>
          <cell r="H96">
            <v>88.696631999999994</v>
          </cell>
          <cell r="I96">
            <v>48.417910999999997</v>
          </cell>
          <cell r="J96">
            <v>25.695049000000001</v>
          </cell>
          <cell r="K96">
            <v>49.791772000000002</v>
          </cell>
          <cell r="L96">
            <v>137.24359999999999</v>
          </cell>
          <cell r="M96">
            <v>66.486971999999994</v>
          </cell>
          <cell r="N96">
            <v>32.274852000000003</v>
          </cell>
        </row>
        <row r="97">
          <cell r="C97">
            <v>192.71559600000001</v>
          </cell>
          <cell r="D97">
            <v>154.92191199999999</v>
          </cell>
          <cell r="E97">
            <v>289.05953</v>
          </cell>
          <cell r="F97">
            <v>287.97812699999997</v>
          </cell>
          <cell r="G97">
            <v>423.72572200000002</v>
          </cell>
          <cell r="H97">
            <v>275.15413000000001</v>
          </cell>
          <cell r="I97">
            <v>912.67345799999998</v>
          </cell>
          <cell r="J97">
            <v>134.05319399999999</v>
          </cell>
          <cell r="K97">
            <v>239.67295799999999</v>
          </cell>
          <cell r="L97">
            <v>489.72977100000003</v>
          </cell>
          <cell r="M97">
            <v>201.30741800000001</v>
          </cell>
          <cell r="N97">
            <v>70.997407999999993</v>
          </cell>
        </row>
        <row r="98">
          <cell r="C98">
            <v>41.569688999999997</v>
          </cell>
          <cell r="D98">
            <v>72.724845999999999</v>
          </cell>
          <cell r="E98">
            <v>207.189356</v>
          </cell>
          <cell r="F98">
            <v>79.763949999999994</v>
          </cell>
          <cell r="G98">
            <v>92.729124999999996</v>
          </cell>
          <cell r="H98">
            <v>59.576017</v>
          </cell>
          <cell r="I98">
            <v>69.255465999999998</v>
          </cell>
          <cell r="J98">
            <v>141.947868</v>
          </cell>
          <cell r="K98">
            <v>73.264026000000001</v>
          </cell>
          <cell r="L98">
            <v>36.352921000000002</v>
          </cell>
          <cell r="M98">
            <v>28.872226000000001</v>
          </cell>
          <cell r="N98">
            <v>58.306883999999997</v>
          </cell>
        </row>
        <row r="99">
          <cell r="C99">
            <v>114.795152</v>
          </cell>
          <cell r="D99">
            <v>178.25501700000001</v>
          </cell>
          <cell r="E99">
            <v>166.02084199999999</v>
          </cell>
          <cell r="F99">
            <v>129.96387799999999</v>
          </cell>
          <cell r="G99">
            <v>94.154915000000003</v>
          </cell>
          <cell r="H99">
            <v>87.988276999999997</v>
          </cell>
          <cell r="I99">
            <v>63.048405000000002</v>
          </cell>
          <cell r="J99">
            <v>155.562983</v>
          </cell>
          <cell r="K99">
            <v>149.294453</v>
          </cell>
          <cell r="L99">
            <v>212.87837200000001</v>
          </cell>
          <cell r="M99">
            <v>124.11653</v>
          </cell>
          <cell r="N99">
            <v>44.286110000000001</v>
          </cell>
        </row>
        <row r="100">
          <cell r="C100">
            <v>2.9556450000000001</v>
          </cell>
          <cell r="D100">
            <v>9.4225530000000006</v>
          </cell>
          <cell r="E100">
            <v>9.6417920000000006</v>
          </cell>
          <cell r="F100">
            <v>10.638145</v>
          </cell>
          <cell r="G100">
            <v>26.924427000000001</v>
          </cell>
          <cell r="H100">
            <v>55.303784</v>
          </cell>
          <cell r="I100">
            <v>64.722592000000006</v>
          </cell>
          <cell r="J100">
            <v>44.617088000000003</v>
          </cell>
          <cell r="K100">
            <v>22.094560999999999</v>
          </cell>
          <cell r="L100">
            <v>68.694755999999998</v>
          </cell>
          <cell r="M100">
            <v>117.537502</v>
          </cell>
          <cell r="N100">
            <v>617.00021800000002</v>
          </cell>
        </row>
        <row r="101">
          <cell r="C101">
            <v>32.331392999999998</v>
          </cell>
          <cell r="D101">
            <v>39.898854</v>
          </cell>
          <cell r="E101">
            <v>83.370065999999994</v>
          </cell>
          <cell r="F101">
            <v>281.351089</v>
          </cell>
          <cell r="G101">
            <v>692.88833799999998</v>
          </cell>
          <cell r="H101">
            <v>648.03418199999999</v>
          </cell>
          <cell r="I101">
            <v>603.34126700000002</v>
          </cell>
          <cell r="J101">
            <v>106.87522300000001</v>
          </cell>
          <cell r="K101">
            <v>29.498885000000001</v>
          </cell>
          <cell r="L101">
            <v>203.03174799999999</v>
          </cell>
          <cell r="M101">
            <v>873.87379399999998</v>
          </cell>
          <cell r="N101">
            <v>1150.099424</v>
          </cell>
        </row>
        <row r="102">
          <cell r="C102">
            <v>0.50107000000000002</v>
          </cell>
          <cell r="D102">
            <v>2.2669999999999999E-3</v>
          </cell>
          <cell r="E102">
            <v>1.1612000000000001E-2</v>
          </cell>
          <cell r="F102">
            <v>7.3399999999999995E-4</v>
          </cell>
          <cell r="G102">
            <v>4.003088</v>
          </cell>
          <cell r="H102">
            <v>0.50003500000000001</v>
          </cell>
          <cell r="I102">
            <v>4.3399999999999998E-4</v>
          </cell>
          <cell r="J102">
            <v>2.0074420000000002</v>
          </cell>
          <cell r="K102">
            <v>3.7300000000000001E-4</v>
          </cell>
          <cell r="L102">
            <v>5.6899999999999995E-4</v>
          </cell>
          <cell r="M102">
            <v>4.8799999999999999E-4</v>
          </cell>
          <cell r="N102">
            <v>0</v>
          </cell>
        </row>
        <row r="103">
          <cell r="C103">
            <v>3.2414869999999998</v>
          </cell>
          <cell r="D103">
            <v>3.6525539999999999</v>
          </cell>
          <cell r="E103">
            <v>8.9309919999999998</v>
          </cell>
          <cell r="F103">
            <v>3.0545469999999999</v>
          </cell>
          <cell r="G103">
            <v>7.1123279999999998</v>
          </cell>
          <cell r="H103">
            <v>8.1977180000000001</v>
          </cell>
          <cell r="I103">
            <v>7.3471989999999998</v>
          </cell>
          <cell r="J103">
            <v>5.4602409999999999</v>
          </cell>
          <cell r="K103">
            <v>4.1365920000000003</v>
          </cell>
          <cell r="L103">
            <v>6.6365299999999996</v>
          </cell>
          <cell r="M103">
            <v>4.0005389999999998</v>
          </cell>
          <cell r="N103">
            <v>3.9736889999999998</v>
          </cell>
        </row>
        <row r="104">
          <cell r="C104">
            <v>12.975669</v>
          </cell>
          <cell r="D104">
            <v>14.778504</v>
          </cell>
          <cell r="E104">
            <v>31.627292000000001</v>
          </cell>
          <cell r="F104">
            <v>19.516338999999999</v>
          </cell>
          <cell r="G104">
            <v>32.826974999999997</v>
          </cell>
          <cell r="H104">
            <v>24.715871</v>
          </cell>
          <cell r="I104">
            <v>26.898254000000001</v>
          </cell>
          <cell r="J104">
            <v>21.556574999999999</v>
          </cell>
          <cell r="K104">
            <v>26.160155</v>
          </cell>
          <cell r="L104">
            <v>55.064804000000002</v>
          </cell>
          <cell r="M104">
            <v>122.339147</v>
          </cell>
          <cell r="N104">
            <v>72.403688000000002</v>
          </cell>
        </row>
        <row r="105">
          <cell r="C105">
            <v>9.1966490000000007</v>
          </cell>
          <cell r="D105">
            <v>23.236944000000001</v>
          </cell>
          <cell r="E105">
            <v>25.572011</v>
          </cell>
          <cell r="F105">
            <v>15.149846</v>
          </cell>
          <cell r="G105">
            <v>90.024596000000003</v>
          </cell>
          <cell r="H105">
            <v>64.905310999999998</v>
          </cell>
          <cell r="I105">
            <v>174.86169000000001</v>
          </cell>
          <cell r="J105">
            <v>30.017534999999999</v>
          </cell>
          <cell r="K105">
            <v>17.825942999999999</v>
          </cell>
          <cell r="L105">
            <v>105.367786</v>
          </cell>
          <cell r="M105">
            <v>82.719127999999998</v>
          </cell>
          <cell r="N105">
            <v>57.815002</v>
          </cell>
        </row>
        <row r="106">
          <cell r="C106">
            <v>0.46468799999999999</v>
          </cell>
          <cell r="D106">
            <v>1.6164069999999999</v>
          </cell>
          <cell r="E106">
            <v>7.8395330000000003</v>
          </cell>
          <cell r="F106">
            <v>1.794535</v>
          </cell>
          <cell r="G106">
            <v>0.829928</v>
          </cell>
          <cell r="H106">
            <v>0.305894</v>
          </cell>
          <cell r="I106">
            <v>0.29440499999999997</v>
          </cell>
          <cell r="J106">
            <v>7.6559000000000002E-2</v>
          </cell>
          <cell r="K106">
            <v>3.13E-3</v>
          </cell>
          <cell r="L106">
            <v>0.39570300000000003</v>
          </cell>
          <cell r="M106">
            <v>0.25667299999999998</v>
          </cell>
          <cell r="N106">
            <v>2.4260000000000002E-3</v>
          </cell>
        </row>
        <row r="107">
          <cell r="C107">
            <v>5.8447129999999996</v>
          </cell>
          <cell r="D107">
            <v>11.487793</v>
          </cell>
          <cell r="E107">
            <v>63.578009000000002</v>
          </cell>
          <cell r="F107">
            <v>19.843903000000001</v>
          </cell>
          <cell r="G107">
            <v>37.619819</v>
          </cell>
          <cell r="H107">
            <v>1.0994029999999999</v>
          </cell>
          <cell r="I107">
            <v>3.0260669999999998</v>
          </cell>
          <cell r="J107">
            <v>0.46427200000000002</v>
          </cell>
          <cell r="K107">
            <v>5.4011999999999998E-2</v>
          </cell>
          <cell r="L107">
            <v>0.43974000000000002</v>
          </cell>
          <cell r="M107">
            <v>6.7732000000000001E-2</v>
          </cell>
          <cell r="N107">
            <v>2.0892000000000001E-2</v>
          </cell>
        </row>
        <row r="108">
          <cell r="C108">
            <v>4.2421790000000001</v>
          </cell>
          <cell r="D108">
            <v>9.9749309999999998</v>
          </cell>
          <cell r="E108">
            <v>45.325980999999999</v>
          </cell>
          <cell r="F108">
            <v>16.826574000000001</v>
          </cell>
          <cell r="G108">
            <v>45.148316999999999</v>
          </cell>
          <cell r="H108">
            <v>23.149329999999999</v>
          </cell>
          <cell r="I108">
            <v>56.536682999999996</v>
          </cell>
          <cell r="J108">
            <v>10.253627</v>
          </cell>
          <cell r="K108">
            <v>6.0221980000000004</v>
          </cell>
          <cell r="L108">
            <v>64.989925999999997</v>
          </cell>
          <cell r="M108">
            <v>94.253771999999998</v>
          </cell>
          <cell r="N108">
            <v>59.992902000000001</v>
          </cell>
        </row>
        <row r="109">
          <cell r="C109">
            <v>163.84223700000001</v>
          </cell>
          <cell r="D109">
            <v>196.60771199999999</v>
          </cell>
          <cell r="E109">
            <v>181.08464000000001</v>
          </cell>
          <cell r="F109">
            <v>198.43728300000001</v>
          </cell>
          <cell r="G109">
            <v>159.63605200000001</v>
          </cell>
          <cell r="H109">
            <v>159.39126400000001</v>
          </cell>
          <cell r="I109">
            <v>177.64027400000001</v>
          </cell>
          <cell r="J109">
            <v>152.200457</v>
          </cell>
          <cell r="K109">
            <v>199.34594999999999</v>
          </cell>
          <cell r="L109">
            <v>174.483465</v>
          </cell>
          <cell r="M109">
            <v>154.458618</v>
          </cell>
          <cell r="N109">
            <v>185.74118300000001</v>
          </cell>
        </row>
        <row r="110">
          <cell r="C110">
            <v>273.87496099999998</v>
          </cell>
          <cell r="D110">
            <v>281.46742399999999</v>
          </cell>
          <cell r="E110">
            <v>267.99293299999999</v>
          </cell>
          <cell r="F110">
            <v>279.11255899999998</v>
          </cell>
          <cell r="G110">
            <v>242.097477</v>
          </cell>
          <cell r="H110">
            <v>267.86856399999999</v>
          </cell>
          <cell r="I110">
            <v>239.541977</v>
          </cell>
          <cell r="J110">
            <v>204.96372500000001</v>
          </cell>
          <cell r="K110">
            <v>257.00787700000001</v>
          </cell>
          <cell r="L110">
            <v>228.19686899999999</v>
          </cell>
          <cell r="M110">
            <v>254.62825100000001</v>
          </cell>
          <cell r="N110">
            <v>280.41329400000001</v>
          </cell>
        </row>
        <row r="111">
          <cell r="C111">
            <v>37.492567000000001</v>
          </cell>
          <cell r="D111">
            <v>40.176575</v>
          </cell>
          <cell r="E111">
            <v>39.623269999999998</v>
          </cell>
          <cell r="F111">
            <v>35.639297999999997</v>
          </cell>
          <cell r="G111">
            <v>42.033164999999997</v>
          </cell>
          <cell r="H111">
            <v>43.571084999999997</v>
          </cell>
          <cell r="I111">
            <v>43.806455999999997</v>
          </cell>
          <cell r="J111">
            <v>38.394658</v>
          </cell>
          <cell r="K111">
            <v>28.415140999999998</v>
          </cell>
          <cell r="L111">
            <v>31.186102999999999</v>
          </cell>
          <cell r="M111">
            <v>28.962226999999999</v>
          </cell>
          <cell r="N111">
            <v>28.039207999999999</v>
          </cell>
        </row>
        <row r="112">
          <cell r="C112">
            <v>40.537627999999998</v>
          </cell>
          <cell r="D112">
            <v>56.208616999999997</v>
          </cell>
          <cell r="E112">
            <v>29.433371000000001</v>
          </cell>
          <cell r="F112">
            <v>41.628031</v>
          </cell>
          <cell r="G112">
            <v>39.930129000000001</v>
          </cell>
          <cell r="H112">
            <v>38.828938000000001</v>
          </cell>
          <cell r="I112">
            <v>34.864382999999997</v>
          </cell>
          <cell r="J112">
            <v>33.660029999999999</v>
          </cell>
          <cell r="K112">
            <v>44.097344</v>
          </cell>
          <cell r="L112">
            <v>36.599193999999997</v>
          </cell>
          <cell r="M112">
            <v>31.221968</v>
          </cell>
          <cell r="N112">
            <v>62.169642000000003</v>
          </cell>
        </row>
        <row r="113">
          <cell r="C113">
            <v>239.6867</v>
          </cell>
          <cell r="D113">
            <v>256.27023700000001</v>
          </cell>
          <cell r="E113">
            <v>315.57597800000002</v>
          </cell>
          <cell r="F113">
            <v>364.94059299999998</v>
          </cell>
          <cell r="G113">
            <v>389.97520600000001</v>
          </cell>
          <cell r="H113">
            <v>361.94211799999999</v>
          </cell>
          <cell r="I113">
            <v>327.07797699999998</v>
          </cell>
          <cell r="J113">
            <v>302.23941400000001</v>
          </cell>
          <cell r="K113">
            <v>339.71885800000001</v>
          </cell>
          <cell r="L113">
            <v>337.74479200000002</v>
          </cell>
          <cell r="M113">
            <v>293.868359</v>
          </cell>
          <cell r="N113">
            <v>426.890535</v>
          </cell>
        </row>
        <row r="114">
          <cell r="C114">
            <v>312.33421399999997</v>
          </cell>
          <cell r="D114">
            <v>403.11706600000002</v>
          </cell>
          <cell r="E114">
            <v>361.96862199999998</v>
          </cell>
          <cell r="F114">
            <v>382.81593099999998</v>
          </cell>
          <cell r="G114">
            <v>364.31267000000003</v>
          </cell>
          <cell r="H114">
            <v>321.09366399999999</v>
          </cell>
          <cell r="I114">
            <v>301.01139599999999</v>
          </cell>
          <cell r="J114">
            <v>466.25115</v>
          </cell>
          <cell r="K114">
            <v>433.511889</v>
          </cell>
          <cell r="L114">
            <v>486.29018300000001</v>
          </cell>
          <cell r="M114">
            <v>396.81645099999997</v>
          </cell>
          <cell r="N114">
            <v>431.05705</v>
          </cell>
        </row>
        <row r="115">
          <cell r="C115">
            <v>36.012301999999998</v>
          </cell>
          <cell r="D115">
            <v>54.000346</v>
          </cell>
          <cell r="E115">
            <v>55.100237999999997</v>
          </cell>
          <cell r="F115">
            <v>48.799374</v>
          </cell>
          <cell r="G115">
            <v>48.607636999999997</v>
          </cell>
          <cell r="H115">
            <v>48.77102</v>
          </cell>
          <cell r="I115">
            <v>27.117842</v>
          </cell>
          <cell r="J115">
            <v>44.49512</v>
          </cell>
          <cell r="K115">
            <v>62.360194999999997</v>
          </cell>
          <cell r="L115">
            <v>51.622689999999999</v>
          </cell>
          <cell r="M115">
            <v>39.537413000000001</v>
          </cell>
          <cell r="N115">
            <v>77.934647999999996</v>
          </cell>
        </row>
        <row r="116">
          <cell r="C116">
            <v>43.02919</v>
          </cell>
          <cell r="D116">
            <v>14.751511000000001</v>
          </cell>
          <cell r="E116">
            <v>55.465108999999998</v>
          </cell>
          <cell r="F116">
            <v>103.552609</v>
          </cell>
          <cell r="G116">
            <v>48.797966000000002</v>
          </cell>
          <cell r="H116">
            <v>131.87929299999999</v>
          </cell>
          <cell r="I116">
            <v>323.010918</v>
          </cell>
          <cell r="J116">
            <v>64.790721000000005</v>
          </cell>
          <cell r="K116">
            <v>22.972569</v>
          </cell>
          <cell r="L116">
            <v>68.599620000000002</v>
          </cell>
          <cell r="M116">
            <v>78.510902000000002</v>
          </cell>
          <cell r="N116">
            <v>30.914912000000001</v>
          </cell>
        </row>
        <row r="117">
          <cell r="C117">
            <v>21.035021</v>
          </cell>
          <cell r="D117">
            <v>28.799420999999999</v>
          </cell>
          <cell r="E117">
            <v>25.175049000000001</v>
          </cell>
          <cell r="F117">
            <v>25.57724</v>
          </cell>
          <cell r="G117">
            <v>19.185690000000001</v>
          </cell>
          <cell r="H117">
            <v>24.788809000000001</v>
          </cell>
          <cell r="I117">
            <v>25.284137999999999</v>
          </cell>
          <cell r="J117">
            <v>22.948093</v>
          </cell>
          <cell r="K117">
            <v>8.5860219999999998</v>
          </cell>
          <cell r="L117">
            <v>15.413284000000001</v>
          </cell>
          <cell r="M117">
            <v>15.622968</v>
          </cell>
          <cell r="N117">
            <v>18.226915000000002</v>
          </cell>
        </row>
        <row r="118">
          <cell r="C118">
            <v>41.778725999999999</v>
          </cell>
          <cell r="D118">
            <v>46.983623999999999</v>
          </cell>
          <cell r="E118">
            <v>34.567138</v>
          </cell>
          <cell r="F118">
            <v>37.436816</v>
          </cell>
          <cell r="G118">
            <v>41.240414999999999</v>
          </cell>
          <cell r="H118">
            <v>37.727063000000001</v>
          </cell>
          <cell r="I118">
            <v>39.176797000000001</v>
          </cell>
          <cell r="J118">
            <v>37.790855000000001</v>
          </cell>
          <cell r="K118">
            <v>58.809232999999999</v>
          </cell>
          <cell r="L118">
            <v>56.321196999999998</v>
          </cell>
          <cell r="M118">
            <v>41.60792</v>
          </cell>
          <cell r="N118">
            <v>42.502958999999997</v>
          </cell>
        </row>
        <row r="119">
          <cell r="C119">
            <v>43.778272000000001</v>
          </cell>
          <cell r="D119">
            <v>25.706669000000002</v>
          </cell>
          <cell r="E119">
            <v>52.692475000000002</v>
          </cell>
          <cell r="F119">
            <v>65.593238999999997</v>
          </cell>
          <cell r="G119">
            <v>65.657015000000001</v>
          </cell>
          <cell r="H119">
            <v>54.966945000000003</v>
          </cell>
          <cell r="I119">
            <v>60.247427999999999</v>
          </cell>
          <cell r="J119">
            <v>47.481563999999999</v>
          </cell>
          <cell r="K119">
            <v>46.122703999999999</v>
          </cell>
          <cell r="L119">
            <v>94.032703999999995</v>
          </cell>
          <cell r="M119">
            <v>55.257798000000001</v>
          </cell>
          <cell r="N119">
            <v>68.036171999999993</v>
          </cell>
        </row>
        <row r="120">
          <cell r="C120">
            <v>86.329718</v>
          </cell>
          <cell r="D120">
            <v>65.774039000000002</v>
          </cell>
          <cell r="E120">
            <v>117.98665099999999</v>
          </cell>
          <cell r="F120">
            <v>110.289097</v>
          </cell>
          <cell r="G120">
            <v>121.50879399999999</v>
          </cell>
          <cell r="H120">
            <v>123.27058100000001</v>
          </cell>
          <cell r="I120">
            <v>157.76974899999999</v>
          </cell>
          <cell r="J120">
            <v>145.82718700000001</v>
          </cell>
          <cell r="K120">
            <v>99.866287</v>
          </cell>
          <cell r="L120">
            <v>160.845876</v>
          </cell>
          <cell r="M120">
            <v>134.128491</v>
          </cell>
          <cell r="N120">
            <v>168.335219</v>
          </cell>
        </row>
        <row r="121">
          <cell r="C121">
            <v>4.1465000000000002E-2</v>
          </cell>
          <cell r="D121">
            <v>2.2896E-2</v>
          </cell>
          <cell r="E121">
            <v>1.9417E-2</v>
          </cell>
          <cell r="F121">
            <v>1.859E-3</v>
          </cell>
          <cell r="G121">
            <v>9.5689999999999994E-3</v>
          </cell>
          <cell r="H121">
            <v>4.7999E-2</v>
          </cell>
          <cell r="I121">
            <v>2.9940000000000001E-3</v>
          </cell>
          <cell r="J121">
            <v>0.13253000000000001</v>
          </cell>
          <cell r="K121">
            <v>2.4306999999999999E-2</v>
          </cell>
          <cell r="L121">
            <v>5.2775000000000002E-2</v>
          </cell>
          <cell r="M121">
            <v>9.4579999999999994E-3</v>
          </cell>
          <cell r="N121">
            <v>4.84E-4</v>
          </cell>
        </row>
        <row r="122">
          <cell r="C122">
            <v>68.121641999999994</v>
          </cell>
          <cell r="D122">
            <v>32.920729999999999</v>
          </cell>
          <cell r="E122">
            <v>60.533318000000001</v>
          </cell>
          <cell r="F122">
            <v>42.853456999999999</v>
          </cell>
          <cell r="G122">
            <v>55.534255000000002</v>
          </cell>
          <cell r="H122">
            <v>59.930383999999997</v>
          </cell>
          <cell r="I122">
            <v>59.012675000000002</v>
          </cell>
          <cell r="J122">
            <v>54.051926999999999</v>
          </cell>
          <cell r="K122">
            <v>52.000942999999999</v>
          </cell>
          <cell r="L122">
            <v>79.305296999999996</v>
          </cell>
          <cell r="M122">
            <v>62.051301000000002</v>
          </cell>
          <cell r="N122">
            <v>56.759650999999998</v>
          </cell>
        </row>
        <row r="123">
          <cell r="C123">
            <v>116.849324</v>
          </cell>
          <cell r="D123">
            <v>112.496551</v>
          </cell>
          <cell r="E123">
            <v>178.23997900000001</v>
          </cell>
          <cell r="F123">
            <v>172.17153500000001</v>
          </cell>
          <cell r="G123">
            <v>169.31931</v>
          </cell>
          <cell r="H123">
            <v>189.64938799999999</v>
          </cell>
          <cell r="I123">
            <v>138.22713899999999</v>
          </cell>
          <cell r="J123">
            <v>170.57619500000001</v>
          </cell>
          <cell r="K123">
            <v>107.399278</v>
          </cell>
          <cell r="L123">
            <v>165.59900099999999</v>
          </cell>
          <cell r="M123">
            <v>173.73498699999999</v>
          </cell>
          <cell r="N123">
            <v>182.87135900000001</v>
          </cell>
        </row>
        <row r="124">
          <cell r="C124">
            <v>18.3567</v>
          </cell>
          <cell r="D124">
            <v>26.296434000000001</v>
          </cell>
          <cell r="E124">
            <v>11.102558999999999</v>
          </cell>
          <cell r="F124">
            <v>14.279581</v>
          </cell>
          <cell r="G124">
            <v>12.245564999999999</v>
          </cell>
          <cell r="H124">
            <v>7.6296390000000001</v>
          </cell>
          <cell r="I124">
            <v>10.453569999999999</v>
          </cell>
          <cell r="J124">
            <v>8.6143619999999999</v>
          </cell>
          <cell r="K124">
            <v>17.450361000000001</v>
          </cell>
          <cell r="L124">
            <v>11.39451</v>
          </cell>
          <cell r="M124">
            <v>8.3144989999999996</v>
          </cell>
          <cell r="N124">
            <v>5.1098249999999998</v>
          </cell>
        </row>
        <row r="125">
          <cell r="C125">
            <v>2.2550699999999999</v>
          </cell>
          <cell r="D125">
            <v>3.5686770000000001</v>
          </cell>
          <cell r="E125">
            <v>3.8453560000000002</v>
          </cell>
          <cell r="F125">
            <v>1.629111</v>
          </cell>
          <cell r="G125">
            <v>0.11611100000000001</v>
          </cell>
          <cell r="H125">
            <v>6.6042000000000003E-2</v>
          </cell>
          <cell r="I125">
            <v>4.7959999999999999E-3</v>
          </cell>
          <cell r="J125">
            <v>2.2187999999999999E-2</v>
          </cell>
          <cell r="K125">
            <v>1.923E-3</v>
          </cell>
          <cell r="L125">
            <v>1.5422999999999999E-2</v>
          </cell>
          <cell r="M125">
            <v>1.1516E-2</v>
          </cell>
          <cell r="N125">
            <v>1.05E-4</v>
          </cell>
        </row>
        <row r="126">
          <cell r="C126">
            <v>35.035592999999999</v>
          </cell>
          <cell r="D126">
            <v>41.661408999999999</v>
          </cell>
          <cell r="E126">
            <v>56.140425999999998</v>
          </cell>
          <cell r="F126">
            <v>48.119847999999998</v>
          </cell>
          <cell r="G126">
            <v>10.048157</v>
          </cell>
          <cell r="H126">
            <v>1.752791</v>
          </cell>
          <cell r="I126">
            <v>1.053868</v>
          </cell>
          <cell r="J126">
            <v>0.417794</v>
          </cell>
          <cell r="K126">
            <v>9.8518999999999995E-2</v>
          </cell>
          <cell r="L126">
            <v>0.25211299999999998</v>
          </cell>
          <cell r="M126">
            <v>0.218502</v>
          </cell>
          <cell r="N126">
            <v>0.134635</v>
          </cell>
        </row>
        <row r="127">
          <cell r="C127">
            <v>30.377579000000001</v>
          </cell>
          <cell r="D127">
            <v>34.989794000000003</v>
          </cell>
          <cell r="E127">
            <v>35.882084999999996</v>
          </cell>
          <cell r="F127">
            <v>31.313013999999999</v>
          </cell>
          <cell r="G127">
            <v>14.582677</v>
          </cell>
          <cell r="H127">
            <v>7.0004600000000003</v>
          </cell>
          <cell r="I127">
            <v>8.2904769999999992</v>
          </cell>
          <cell r="J127">
            <v>9.4213240000000003</v>
          </cell>
          <cell r="K127">
            <v>20.690290999999998</v>
          </cell>
          <cell r="L127">
            <v>20.155899000000002</v>
          </cell>
          <cell r="M127">
            <v>22.670245000000001</v>
          </cell>
          <cell r="N127">
            <v>11.967598000000001</v>
          </cell>
        </row>
        <row r="128">
          <cell r="C128">
            <v>4663.8777040000004</v>
          </cell>
          <cell r="D128">
            <v>5551.3529330000001</v>
          </cell>
          <cell r="E128">
            <v>6228.6299570000001</v>
          </cell>
          <cell r="F128">
            <v>6221.2567669999999</v>
          </cell>
          <cell r="G128">
            <v>5851.0952729999999</v>
          </cell>
          <cell r="H128">
            <v>5439.9148500000001</v>
          </cell>
          <cell r="I128">
            <v>4905.7216040000003</v>
          </cell>
          <cell r="J128">
            <v>4135.5392970000003</v>
          </cell>
          <cell r="K128">
            <v>5332.5670899999996</v>
          </cell>
          <cell r="L128">
            <v>6895.4075089999997</v>
          </cell>
          <cell r="M128">
            <v>5617.8370519999999</v>
          </cell>
          <cell r="N128">
            <v>4987.1448229999996</v>
          </cell>
        </row>
        <row r="129">
          <cell r="C129">
            <v>3744.2960349999998</v>
          </cell>
          <cell r="D129">
            <v>3841.463647</v>
          </cell>
          <cell r="E129">
            <v>4017.9760379999998</v>
          </cell>
          <cell r="F129">
            <v>4782.6184439999997</v>
          </cell>
          <cell r="G129">
            <v>4562.6409620000004</v>
          </cell>
          <cell r="H129">
            <v>4218.9936980000002</v>
          </cell>
          <cell r="I129">
            <v>3950.5077379999998</v>
          </cell>
          <cell r="J129">
            <v>3632.4857010000001</v>
          </cell>
          <cell r="K129">
            <v>4399.3577649999997</v>
          </cell>
          <cell r="L129">
            <v>5052.1675180000002</v>
          </cell>
          <cell r="M129">
            <v>4727.664409</v>
          </cell>
          <cell r="N129">
            <v>4603.7653600000003</v>
          </cell>
        </row>
        <row r="130">
          <cell r="C130">
            <v>1020.1748229999999</v>
          </cell>
          <cell r="D130">
            <v>1023.65374</v>
          </cell>
          <cell r="E130">
            <v>1112.3486760000001</v>
          </cell>
          <cell r="F130">
            <v>981.49620800000002</v>
          </cell>
          <cell r="G130">
            <v>1317.729918</v>
          </cell>
          <cell r="H130">
            <v>996.177549</v>
          </cell>
          <cell r="I130">
            <v>1045.5299359999999</v>
          </cell>
          <cell r="J130">
            <v>958.32002799999998</v>
          </cell>
          <cell r="K130">
            <v>507.56908299999998</v>
          </cell>
          <cell r="L130">
            <v>859.70651299999997</v>
          </cell>
          <cell r="M130">
            <v>701.36429099999998</v>
          </cell>
          <cell r="N130">
            <v>574.90741300000002</v>
          </cell>
        </row>
        <row r="131">
          <cell r="C131">
            <v>995.210734</v>
          </cell>
          <cell r="D131">
            <v>1140.7572279999999</v>
          </cell>
          <cell r="E131">
            <v>855.93994899999996</v>
          </cell>
          <cell r="F131">
            <v>831.52495399999998</v>
          </cell>
          <cell r="G131">
            <v>894.69642199999998</v>
          </cell>
          <cell r="H131">
            <v>716.330691</v>
          </cell>
          <cell r="I131">
            <v>665.39895999999999</v>
          </cell>
          <cell r="J131">
            <v>595.19490299999995</v>
          </cell>
          <cell r="K131">
            <v>775.25173400000006</v>
          </cell>
          <cell r="L131">
            <v>739.73845700000004</v>
          </cell>
          <cell r="M131">
            <v>612.36995200000001</v>
          </cell>
          <cell r="N131">
            <v>933.55085999999994</v>
          </cell>
        </row>
        <row r="132">
          <cell r="C132">
            <v>13094.331953999999</v>
          </cell>
          <cell r="D132">
            <v>16885.095949999999</v>
          </cell>
          <cell r="E132">
            <v>20178.187578000001</v>
          </cell>
          <cell r="F132">
            <v>16565.650837000001</v>
          </cell>
          <cell r="G132">
            <v>19074.426630999998</v>
          </cell>
          <cell r="H132">
            <v>21482.524942</v>
          </cell>
          <cell r="I132">
            <v>11169.06156</v>
          </cell>
          <cell r="J132">
            <v>13457.528284</v>
          </cell>
          <cell r="K132">
            <v>14142.007613</v>
          </cell>
          <cell r="L132">
            <v>16785.329269999998</v>
          </cell>
          <cell r="M132">
            <v>15845.176727</v>
          </cell>
          <cell r="N132">
            <v>14176.158546000001</v>
          </cell>
        </row>
        <row r="133">
          <cell r="C133">
            <v>17847.538886999999</v>
          </cell>
          <cell r="D133">
            <v>18339.506636999999</v>
          </cell>
          <cell r="E133">
            <v>21400.301380000001</v>
          </cell>
          <cell r="F133">
            <v>19404.359869</v>
          </cell>
          <cell r="G133">
            <v>19769.138500000001</v>
          </cell>
          <cell r="H133">
            <v>16894.123049000002</v>
          </cell>
          <cell r="I133">
            <v>14387.469637</v>
          </cell>
          <cell r="J133">
            <v>18223.241477</v>
          </cell>
          <cell r="K133">
            <v>21893.33281</v>
          </cell>
          <cell r="L133">
            <v>20936.695414000002</v>
          </cell>
          <cell r="M133">
            <v>19723.52779</v>
          </cell>
          <cell r="N133">
            <v>17738.151997000001</v>
          </cell>
        </row>
        <row r="134">
          <cell r="C134">
            <v>1458.84337</v>
          </cell>
          <cell r="D134">
            <v>1664.762238</v>
          </cell>
          <cell r="E134">
            <v>1500.6128409999999</v>
          </cell>
          <cell r="F134">
            <v>1937.9306570000001</v>
          </cell>
          <cell r="G134">
            <v>1671.627084</v>
          </cell>
          <cell r="H134">
            <v>1496.764512</v>
          </cell>
          <cell r="I134">
            <v>813.42868099999998</v>
          </cell>
          <cell r="J134">
            <v>943.34689600000002</v>
          </cell>
          <cell r="K134">
            <v>1679.0980649999999</v>
          </cell>
          <cell r="L134">
            <v>2020.847522</v>
          </cell>
          <cell r="M134">
            <v>2007.3238899999999</v>
          </cell>
          <cell r="N134">
            <v>1478.0724130000001</v>
          </cell>
        </row>
        <row r="135">
          <cell r="C135">
            <v>3826.274148</v>
          </cell>
          <cell r="D135">
            <v>1512.801475</v>
          </cell>
          <cell r="E135">
            <v>2864.985698</v>
          </cell>
          <cell r="F135">
            <v>4208.2413530000003</v>
          </cell>
          <cell r="G135">
            <v>2622.52106</v>
          </cell>
          <cell r="H135">
            <v>4651.0148760000002</v>
          </cell>
          <cell r="I135">
            <v>14483.016310000001</v>
          </cell>
          <cell r="J135">
            <v>2391.161552</v>
          </cell>
          <cell r="K135">
            <v>1840.1751079999999</v>
          </cell>
          <cell r="L135">
            <v>3626.327096</v>
          </cell>
          <cell r="M135">
            <v>3756.7021089999998</v>
          </cell>
          <cell r="N135">
            <v>1671.8025270000001</v>
          </cell>
        </row>
        <row r="136">
          <cell r="C136">
            <v>729.39768200000003</v>
          </cell>
          <cell r="D136">
            <v>756.15293099999997</v>
          </cell>
          <cell r="E136">
            <v>1288.962581</v>
          </cell>
          <cell r="F136">
            <v>1008.551636</v>
          </cell>
          <cell r="G136">
            <v>816.60508900000002</v>
          </cell>
          <cell r="H136">
            <v>903.74632799999995</v>
          </cell>
          <cell r="I136">
            <v>852.90352199999995</v>
          </cell>
          <cell r="J136">
            <v>1034.906614</v>
          </cell>
          <cell r="K136">
            <v>617.51386600000001</v>
          </cell>
          <cell r="L136">
            <v>801.42800999999997</v>
          </cell>
          <cell r="M136">
            <v>718.69557299999997</v>
          </cell>
          <cell r="N136">
            <v>823.55215999999996</v>
          </cell>
        </row>
        <row r="137">
          <cell r="C137">
            <v>1602.9034360000001</v>
          </cell>
          <cell r="D137">
            <v>1653.494633</v>
          </cell>
          <cell r="E137">
            <v>1337.306981</v>
          </cell>
          <cell r="F137">
            <v>1464.18948</v>
          </cell>
          <cell r="G137">
            <v>1761.2892870000001</v>
          </cell>
          <cell r="H137">
            <v>1570.4969570000001</v>
          </cell>
          <cell r="I137">
            <v>1502.834445</v>
          </cell>
          <cell r="J137">
            <v>1224.685747</v>
          </cell>
          <cell r="K137">
            <v>1805.311841</v>
          </cell>
          <cell r="L137">
            <v>1835.0971050000001</v>
          </cell>
          <cell r="M137">
            <v>1809.165174</v>
          </cell>
          <cell r="N137">
            <v>1759.170797</v>
          </cell>
        </row>
        <row r="138">
          <cell r="C138">
            <v>379.74193000000002</v>
          </cell>
          <cell r="D138">
            <v>240.738629</v>
          </cell>
          <cell r="E138">
            <v>522.729555</v>
          </cell>
          <cell r="F138">
            <v>506.75238899999999</v>
          </cell>
          <cell r="G138">
            <v>590.84105799999998</v>
          </cell>
          <cell r="H138">
            <v>574.89070700000002</v>
          </cell>
          <cell r="I138">
            <v>593.33439299999998</v>
          </cell>
          <cell r="J138">
            <v>413.59551599999998</v>
          </cell>
          <cell r="K138">
            <v>292.69997599999999</v>
          </cell>
          <cell r="L138">
            <v>738.94503599999996</v>
          </cell>
          <cell r="M138">
            <v>600.76834199999996</v>
          </cell>
          <cell r="N138">
            <v>1120.4549019999999</v>
          </cell>
        </row>
        <row r="139">
          <cell r="C139">
            <v>823.88495699999999</v>
          </cell>
          <cell r="D139">
            <v>632.01264800000001</v>
          </cell>
          <cell r="E139">
            <v>1274.9881539999999</v>
          </cell>
          <cell r="F139">
            <v>1194.8580019999999</v>
          </cell>
          <cell r="G139">
            <v>1630.5999670000001</v>
          </cell>
          <cell r="H139">
            <v>1816.343155</v>
          </cell>
          <cell r="I139">
            <v>1991.848508</v>
          </cell>
          <cell r="J139">
            <v>1196.170486</v>
          </cell>
          <cell r="K139">
            <v>828.44367699999998</v>
          </cell>
          <cell r="L139">
            <v>1745.070109</v>
          </cell>
          <cell r="M139">
            <v>1971.5191789999999</v>
          </cell>
          <cell r="N139">
            <v>2657.5705849999999</v>
          </cell>
        </row>
        <row r="140">
          <cell r="C140">
            <v>0.65960399999999997</v>
          </cell>
          <cell r="D140">
            <v>0.48310599999999998</v>
          </cell>
          <cell r="E140">
            <v>0.95720300000000003</v>
          </cell>
          <cell r="F140">
            <v>0.143016</v>
          </cell>
          <cell r="G140">
            <v>4.3373910000000002</v>
          </cell>
          <cell r="H140">
            <v>0.79376999999999998</v>
          </cell>
          <cell r="I140">
            <v>0.21585399999999999</v>
          </cell>
          <cell r="J140">
            <v>3.7472599999999998</v>
          </cell>
          <cell r="K140">
            <v>0.77060399999999996</v>
          </cell>
          <cell r="L140">
            <v>0.70632899999999998</v>
          </cell>
          <cell r="M140">
            <v>0.31110700000000002</v>
          </cell>
          <cell r="N140">
            <v>5.0881999999999997E-2</v>
          </cell>
        </row>
        <row r="141">
          <cell r="C141">
            <v>400.68201800000003</v>
          </cell>
          <cell r="D141">
            <v>215.78918899999999</v>
          </cell>
          <cell r="E141">
            <v>514.73923100000002</v>
          </cell>
          <cell r="F141">
            <v>278.83679100000001</v>
          </cell>
          <cell r="G141">
            <v>367.07473199999998</v>
          </cell>
          <cell r="H141">
            <v>433.90953400000001</v>
          </cell>
          <cell r="I141">
            <v>408.85524400000003</v>
          </cell>
          <cell r="J141">
            <v>300.14166599999999</v>
          </cell>
          <cell r="K141">
            <v>363.43885599999999</v>
          </cell>
          <cell r="L141">
            <v>580.37279699999999</v>
          </cell>
          <cell r="M141">
            <v>373.22125899999998</v>
          </cell>
          <cell r="N141">
            <v>378.41495300000003</v>
          </cell>
        </row>
        <row r="142">
          <cell r="C142">
            <v>828.05601300000001</v>
          </cell>
          <cell r="D142">
            <v>799.67363799999998</v>
          </cell>
          <cell r="E142">
            <v>1392.52415</v>
          </cell>
          <cell r="F142">
            <v>1110.6687569999999</v>
          </cell>
          <cell r="G142">
            <v>1089.281943</v>
          </cell>
          <cell r="H142">
            <v>1266.9321769999999</v>
          </cell>
          <cell r="I142">
            <v>1055.6761509999999</v>
          </cell>
          <cell r="J142">
            <v>1000.930864</v>
          </cell>
          <cell r="K142">
            <v>735.03729399999997</v>
          </cell>
          <cell r="L142">
            <v>1432.6452770000001</v>
          </cell>
          <cell r="M142">
            <v>1307.164661</v>
          </cell>
          <cell r="N142">
            <v>1305.1142600000001</v>
          </cell>
        </row>
        <row r="143">
          <cell r="C143">
            <v>436.63845199999997</v>
          </cell>
          <cell r="D143">
            <v>572.02619400000003</v>
          </cell>
          <cell r="E143">
            <v>317.117233</v>
          </cell>
          <cell r="F143">
            <v>315.18272000000002</v>
          </cell>
          <cell r="G143">
            <v>395.29719999999998</v>
          </cell>
          <cell r="H143">
            <v>294.75522000000001</v>
          </cell>
          <cell r="I143">
            <v>413.4529</v>
          </cell>
          <cell r="J143">
            <v>246.03276700000001</v>
          </cell>
          <cell r="K143">
            <v>303.95131600000002</v>
          </cell>
          <cell r="L143">
            <v>357.47115000000002</v>
          </cell>
          <cell r="M143">
            <v>274.953124</v>
          </cell>
          <cell r="N143">
            <v>241.753534</v>
          </cell>
        </row>
        <row r="144">
          <cell r="C144">
            <v>25.689554999999999</v>
          </cell>
          <cell r="D144">
            <v>39.407169000000003</v>
          </cell>
          <cell r="E144">
            <v>69.240815999999995</v>
          </cell>
          <cell r="F144">
            <v>25.471015000000001</v>
          </cell>
          <cell r="G144">
            <v>5.6160829999999997</v>
          </cell>
          <cell r="H144">
            <v>2.1714820000000001</v>
          </cell>
          <cell r="I144">
            <v>0.94037300000000001</v>
          </cell>
          <cell r="J144">
            <v>2.1271680000000002</v>
          </cell>
          <cell r="K144">
            <v>0.70799999999999996</v>
          </cell>
          <cell r="L144">
            <v>1.015781</v>
          </cell>
          <cell r="M144">
            <v>1.002866</v>
          </cell>
          <cell r="N144">
            <v>1.6503620000000001</v>
          </cell>
        </row>
        <row r="145">
          <cell r="C145">
            <v>385.35515099999998</v>
          </cell>
          <cell r="D145">
            <v>515.28460900000005</v>
          </cell>
          <cell r="E145">
            <v>704.375766</v>
          </cell>
          <cell r="F145">
            <v>447.68792500000001</v>
          </cell>
          <cell r="G145">
            <v>186.947271</v>
          </cell>
          <cell r="H145">
            <v>42.391579</v>
          </cell>
          <cell r="I145">
            <v>23.018252</v>
          </cell>
          <cell r="J145">
            <v>17.849205999999999</v>
          </cell>
          <cell r="K145">
            <v>11.619486</v>
          </cell>
          <cell r="L145">
            <v>6.5085459999999999</v>
          </cell>
          <cell r="M145">
            <v>6.8747119999999997</v>
          </cell>
          <cell r="N145">
            <v>4.3683690000000004</v>
          </cell>
        </row>
        <row r="146">
          <cell r="C146">
            <v>279.10602799999998</v>
          </cell>
          <cell r="D146">
            <v>360.03572400000002</v>
          </cell>
          <cell r="E146">
            <v>466.21748700000001</v>
          </cell>
          <cell r="F146">
            <v>328.973522</v>
          </cell>
          <cell r="G146">
            <v>204.92591100000001</v>
          </cell>
          <cell r="H146">
            <v>162.09379999999999</v>
          </cell>
          <cell r="I146">
            <v>153.29296500000001</v>
          </cell>
          <cell r="J146">
            <v>120.86704400000001</v>
          </cell>
          <cell r="K146">
            <v>162.20883599999999</v>
          </cell>
          <cell r="L146">
            <v>259.54762899999997</v>
          </cell>
          <cell r="M146">
            <v>324.73535099999998</v>
          </cell>
          <cell r="N146">
            <v>292.01039300000002</v>
          </cell>
        </row>
        <row r="147">
          <cell r="C147">
            <v>2695.3838909999999</v>
          </cell>
          <cell r="D147">
            <v>2766.9721880000002</v>
          </cell>
          <cell r="E147">
            <v>1752.187224</v>
          </cell>
          <cell r="F147">
            <v>2178.4549019999999</v>
          </cell>
          <cell r="G147">
            <v>2504.1459169999998</v>
          </cell>
          <cell r="H147">
            <v>951.97860600000001</v>
          </cell>
          <cell r="I147">
            <v>840.209473</v>
          </cell>
          <cell r="J147">
            <v>1456.4706679999999</v>
          </cell>
          <cell r="K147">
            <v>3941.5840269999999</v>
          </cell>
          <cell r="L147">
            <v>1365.3936349999999</v>
          </cell>
          <cell r="M147">
            <v>1933.562152</v>
          </cell>
          <cell r="N147">
            <v>2071.4682069999999</v>
          </cell>
        </row>
        <row r="148">
          <cell r="C148">
            <v>2676.022966</v>
          </cell>
          <cell r="D148">
            <v>2183.3790239999998</v>
          </cell>
          <cell r="E148">
            <v>997.51505799999995</v>
          </cell>
          <cell r="F148">
            <v>-533.60322499999995</v>
          </cell>
          <cell r="G148">
            <v>189.461445</v>
          </cell>
          <cell r="H148">
            <v>154.58301399999999</v>
          </cell>
          <cell r="I148">
            <v>-537.49050899999997</v>
          </cell>
          <cell r="J148">
            <v>-627.39927499999999</v>
          </cell>
          <cell r="K148">
            <v>538.78595800000005</v>
          </cell>
          <cell r="L148">
            <v>-151.98426499999999</v>
          </cell>
          <cell r="M148">
            <v>940.61850700000002</v>
          </cell>
          <cell r="N148">
            <v>801.75106600000004</v>
          </cell>
        </row>
        <row r="149">
          <cell r="C149">
            <v>737.417958</v>
          </cell>
          <cell r="D149">
            <v>661.70782199999996</v>
          </cell>
          <cell r="E149">
            <v>42.690078</v>
          </cell>
          <cell r="F149">
            <v>205.96796800000001</v>
          </cell>
          <cell r="G149">
            <v>82.266034000000005</v>
          </cell>
          <cell r="H149">
            <v>82.432660999999996</v>
          </cell>
          <cell r="I149">
            <v>-135.93336400000001</v>
          </cell>
          <cell r="J149">
            <v>-6.4599330000000004</v>
          </cell>
          <cell r="K149">
            <v>327.988317</v>
          </cell>
          <cell r="L149">
            <v>84.006995000000003</v>
          </cell>
          <cell r="M149">
            <v>199.250124</v>
          </cell>
          <cell r="N149">
            <v>39.095785999999997</v>
          </cell>
        </row>
        <row r="150">
          <cell r="C150">
            <v>357.03534500000001</v>
          </cell>
          <cell r="D150">
            <v>227.631291</v>
          </cell>
          <cell r="E150">
            <v>-11.524792</v>
          </cell>
          <cell r="F150">
            <v>61.914777000000001</v>
          </cell>
          <cell r="G150">
            <v>197.786753</v>
          </cell>
          <cell r="H150">
            <v>186.053304</v>
          </cell>
          <cell r="I150">
            <v>17.754577999999999</v>
          </cell>
          <cell r="J150">
            <v>91.279202999999995</v>
          </cell>
          <cell r="K150">
            <v>355.52851900000002</v>
          </cell>
          <cell r="L150">
            <v>114.942255</v>
          </cell>
          <cell r="M150">
            <v>241.17432600000001</v>
          </cell>
          <cell r="N150">
            <v>242.72401400000001</v>
          </cell>
        </row>
        <row r="151">
          <cell r="C151">
            <v>9243.1727410000003</v>
          </cell>
          <cell r="D151">
            <v>8996.966273</v>
          </cell>
          <cell r="E151">
            <v>6513.2051369999999</v>
          </cell>
          <cell r="F151">
            <v>6602.8274190000002</v>
          </cell>
          <cell r="G151">
            <v>9538.1718720000008</v>
          </cell>
          <cell r="H151">
            <v>3791.4352090000002</v>
          </cell>
          <cell r="I151">
            <v>2123.182339</v>
          </cell>
          <cell r="J151">
            <v>4089.1279589999999</v>
          </cell>
          <cell r="K151">
            <v>6720.6928330000001</v>
          </cell>
          <cell r="L151">
            <v>5133.1977980000001</v>
          </cell>
          <cell r="M151">
            <v>4417.0209720000003</v>
          </cell>
          <cell r="N151">
            <v>2593.0310260000001</v>
          </cell>
        </row>
        <row r="152">
          <cell r="C152">
            <v>16732.261126000001</v>
          </cell>
          <cell r="D152">
            <v>14767.982849</v>
          </cell>
          <cell r="E152">
            <v>11573.973180000001</v>
          </cell>
          <cell r="F152">
            <v>13619.789070999999</v>
          </cell>
          <cell r="G152">
            <v>16291.365006</v>
          </cell>
          <cell r="H152">
            <v>4754.9878980000003</v>
          </cell>
          <cell r="I152">
            <v>6495.6216059999997</v>
          </cell>
          <cell r="J152">
            <v>10351.954055</v>
          </cell>
          <cell r="K152">
            <v>15648.388383</v>
          </cell>
          <cell r="L152">
            <v>10117.157273000001</v>
          </cell>
          <cell r="M152">
            <v>12736.83546</v>
          </cell>
          <cell r="N152">
            <v>7415.2475260000001</v>
          </cell>
        </row>
        <row r="153">
          <cell r="C153">
            <v>895.54843600000004</v>
          </cell>
          <cell r="D153">
            <v>1021.499813</v>
          </cell>
          <cell r="E153">
            <v>441.49507599999998</v>
          </cell>
          <cell r="F153">
            <v>839.32086500000003</v>
          </cell>
          <cell r="G153">
            <v>942.38948100000005</v>
          </cell>
          <cell r="H153">
            <v>171.99104199999999</v>
          </cell>
          <cell r="I153">
            <v>229.04104100000001</v>
          </cell>
          <cell r="J153">
            <v>316.92427800000002</v>
          </cell>
          <cell r="K153">
            <v>709.20677599999999</v>
          </cell>
          <cell r="L153">
            <v>630.46011999999996</v>
          </cell>
          <cell r="M153">
            <v>892.73148400000002</v>
          </cell>
          <cell r="N153">
            <v>257.74988000000002</v>
          </cell>
        </row>
        <row r="154">
          <cell r="C154">
            <v>1817.6787300000001</v>
          </cell>
          <cell r="D154">
            <v>616.61970899999994</v>
          </cell>
          <cell r="E154">
            <v>371.14834300000001</v>
          </cell>
          <cell r="F154">
            <v>757.30949699999996</v>
          </cell>
          <cell r="G154">
            <v>279.79945300000003</v>
          </cell>
          <cell r="H154">
            <v>-258.88783100000001</v>
          </cell>
          <cell r="I154">
            <v>2708.519456</v>
          </cell>
          <cell r="J154">
            <v>262.96145300000001</v>
          </cell>
          <cell r="K154">
            <v>79.39246</v>
          </cell>
          <cell r="L154">
            <v>-19.319310999999999</v>
          </cell>
          <cell r="M154">
            <v>845.27453000000003</v>
          </cell>
          <cell r="N154">
            <v>-132.18220299999999</v>
          </cell>
        </row>
        <row r="155">
          <cell r="C155">
            <v>5.2886030000000002</v>
          </cell>
          <cell r="D155">
            <v>-34.198892999999998</v>
          </cell>
          <cell r="E155">
            <v>-155.26736199999999</v>
          </cell>
          <cell r="F155">
            <v>-145.00415100000001</v>
          </cell>
          <cell r="G155">
            <v>-140.898651</v>
          </cell>
          <cell r="H155">
            <v>-416.95095500000002</v>
          </cell>
          <cell r="I155">
            <v>64.831344000000001</v>
          </cell>
          <cell r="J155">
            <v>-294.74122699999998</v>
          </cell>
          <cell r="K155">
            <v>-128.07396499999999</v>
          </cell>
          <cell r="L155">
            <v>-28.615784999999999</v>
          </cell>
          <cell r="M155">
            <v>-139.901926</v>
          </cell>
          <cell r="N155">
            <v>-256.20680499999997</v>
          </cell>
        </row>
        <row r="156">
          <cell r="C156">
            <v>285.44483400000001</v>
          </cell>
          <cell r="D156">
            <v>207.54724100000001</v>
          </cell>
          <cell r="E156">
            <v>153.64030700000001</v>
          </cell>
          <cell r="F156">
            <v>160.16261700000001</v>
          </cell>
          <cell r="G156">
            <v>190.34649200000001</v>
          </cell>
          <cell r="H156">
            <v>55.817273999999998</v>
          </cell>
          <cell r="I156">
            <v>40.406359000000002</v>
          </cell>
          <cell r="J156">
            <v>-164.90607299999999</v>
          </cell>
          <cell r="K156">
            <v>50.355904000000002</v>
          </cell>
          <cell r="L156">
            <v>29.796446</v>
          </cell>
          <cell r="M156">
            <v>-43.913468000000002</v>
          </cell>
          <cell r="N156">
            <v>-191.98868400000001</v>
          </cell>
        </row>
        <row r="157">
          <cell r="C157">
            <v>295.86329000000001</v>
          </cell>
          <cell r="D157">
            <v>231.02289400000001</v>
          </cell>
          <cell r="E157">
            <v>-15.693066</v>
          </cell>
          <cell r="F157">
            <v>73.011112999999995</v>
          </cell>
          <cell r="G157">
            <v>180.62459999999999</v>
          </cell>
          <cell r="H157">
            <v>102.83393100000001</v>
          </cell>
          <cell r="I157">
            <v>-3.3993660000000001</v>
          </cell>
          <cell r="J157">
            <v>293.41665</v>
          </cell>
          <cell r="K157">
            <v>251.88432800000001</v>
          </cell>
          <cell r="L157">
            <v>-185.887584</v>
          </cell>
          <cell r="M157">
            <v>24.132370999999999</v>
          </cell>
          <cell r="N157">
            <v>-689.94137699999999</v>
          </cell>
        </row>
        <row r="158">
          <cell r="C158">
            <v>740.23675300000002</v>
          </cell>
          <cell r="D158">
            <v>481.92071499999997</v>
          </cell>
          <cell r="E158">
            <v>-61.722375999999997</v>
          </cell>
          <cell r="F158">
            <v>124.482372</v>
          </cell>
          <cell r="G158">
            <v>-314.16854000000001</v>
          </cell>
          <cell r="H158">
            <v>-206.69590500000001</v>
          </cell>
          <cell r="I158">
            <v>-373.76763199999999</v>
          </cell>
          <cell r="J158">
            <v>801.50368300000002</v>
          </cell>
          <cell r="K158">
            <v>705.04392600000006</v>
          </cell>
          <cell r="L158">
            <v>-210.88596799999999</v>
          </cell>
          <cell r="M158">
            <v>-423.66991400000001</v>
          </cell>
          <cell r="N158">
            <v>-1344.597235</v>
          </cell>
        </row>
        <row r="159">
          <cell r="C159">
            <v>-1.9884360000000001</v>
          </cell>
          <cell r="D159">
            <v>-0.46600799999999998</v>
          </cell>
          <cell r="E159">
            <v>-1.674496</v>
          </cell>
          <cell r="F159">
            <v>-1.1646529999999999</v>
          </cell>
          <cell r="G159">
            <v>-5.8957059999999997</v>
          </cell>
          <cell r="H159">
            <v>-2.503072</v>
          </cell>
          <cell r="I159">
            <v>-1.5012490000000001</v>
          </cell>
          <cell r="J159">
            <v>-4.703525</v>
          </cell>
          <cell r="K159">
            <v>-1.620458</v>
          </cell>
          <cell r="L159">
            <v>-3.1357599999999999</v>
          </cell>
          <cell r="M159">
            <v>-0.410889</v>
          </cell>
          <cell r="N159">
            <v>-0.35990800000000001</v>
          </cell>
        </row>
        <row r="160">
          <cell r="C160">
            <v>82.812869000000006</v>
          </cell>
          <cell r="D160">
            <v>136.54754700000001</v>
          </cell>
          <cell r="E160">
            <v>-49.439013000000003</v>
          </cell>
          <cell r="F160">
            <v>50.261533999999997</v>
          </cell>
          <cell r="G160">
            <v>83.884309999999999</v>
          </cell>
          <cell r="H160">
            <v>70.961386000000005</v>
          </cell>
          <cell r="I160">
            <v>-44.760184000000002</v>
          </cell>
          <cell r="J160">
            <v>155.317049</v>
          </cell>
          <cell r="K160">
            <v>192.30460099999999</v>
          </cell>
          <cell r="L160">
            <v>-123.476917</v>
          </cell>
          <cell r="M160">
            <v>25.459903000000001</v>
          </cell>
          <cell r="N160">
            <v>-101.15331</v>
          </cell>
        </row>
        <row r="161">
          <cell r="C161">
            <v>345.78595300000001</v>
          </cell>
          <cell r="D161">
            <v>327.50670700000001</v>
          </cell>
          <cell r="E161">
            <v>-39.042316</v>
          </cell>
          <cell r="F161">
            <v>61.840091999999999</v>
          </cell>
          <cell r="G161">
            <v>215.221576</v>
          </cell>
          <cell r="H161">
            <v>90.130886000000004</v>
          </cell>
          <cell r="I161">
            <v>-26.818626999999999</v>
          </cell>
          <cell r="J161">
            <v>368.09465</v>
          </cell>
          <cell r="K161">
            <v>665.27519199999995</v>
          </cell>
          <cell r="L161">
            <v>-215.38564400000001</v>
          </cell>
          <cell r="M161">
            <v>-1.303013</v>
          </cell>
          <cell r="N161">
            <v>-422.43778200000003</v>
          </cell>
        </row>
        <row r="162">
          <cell r="C162">
            <v>169.042361</v>
          </cell>
          <cell r="D162">
            <v>243.53554099999999</v>
          </cell>
          <cell r="E162">
            <v>-10.036946</v>
          </cell>
          <cell r="F162">
            <v>80.574276999999995</v>
          </cell>
          <cell r="G162">
            <v>-19.003775999999998</v>
          </cell>
          <cell r="H162">
            <v>-84.046104</v>
          </cell>
          <cell r="I162">
            <v>-201.60343399999999</v>
          </cell>
          <cell r="J162">
            <v>-34.18047</v>
          </cell>
          <cell r="K162">
            <v>-47.909374999999997</v>
          </cell>
          <cell r="L162">
            <v>-139.92337900000001</v>
          </cell>
          <cell r="M162">
            <v>-138.31831299999999</v>
          </cell>
          <cell r="N162">
            <v>-149.41872900000001</v>
          </cell>
        </row>
        <row r="163">
          <cell r="C163">
            <v>-12.363379</v>
          </cell>
          <cell r="D163">
            <v>-11.686875000000001</v>
          </cell>
          <cell r="E163">
            <v>-19.315297999999999</v>
          </cell>
          <cell r="F163">
            <v>-0.92597099999999999</v>
          </cell>
          <cell r="G163">
            <v>-7.634347</v>
          </cell>
          <cell r="H163">
            <v>-7.4906800000000002</v>
          </cell>
          <cell r="I163">
            <v>-5.2927039999999996</v>
          </cell>
          <cell r="J163">
            <v>-2.8105880000000001</v>
          </cell>
          <cell r="K163">
            <v>-2.9928720000000002</v>
          </cell>
          <cell r="L163">
            <v>-9.1867289999999997</v>
          </cell>
          <cell r="M163">
            <v>-10.134532999999999</v>
          </cell>
          <cell r="N163">
            <v>-8.6365590000000001</v>
          </cell>
        </row>
        <row r="164">
          <cell r="C164">
            <v>-0.58848800000000001</v>
          </cell>
          <cell r="D164">
            <v>-163.54796300000001</v>
          </cell>
          <cell r="E164">
            <v>-90.427572999999995</v>
          </cell>
          <cell r="F164">
            <v>-32.844341999999997</v>
          </cell>
          <cell r="G164">
            <v>-36.433686000000002</v>
          </cell>
          <cell r="H164">
            <v>-59.882435000000001</v>
          </cell>
          <cell r="I164">
            <v>-29.954965999999999</v>
          </cell>
          <cell r="J164">
            <v>-35.990454999999997</v>
          </cell>
          <cell r="K164">
            <v>-24.762740000000001</v>
          </cell>
          <cell r="L164">
            <v>-37.715358000000002</v>
          </cell>
          <cell r="M164">
            <v>-76.254873000000003</v>
          </cell>
          <cell r="N164">
            <v>-88.421417000000005</v>
          </cell>
        </row>
        <row r="165">
          <cell r="C165">
            <v>47.544068000000003</v>
          </cell>
          <cell r="D165">
            <v>-24.927465000000002</v>
          </cell>
          <cell r="E165">
            <v>-20.737798000000002</v>
          </cell>
          <cell r="F165">
            <v>58.161897000000003</v>
          </cell>
          <cell r="G165">
            <v>-7.6701560000000004</v>
          </cell>
          <cell r="H165">
            <v>-99.466639999999998</v>
          </cell>
          <cell r="I165">
            <v>-96.354637999999994</v>
          </cell>
          <cell r="J165">
            <v>-58.638624</v>
          </cell>
          <cell r="K165">
            <v>-69.922685999999999</v>
          </cell>
          <cell r="L165">
            <v>-143.270689</v>
          </cell>
          <cell r="M165">
            <v>-255.68066999999999</v>
          </cell>
          <cell r="N165">
            <v>-216.666549</v>
          </cell>
        </row>
        <row r="166">
          <cell r="C166" t="e">
            <v>#REF!</v>
          </cell>
          <cell r="D166" t="e">
            <v>#REF!</v>
          </cell>
          <cell r="E166" t="e">
            <v>#REF!</v>
          </cell>
          <cell r="F166" t="e">
            <v>#REF!</v>
          </cell>
          <cell r="G166" t="e">
            <v>#REF!</v>
          </cell>
          <cell r="H166" t="e">
            <v>#REF!</v>
          </cell>
          <cell r="I166" t="e">
            <v>#REF!</v>
          </cell>
          <cell r="J166" t="e">
            <v>#REF!</v>
          </cell>
          <cell r="K166" t="e">
            <v>#REF!</v>
          </cell>
          <cell r="L166" t="e">
            <v>#REF!</v>
          </cell>
          <cell r="M166" t="e">
            <v>#REF!</v>
          </cell>
          <cell r="N166" t="e">
            <v>#REF!</v>
          </cell>
        </row>
        <row r="167">
          <cell r="C167" t="e">
            <v>#REF!</v>
          </cell>
          <cell r="D167" t="e">
            <v>#REF!</v>
          </cell>
          <cell r="E167" t="e">
            <v>#REF!</v>
          </cell>
          <cell r="F167" t="e">
            <v>#REF!</v>
          </cell>
          <cell r="G167" t="e">
            <v>#REF!</v>
          </cell>
          <cell r="H167" t="e">
            <v>#REF!</v>
          </cell>
          <cell r="I167" t="e">
            <v>#REF!</v>
          </cell>
          <cell r="J167" t="e">
            <v>#REF!</v>
          </cell>
          <cell r="K167" t="e">
            <v>#REF!</v>
          </cell>
          <cell r="L167" t="e">
            <v>#REF!</v>
          </cell>
          <cell r="M167" t="e">
            <v>#REF!</v>
          </cell>
          <cell r="N167" t="e">
            <v>#REF!</v>
          </cell>
        </row>
        <row r="168">
          <cell r="C168" t="e">
            <v>#REF!</v>
          </cell>
          <cell r="D168" t="e">
            <v>#REF!</v>
          </cell>
          <cell r="E168" t="e">
            <v>#REF!</v>
          </cell>
          <cell r="F168" t="e">
            <v>#REF!</v>
          </cell>
          <cell r="G168" t="e">
            <v>#REF!</v>
          </cell>
          <cell r="H168" t="e">
            <v>#REF!</v>
          </cell>
          <cell r="I168" t="e">
            <v>#REF!</v>
          </cell>
          <cell r="J168" t="e">
            <v>#REF!</v>
          </cell>
          <cell r="K168" t="e">
            <v>#REF!</v>
          </cell>
          <cell r="L168" t="e">
            <v>#REF!</v>
          </cell>
          <cell r="M168" t="e">
            <v>#REF!</v>
          </cell>
          <cell r="N168" t="e">
            <v>#REF!</v>
          </cell>
        </row>
        <row r="169">
          <cell r="C169" t="e">
            <v>#REF!</v>
          </cell>
          <cell r="D169" t="e">
            <v>#REF!</v>
          </cell>
          <cell r="E169" t="e">
            <v>#REF!</v>
          </cell>
          <cell r="F169" t="e">
            <v>#REF!</v>
          </cell>
          <cell r="G169" t="e">
            <v>#REF!</v>
          </cell>
          <cell r="H169" t="e">
            <v>#REF!</v>
          </cell>
          <cell r="I169" t="e">
            <v>#REF!</v>
          </cell>
          <cell r="J169" t="e">
            <v>#REF!</v>
          </cell>
          <cell r="K169" t="e">
            <v>#REF!</v>
          </cell>
          <cell r="L169" t="e">
            <v>#REF!</v>
          </cell>
          <cell r="M169" t="e">
            <v>#REF!</v>
          </cell>
          <cell r="N169" t="e">
            <v>#REF!</v>
          </cell>
        </row>
        <row r="170">
          <cell r="C170" t="e">
            <v>#REF!</v>
          </cell>
          <cell r="D170" t="e">
            <v>#REF!</v>
          </cell>
          <cell r="E170" t="e">
            <v>#REF!</v>
          </cell>
          <cell r="F170" t="e">
            <v>#REF!</v>
          </cell>
          <cell r="G170" t="e">
            <v>#REF!</v>
          </cell>
          <cell r="H170" t="e">
            <v>#REF!</v>
          </cell>
          <cell r="I170" t="e">
            <v>#REF!</v>
          </cell>
          <cell r="J170" t="e">
            <v>#REF!</v>
          </cell>
          <cell r="K170" t="e">
            <v>#REF!</v>
          </cell>
          <cell r="L170" t="e">
            <v>#REF!</v>
          </cell>
          <cell r="M170" t="e">
            <v>#REF!</v>
          </cell>
          <cell r="N170" t="e">
            <v>#REF!</v>
          </cell>
        </row>
        <row r="171">
          <cell r="C171" t="e">
            <v>#REF!</v>
          </cell>
          <cell r="D171" t="e">
            <v>#REF!</v>
          </cell>
          <cell r="E171" t="e">
            <v>#REF!</v>
          </cell>
          <cell r="F171" t="e">
            <v>#REF!</v>
          </cell>
          <cell r="G171" t="e">
            <v>#REF!</v>
          </cell>
          <cell r="H171" t="e">
            <v>#REF!</v>
          </cell>
          <cell r="I171" t="e">
            <v>#REF!</v>
          </cell>
          <cell r="J171" t="e">
            <v>#REF!</v>
          </cell>
          <cell r="K171" t="e">
            <v>#REF!</v>
          </cell>
          <cell r="L171" t="e">
            <v>#REF!</v>
          </cell>
          <cell r="M171" t="e">
            <v>#REF!</v>
          </cell>
          <cell r="N171" t="e">
            <v>#REF!</v>
          </cell>
        </row>
        <row r="172">
          <cell r="C172" t="e">
            <v>#REF!</v>
          </cell>
          <cell r="D172" t="e">
            <v>#REF!</v>
          </cell>
          <cell r="E172" t="e">
            <v>#REF!</v>
          </cell>
          <cell r="F172" t="e">
            <v>#REF!</v>
          </cell>
          <cell r="G172" t="e">
            <v>#REF!</v>
          </cell>
          <cell r="H172" t="e">
            <v>#REF!</v>
          </cell>
          <cell r="I172" t="e">
            <v>#REF!</v>
          </cell>
          <cell r="J172" t="e">
            <v>#REF!</v>
          </cell>
          <cell r="K172" t="e">
            <v>#REF!</v>
          </cell>
          <cell r="L172" t="e">
            <v>#REF!</v>
          </cell>
          <cell r="M172" t="e">
            <v>#REF!</v>
          </cell>
          <cell r="N172" t="e">
            <v>#REF!</v>
          </cell>
        </row>
        <row r="173">
          <cell r="C173" t="e">
            <v>#REF!</v>
          </cell>
          <cell r="D173" t="e">
            <v>#REF!</v>
          </cell>
          <cell r="E173" t="e">
            <v>#REF!</v>
          </cell>
          <cell r="F173" t="e">
            <v>#REF!</v>
          </cell>
          <cell r="G173" t="e">
            <v>#REF!</v>
          </cell>
          <cell r="H173" t="e">
            <v>#REF!</v>
          </cell>
          <cell r="I173" t="e">
            <v>#REF!</v>
          </cell>
          <cell r="J173" t="e">
            <v>#REF!</v>
          </cell>
          <cell r="K173" t="e">
            <v>#REF!</v>
          </cell>
          <cell r="L173" t="e">
            <v>#REF!</v>
          </cell>
          <cell r="M173" t="e">
            <v>#REF!</v>
          </cell>
          <cell r="N173" t="e">
            <v>#REF!</v>
          </cell>
        </row>
        <row r="174">
          <cell r="C174" t="e">
            <v>#REF!</v>
          </cell>
          <cell r="D174" t="e">
            <v>#REF!</v>
          </cell>
          <cell r="E174" t="e">
            <v>#REF!</v>
          </cell>
          <cell r="F174" t="e">
            <v>#REF!</v>
          </cell>
          <cell r="G174" t="e">
            <v>#REF!</v>
          </cell>
          <cell r="H174" t="e">
            <v>#REF!</v>
          </cell>
          <cell r="I174" t="e">
            <v>#REF!</v>
          </cell>
          <cell r="J174" t="e">
            <v>#REF!</v>
          </cell>
          <cell r="K174" t="e">
            <v>#REF!</v>
          </cell>
          <cell r="L174" t="e">
            <v>#REF!</v>
          </cell>
          <cell r="M174" t="e">
            <v>#REF!</v>
          </cell>
          <cell r="N174" t="e">
            <v>#REF!</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8">
          <cell r="C178" t="e">
            <v>#REF!</v>
          </cell>
          <cell r="D178" t="e">
            <v>#REF!</v>
          </cell>
          <cell r="E178" t="e">
            <v>#REF!</v>
          </cell>
          <cell r="F178" t="e">
            <v>#REF!</v>
          </cell>
          <cell r="G178" t="e">
            <v>#REF!</v>
          </cell>
          <cell r="H178" t="e">
            <v>#REF!</v>
          </cell>
          <cell r="I178" t="e">
            <v>#REF!</v>
          </cell>
          <cell r="J178" t="e">
            <v>#REF!</v>
          </cell>
          <cell r="K178" t="e">
            <v>#REF!</v>
          </cell>
          <cell r="L178" t="e">
            <v>#REF!</v>
          </cell>
          <cell r="M178" t="e">
            <v>#REF!</v>
          </cell>
          <cell r="N178" t="e">
            <v>#REF!</v>
          </cell>
        </row>
        <row r="179">
          <cell r="C179" t="e">
            <v>#REF!</v>
          </cell>
          <cell r="D179" t="e">
            <v>#REF!</v>
          </cell>
          <cell r="E179" t="e">
            <v>#REF!</v>
          </cell>
          <cell r="F179" t="e">
            <v>#REF!</v>
          </cell>
          <cell r="G179" t="e">
            <v>#REF!</v>
          </cell>
          <cell r="H179" t="e">
            <v>#REF!</v>
          </cell>
          <cell r="I179" t="e">
            <v>#REF!</v>
          </cell>
          <cell r="J179" t="e">
            <v>#REF!</v>
          </cell>
          <cell r="K179" t="e">
            <v>#REF!</v>
          </cell>
          <cell r="L179" t="e">
            <v>#REF!</v>
          </cell>
          <cell r="M179" t="e">
            <v>#REF!</v>
          </cell>
          <cell r="N179" t="e">
            <v>#REF!</v>
          </cell>
        </row>
        <row r="180">
          <cell r="C180" t="e">
            <v>#REF!</v>
          </cell>
          <cell r="D180" t="e">
            <v>#REF!</v>
          </cell>
          <cell r="E180" t="e">
            <v>#REF!</v>
          </cell>
          <cell r="F180" t="e">
            <v>#REF!</v>
          </cell>
          <cell r="G180" t="e">
            <v>#REF!</v>
          </cell>
          <cell r="H180" t="e">
            <v>#REF!</v>
          </cell>
          <cell r="I180" t="e">
            <v>#REF!</v>
          </cell>
          <cell r="J180" t="e">
            <v>#REF!</v>
          </cell>
          <cell r="K180" t="e">
            <v>#REF!</v>
          </cell>
          <cell r="L180" t="e">
            <v>#REF!</v>
          </cell>
          <cell r="M180" t="e">
            <v>#REF!</v>
          </cell>
          <cell r="N180" t="e">
            <v>#REF!</v>
          </cell>
        </row>
        <row r="181">
          <cell r="C181" t="e">
            <v>#REF!</v>
          </cell>
          <cell r="D181" t="e">
            <v>#REF!</v>
          </cell>
          <cell r="E181" t="e">
            <v>#REF!</v>
          </cell>
          <cell r="F181" t="e">
            <v>#REF!</v>
          </cell>
          <cell r="G181" t="e">
            <v>#REF!</v>
          </cell>
          <cell r="H181" t="e">
            <v>#REF!</v>
          </cell>
          <cell r="I181" t="e">
            <v>#REF!</v>
          </cell>
          <cell r="J181" t="e">
            <v>#REF!</v>
          </cell>
          <cell r="K181" t="e">
            <v>#REF!</v>
          </cell>
          <cell r="L181" t="e">
            <v>#REF!</v>
          </cell>
          <cell r="M181" t="e">
            <v>#REF!</v>
          </cell>
          <cell r="N181" t="e">
            <v>#REF!</v>
          </cell>
        </row>
        <row r="182">
          <cell r="C182" t="e">
            <v>#REF!</v>
          </cell>
          <cell r="D182" t="e">
            <v>#REF!</v>
          </cell>
          <cell r="E182" t="e">
            <v>#REF!</v>
          </cell>
          <cell r="F182" t="e">
            <v>#REF!</v>
          </cell>
          <cell r="G182" t="e">
            <v>#REF!</v>
          </cell>
          <cell r="H182" t="e">
            <v>#REF!</v>
          </cell>
          <cell r="I182" t="e">
            <v>#REF!</v>
          </cell>
          <cell r="J182" t="e">
            <v>#REF!</v>
          </cell>
          <cell r="K182" t="e">
            <v>#REF!</v>
          </cell>
          <cell r="L182" t="e">
            <v>#REF!</v>
          </cell>
          <cell r="M182" t="e">
            <v>#REF!</v>
          </cell>
          <cell r="N182" t="e">
            <v>#REF!</v>
          </cell>
        </row>
        <row r="183">
          <cell r="C183" t="e">
            <v>#REF!</v>
          </cell>
          <cell r="D183" t="e">
            <v>#REF!</v>
          </cell>
          <cell r="E183" t="e">
            <v>#REF!</v>
          </cell>
          <cell r="F183" t="e">
            <v>#REF!</v>
          </cell>
          <cell r="G183" t="e">
            <v>#REF!</v>
          </cell>
          <cell r="H183" t="e">
            <v>#REF!</v>
          </cell>
          <cell r="I183" t="e">
            <v>#REF!</v>
          </cell>
          <cell r="J183" t="e">
            <v>#REF!</v>
          </cell>
          <cell r="K183" t="e">
            <v>#REF!</v>
          </cell>
          <cell r="L183" t="e">
            <v>#REF!</v>
          </cell>
          <cell r="M183" t="e">
            <v>#REF!</v>
          </cell>
          <cell r="N183" t="e">
            <v>#REF!</v>
          </cell>
        </row>
        <row r="184">
          <cell r="C184" t="e">
            <v>#REF!</v>
          </cell>
          <cell r="D184" t="e">
            <v>#REF!</v>
          </cell>
          <cell r="E184" t="e">
            <v>#REF!</v>
          </cell>
          <cell r="F184" t="e">
            <v>#REF!</v>
          </cell>
          <cell r="G184" t="e">
            <v>#REF!</v>
          </cell>
          <cell r="H184" t="e">
            <v>#REF!</v>
          </cell>
          <cell r="I184" t="e">
            <v>#REF!</v>
          </cell>
          <cell r="J184" t="e">
            <v>#REF!</v>
          </cell>
          <cell r="K184" t="e">
            <v>#REF!</v>
          </cell>
          <cell r="L184" t="e">
            <v>#REF!</v>
          </cell>
          <cell r="M184" t="e">
            <v>#REF!</v>
          </cell>
          <cell r="N184" t="e">
            <v>#REF!</v>
          </cell>
        </row>
        <row r="185">
          <cell r="C185" t="e">
            <v>#REF!</v>
          </cell>
          <cell r="D185" t="e">
            <v>#REF!</v>
          </cell>
          <cell r="E185" t="e">
            <v>#REF!</v>
          </cell>
          <cell r="F185" t="e">
            <v>#REF!</v>
          </cell>
          <cell r="G185" t="e">
            <v>#REF!</v>
          </cell>
          <cell r="H185" t="e">
            <v>#REF!</v>
          </cell>
          <cell r="I185" t="e">
            <v>#REF!</v>
          </cell>
          <cell r="J185" t="e">
            <v>#REF!</v>
          </cell>
          <cell r="K185" t="e">
            <v>#REF!</v>
          </cell>
          <cell r="L185" t="e">
            <v>#REF!</v>
          </cell>
          <cell r="M185" t="e">
            <v>#REF!</v>
          </cell>
          <cell r="N185" t="e">
            <v>#REF!</v>
          </cell>
        </row>
        <row r="186">
          <cell r="C186" t="e">
            <v>#REF!</v>
          </cell>
          <cell r="D186" t="e">
            <v>#REF!</v>
          </cell>
          <cell r="E186" t="e">
            <v>#REF!</v>
          </cell>
          <cell r="F186" t="e">
            <v>#REF!</v>
          </cell>
          <cell r="G186" t="e">
            <v>#REF!</v>
          </cell>
          <cell r="H186" t="e">
            <v>#REF!</v>
          </cell>
          <cell r="I186" t="e">
            <v>#REF!</v>
          </cell>
          <cell r="J186" t="e">
            <v>#REF!</v>
          </cell>
          <cell r="K186" t="e">
            <v>#REF!</v>
          </cell>
          <cell r="L186" t="e">
            <v>#REF!</v>
          </cell>
          <cell r="M186" t="e">
            <v>#REF!</v>
          </cell>
          <cell r="N186" t="e">
            <v>#REF!</v>
          </cell>
        </row>
        <row r="187">
          <cell r="C187" t="e">
            <v>#REF!</v>
          </cell>
          <cell r="D187" t="e">
            <v>#REF!</v>
          </cell>
          <cell r="E187" t="e">
            <v>#REF!</v>
          </cell>
          <cell r="F187" t="e">
            <v>#REF!</v>
          </cell>
          <cell r="G187" t="e">
            <v>#REF!</v>
          </cell>
          <cell r="H187" t="e">
            <v>#REF!</v>
          </cell>
          <cell r="I187" t="e">
            <v>#REF!</v>
          </cell>
          <cell r="J187" t="e">
            <v>#REF!</v>
          </cell>
          <cell r="K187" t="e">
            <v>#REF!</v>
          </cell>
          <cell r="L187" t="e">
            <v>#REF!</v>
          </cell>
          <cell r="M187" t="e">
            <v>#REF!</v>
          </cell>
          <cell r="N187" t="e">
            <v>#REF!</v>
          </cell>
        </row>
        <row r="188">
          <cell r="C188" t="e">
            <v>#REF!</v>
          </cell>
          <cell r="D188" t="e">
            <v>#REF!</v>
          </cell>
          <cell r="E188" t="e">
            <v>#REF!</v>
          </cell>
          <cell r="F188" t="e">
            <v>#REF!</v>
          </cell>
          <cell r="G188" t="e">
            <v>#REF!</v>
          </cell>
          <cell r="H188" t="e">
            <v>#REF!</v>
          </cell>
          <cell r="I188" t="e">
            <v>#REF!</v>
          </cell>
          <cell r="J188" t="e">
            <v>#REF!</v>
          </cell>
          <cell r="K188" t="e">
            <v>#REF!</v>
          </cell>
          <cell r="L188" t="e">
            <v>#REF!</v>
          </cell>
          <cell r="M188" t="e">
            <v>#REF!</v>
          </cell>
          <cell r="N188" t="e">
            <v>#REF!</v>
          </cell>
        </row>
        <row r="189">
          <cell r="C189" t="e">
            <v>#REF!</v>
          </cell>
          <cell r="D189" t="e">
            <v>#REF!</v>
          </cell>
          <cell r="E189" t="e">
            <v>#REF!</v>
          </cell>
          <cell r="F189" t="e">
            <v>#REF!</v>
          </cell>
          <cell r="G189" t="e">
            <v>#REF!</v>
          </cell>
          <cell r="H189" t="e">
            <v>#REF!</v>
          </cell>
          <cell r="I189" t="e">
            <v>#REF!</v>
          </cell>
          <cell r="J189" t="e">
            <v>#REF!</v>
          </cell>
          <cell r="K189" t="e">
            <v>#REF!</v>
          </cell>
          <cell r="L189" t="e">
            <v>#REF!</v>
          </cell>
          <cell r="M189" t="e">
            <v>#REF!</v>
          </cell>
          <cell r="N189" t="e">
            <v>#REF!</v>
          </cell>
        </row>
      </sheetData>
      <sheetData sheetId="21" refreshError="1"/>
      <sheetData sheetId="22" refreshError="1"/>
      <sheetData sheetId="2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 val="3-4현"/>
      <sheetName val="SALE"/>
      <sheetName val="제품분류코드"/>
      <sheetName val="Sheet2"/>
      <sheetName val="basic_info"/>
      <sheetName val="계수원본(99.2.28)"/>
      <sheetName val="제품(수출)매출"/>
      <sheetName val="상품보조수불"/>
      <sheetName val="제조원가계산서 (2)"/>
      <sheetName val="제품입고(생산)"/>
      <sheetName val="IN"/>
      <sheetName val="1999년"/>
    </sheetNames>
    <sheetDataSet>
      <sheetData sheetId="0" refreshError="1">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각률표"/>
      <sheetName val="기계장치현황"/>
      <sheetName val="기계장치(법인)"/>
      <sheetName val="유형고정자산"/>
      <sheetName val="회사정보"/>
      <sheetName val="기본사항"/>
    </sheetNames>
    <sheetDataSet>
      <sheetData sheetId="0" refreshError="1">
        <row r="1">
          <cell r="A1" t="str">
            <v>내용년수</v>
          </cell>
          <cell r="B1" t="str">
            <v>정액법</v>
          </cell>
          <cell r="C1" t="str">
            <v>정률10</v>
          </cell>
          <cell r="D1" t="str">
            <v>정률5</v>
          </cell>
        </row>
        <row r="2">
          <cell r="A2">
            <v>2</v>
          </cell>
          <cell r="B2">
            <v>0.5</v>
          </cell>
          <cell r="C2">
            <v>0.68400000000000005</v>
          </cell>
          <cell r="D2">
            <v>0.77700000000000002</v>
          </cell>
        </row>
        <row r="3">
          <cell r="A3">
            <v>3</v>
          </cell>
          <cell r="B3">
            <v>0.33300000000000002</v>
          </cell>
          <cell r="C3">
            <v>0.53600000000000003</v>
          </cell>
          <cell r="D3">
            <v>0.63200000000000001</v>
          </cell>
        </row>
        <row r="4">
          <cell r="A4">
            <v>4</v>
          </cell>
          <cell r="B4">
            <v>0.25</v>
          </cell>
          <cell r="C4">
            <v>0.438</v>
          </cell>
          <cell r="D4">
            <v>0.52800000000000002</v>
          </cell>
        </row>
        <row r="5">
          <cell r="A5">
            <v>5</v>
          </cell>
          <cell r="B5">
            <v>0.2</v>
          </cell>
          <cell r="C5">
            <v>0.36899999999999999</v>
          </cell>
          <cell r="D5">
            <v>0.45100000000000001</v>
          </cell>
        </row>
        <row r="6">
          <cell r="A6">
            <v>6</v>
          </cell>
          <cell r="B6">
            <v>0.16600000000000001</v>
          </cell>
          <cell r="C6">
            <v>0.31900000000000001</v>
          </cell>
          <cell r="D6">
            <v>0.39400000000000002</v>
          </cell>
        </row>
        <row r="7">
          <cell r="A7">
            <v>7</v>
          </cell>
          <cell r="B7">
            <v>0.14199999999999999</v>
          </cell>
          <cell r="C7">
            <v>0.28000000000000003</v>
          </cell>
          <cell r="D7">
            <v>0.34899999999999998</v>
          </cell>
        </row>
        <row r="8">
          <cell r="A8">
            <v>8</v>
          </cell>
          <cell r="B8">
            <v>0.125</v>
          </cell>
          <cell r="C8">
            <v>0.25</v>
          </cell>
          <cell r="D8">
            <v>0.313</v>
          </cell>
        </row>
        <row r="9">
          <cell r="A9">
            <v>9</v>
          </cell>
          <cell r="B9">
            <v>0.111</v>
          </cell>
          <cell r="C9">
            <v>0.22600000000000001</v>
          </cell>
          <cell r="D9">
            <v>0.28399999999999997</v>
          </cell>
        </row>
        <row r="10">
          <cell r="A10">
            <v>10</v>
          </cell>
          <cell r="B10">
            <v>0.1</v>
          </cell>
          <cell r="C10">
            <v>0.20599999999999999</v>
          </cell>
          <cell r="D10">
            <v>0.25900000000000001</v>
          </cell>
        </row>
        <row r="11">
          <cell r="A11">
            <v>11</v>
          </cell>
          <cell r="B11">
            <v>0.09</v>
          </cell>
          <cell r="C11">
            <v>0.189</v>
          </cell>
          <cell r="D11">
            <v>0.23899999999999999</v>
          </cell>
        </row>
        <row r="12">
          <cell r="A12">
            <v>12</v>
          </cell>
          <cell r="B12">
            <v>8.3000000000000004E-2</v>
          </cell>
          <cell r="C12">
            <v>0.17499999999999999</v>
          </cell>
          <cell r="D12">
            <v>0.221</v>
          </cell>
        </row>
        <row r="13">
          <cell r="A13">
            <v>13</v>
          </cell>
          <cell r="B13">
            <v>7.5999999999999998E-2</v>
          </cell>
          <cell r="C13">
            <v>0.16200000000000001</v>
          </cell>
          <cell r="D13">
            <v>0.20599999999999999</v>
          </cell>
        </row>
        <row r="14">
          <cell r="A14">
            <v>14</v>
          </cell>
          <cell r="B14">
            <v>7.0999999999999994E-2</v>
          </cell>
          <cell r="C14">
            <v>0.152</v>
          </cell>
          <cell r="D14">
            <v>0.193</v>
          </cell>
        </row>
        <row r="15">
          <cell r="A15">
            <v>15</v>
          </cell>
          <cell r="B15">
            <v>6.6000000000000003E-2</v>
          </cell>
          <cell r="C15">
            <v>0.14199999999999999</v>
          </cell>
          <cell r="D15">
            <v>0.182</v>
          </cell>
        </row>
        <row r="16">
          <cell r="A16">
            <v>16</v>
          </cell>
          <cell r="B16">
            <v>6.2E-2</v>
          </cell>
          <cell r="C16">
            <v>0.13400000000000001</v>
          </cell>
          <cell r="D16">
            <v>0.17100000000000001</v>
          </cell>
        </row>
        <row r="17">
          <cell r="A17">
            <v>17</v>
          </cell>
          <cell r="B17">
            <v>5.8000000000000003E-2</v>
          </cell>
          <cell r="C17">
            <v>0.127</v>
          </cell>
          <cell r="D17">
            <v>0.16200000000000001</v>
          </cell>
        </row>
        <row r="18">
          <cell r="A18">
            <v>18</v>
          </cell>
          <cell r="B18">
            <v>5.5E-2</v>
          </cell>
          <cell r="C18">
            <v>0.12</v>
          </cell>
          <cell r="D18">
            <v>0.154</v>
          </cell>
        </row>
        <row r="19">
          <cell r="A19">
            <v>19</v>
          </cell>
          <cell r="B19">
            <v>5.1999999999999998E-2</v>
          </cell>
          <cell r="C19">
            <v>0.114</v>
          </cell>
          <cell r="D19">
            <v>0.14599999999999999</v>
          </cell>
        </row>
        <row r="20">
          <cell r="A20">
            <v>20</v>
          </cell>
          <cell r="B20">
            <v>0.05</v>
          </cell>
          <cell r="C20">
            <v>0.109</v>
          </cell>
          <cell r="D20">
            <v>0.14000000000000001</v>
          </cell>
        </row>
        <row r="21">
          <cell r="A21">
            <v>21</v>
          </cell>
          <cell r="B21">
            <v>4.8000000000000001E-2</v>
          </cell>
          <cell r="C21">
            <v>0.104</v>
          </cell>
          <cell r="D21">
            <v>0.13300000000000001</v>
          </cell>
        </row>
        <row r="22">
          <cell r="A22">
            <v>22</v>
          </cell>
          <cell r="B22">
            <v>4.5999999999999999E-2</v>
          </cell>
          <cell r="C22">
            <v>9.9000000000000005E-2</v>
          </cell>
          <cell r="D22">
            <v>0.128</v>
          </cell>
        </row>
        <row r="23">
          <cell r="A23">
            <v>23</v>
          </cell>
          <cell r="B23">
            <v>4.3999999999999997E-2</v>
          </cell>
          <cell r="C23">
            <v>9.5000000000000001E-2</v>
          </cell>
          <cell r="D23">
            <v>0.123</v>
          </cell>
        </row>
        <row r="24">
          <cell r="A24">
            <v>24</v>
          </cell>
          <cell r="B24">
            <v>4.2000000000000003E-2</v>
          </cell>
          <cell r="C24">
            <v>9.1999999999999998E-2</v>
          </cell>
          <cell r="D24">
            <v>0.11799999999999999</v>
          </cell>
        </row>
        <row r="25">
          <cell r="A25">
            <v>25</v>
          </cell>
          <cell r="B25">
            <v>0.04</v>
          </cell>
          <cell r="C25">
            <v>8.7999999999999995E-2</v>
          </cell>
          <cell r="D25">
            <v>0.113</v>
          </cell>
        </row>
        <row r="26">
          <cell r="A26">
            <v>26</v>
          </cell>
          <cell r="B26">
            <v>3.9E-2</v>
          </cell>
          <cell r="C26">
            <v>8.5000000000000006E-2</v>
          </cell>
          <cell r="D26">
            <v>0.109</v>
          </cell>
        </row>
        <row r="27">
          <cell r="A27">
            <v>27</v>
          </cell>
          <cell r="B27">
            <v>3.6999999999999998E-2</v>
          </cell>
          <cell r="C27">
            <v>8.2000000000000003E-2</v>
          </cell>
          <cell r="D27">
            <v>0.106</v>
          </cell>
        </row>
        <row r="28">
          <cell r="A28">
            <v>28</v>
          </cell>
          <cell r="B28">
            <v>3.5999999999999997E-2</v>
          </cell>
          <cell r="C28">
            <v>0.79</v>
          </cell>
          <cell r="D28">
            <v>0.10199999999999999</v>
          </cell>
        </row>
        <row r="29">
          <cell r="A29">
            <v>29</v>
          </cell>
          <cell r="B29">
            <v>3.5000000000000003E-2</v>
          </cell>
          <cell r="C29">
            <v>7.5999999999999998E-2</v>
          </cell>
          <cell r="D29">
            <v>0.99</v>
          </cell>
        </row>
        <row r="30">
          <cell r="A30">
            <v>30</v>
          </cell>
          <cell r="B30">
            <v>3.4000000000000002E-2</v>
          </cell>
          <cell r="C30">
            <v>7.3999999999999996E-2</v>
          </cell>
          <cell r="D30">
            <v>9.6000000000000002E-2</v>
          </cell>
        </row>
        <row r="31">
          <cell r="A31">
            <v>31</v>
          </cell>
          <cell r="B31">
            <v>3.3000000000000002E-2</v>
          </cell>
          <cell r="C31">
            <v>7.1999999999999995E-2</v>
          </cell>
          <cell r="D31">
            <v>9.2999999999999999E-2</v>
          </cell>
        </row>
        <row r="32">
          <cell r="A32">
            <v>32</v>
          </cell>
          <cell r="B32">
            <v>3.2000000000000001E-2</v>
          </cell>
          <cell r="C32">
            <v>6.9000000000000006E-2</v>
          </cell>
          <cell r="D32">
            <v>0.09</v>
          </cell>
        </row>
        <row r="33">
          <cell r="A33">
            <v>33</v>
          </cell>
          <cell r="B33">
            <v>3.1E-2</v>
          </cell>
          <cell r="C33">
            <v>6.7000000000000004E-2</v>
          </cell>
          <cell r="D33">
            <v>8.6999999999999994E-2</v>
          </cell>
        </row>
        <row r="34">
          <cell r="A34">
            <v>34</v>
          </cell>
          <cell r="B34">
            <v>0.03</v>
          </cell>
          <cell r="C34">
            <v>6.6000000000000003E-2</v>
          </cell>
          <cell r="D34">
            <v>8.5000000000000006E-2</v>
          </cell>
        </row>
        <row r="35">
          <cell r="A35">
            <v>35</v>
          </cell>
          <cell r="B35">
            <v>2.9000000000000001E-2</v>
          </cell>
          <cell r="C35">
            <v>6.4000000000000001E-2</v>
          </cell>
          <cell r="D35">
            <v>8.3000000000000004E-2</v>
          </cell>
        </row>
        <row r="36">
          <cell r="A36">
            <v>36</v>
          </cell>
          <cell r="B36">
            <v>2.8000000000000001E-2</v>
          </cell>
          <cell r="C36">
            <v>6.2E-2</v>
          </cell>
          <cell r="D36">
            <v>0.08</v>
          </cell>
        </row>
        <row r="37">
          <cell r="A37">
            <v>37</v>
          </cell>
          <cell r="B37">
            <v>2.7E-2</v>
          </cell>
          <cell r="C37">
            <v>0.06</v>
          </cell>
          <cell r="D37">
            <v>7.8E-2</v>
          </cell>
        </row>
        <row r="38">
          <cell r="A38">
            <v>38</v>
          </cell>
          <cell r="B38">
            <v>2.7E-2</v>
          </cell>
          <cell r="C38">
            <v>5.8999999999999997E-2</v>
          </cell>
          <cell r="D38">
            <v>7.5999999999999998E-2</v>
          </cell>
        </row>
        <row r="39">
          <cell r="A39">
            <v>39</v>
          </cell>
          <cell r="B39">
            <v>2.5999999999999999E-2</v>
          </cell>
          <cell r="C39">
            <v>5.7000000000000002E-2</v>
          </cell>
          <cell r="D39">
            <v>7.3999999999999996E-2</v>
          </cell>
        </row>
        <row r="40">
          <cell r="A40">
            <v>40</v>
          </cell>
          <cell r="B40">
            <v>2.5000000000000001E-2</v>
          </cell>
          <cell r="C40">
            <v>5.6000000000000001E-2</v>
          </cell>
          <cell r="D40">
            <v>7.2999999999999995E-2</v>
          </cell>
        </row>
        <row r="41">
          <cell r="A41">
            <v>41</v>
          </cell>
          <cell r="B41">
            <v>2.5000000000000001E-2</v>
          </cell>
          <cell r="C41">
            <v>5.5E-2</v>
          </cell>
          <cell r="D41">
            <v>7.0999999999999994E-2</v>
          </cell>
        </row>
        <row r="42">
          <cell r="A42">
            <v>42</v>
          </cell>
          <cell r="B42">
            <v>2.4E-2</v>
          </cell>
          <cell r="C42">
            <v>5.2999999999999999E-2</v>
          </cell>
          <cell r="D42">
            <v>6.9000000000000006E-2</v>
          </cell>
        </row>
        <row r="43">
          <cell r="A43">
            <v>43</v>
          </cell>
          <cell r="B43">
            <v>2.4E-2</v>
          </cell>
          <cell r="C43">
            <v>5.1999999999999998E-2</v>
          </cell>
          <cell r="D43">
            <v>6.8000000000000005E-2</v>
          </cell>
        </row>
        <row r="44">
          <cell r="A44">
            <v>44</v>
          </cell>
          <cell r="B44">
            <v>2.3E-2</v>
          </cell>
          <cell r="C44">
            <v>5.0999999999999997E-2</v>
          </cell>
          <cell r="D44">
            <v>6.6000000000000003E-2</v>
          </cell>
        </row>
        <row r="45">
          <cell r="A45">
            <v>45</v>
          </cell>
          <cell r="B45">
            <v>2.3E-2</v>
          </cell>
          <cell r="C45">
            <v>0.05</v>
          </cell>
          <cell r="D45">
            <v>6.5000000000000002E-2</v>
          </cell>
        </row>
        <row r="46">
          <cell r="A46">
            <v>46</v>
          </cell>
          <cell r="B46">
            <v>2.1999999999999999E-2</v>
          </cell>
          <cell r="C46">
            <v>4.9000000000000002E-2</v>
          </cell>
          <cell r="D46">
            <v>6.4000000000000001E-2</v>
          </cell>
        </row>
        <row r="47">
          <cell r="A47">
            <v>47</v>
          </cell>
          <cell r="B47">
            <v>2.1999999999999999E-2</v>
          </cell>
          <cell r="C47">
            <v>4.8000000000000001E-2</v>
          </cell>
          <cell r="D47">
            <v>6.2E-2</v>
          </cell>
        </row>
        <row r="48">
          <cell r="A48">
            <v>48</v>
          </cell>
          <cell r="B48">
            <v>2.1000000000000001E-2</v>
          </cell>
          <cell r="C48">
            <v>4.7E-2</v>
          </cell>
          <cell r="D48">
            <v>6.0999999999999999E-2</v>
          </cell>
        </row>
        <row r="49">
          <cell r="A49">
            <v>49</v>
          </cell>
          <cell r="B49">
            <v>2.1000000000000001E-2</v>
          </cell>
          <cell r="C49">
            <v>4.5999999999999999E-2</v>
          </cell>
          <cell r="D49">
            <v>0.06</v>
          </cell>
        </row>
        <row r="50">
          <cell r="A50">
            <v>50</v>
          </cell>
          <cell r="B50">
            <v>0.02</v>
          </cell>
          <cell r="C50">
            <v>4.4999999999999998E-2</v>
          </cell>
          <cell r="D50">
            <v>5.8999999999999997E-2</v>
          </cell>
        </row>
        <row r="51">
          <cell r="A51">
            <v>51</v>
          </cell>
          <cell r="B51">
            <v>0.02</v>
          </cell>
          <cell r="C51">
            <v>4.3999999999999997E-2</v>
          </cell>
          <cell r="D51">
            <v>5.8000000000000003E-2</v>
          </cell>
        </row>
        <row r="52">
          <cell r="A52">
            <v>52</v>
          </cell>
          <cell r="B52">
            <v>0.02</v>
          </cell>
          <cell r="C52">
            <v>4.2999999999999997E-2</v>
          </cell>
          <cell r="D52">
            <v>5.6000000000000001E-2</v>
          </cell>
        </row>
        <row r="53">
          <cell r="A53">
            <v>53</v>
          </cell>
          <cell r="B53">
            <v>1.9E-2</v>
          </cell>
          <cell r="C53">
            <v>4.2999999999999997E-2</v>
          </cell>
          <cell r="D53">
            <v>5.5E-2</v>
          </cell>
        </row>
        <row r="54">
          <cell r="A54">
            <v>54</v>
          </cell>
          <cell r="B54">
            <v>1.9E-2</v>
          </cell>
          <cell r="C54">
            <v>4.2000000000000003E-2</v>
          </cell>
          <cell r="D54">
            <v>5.3999999999999999E-2</v>
          </cell>
        </row>
        <row r="55">
          <cell r="A55">
            <v>55</v>
          </cell>
          <cell r="B55">
            <v>1.9E-2</v>
          </cell>
          <cell r="C55">
            <v>4.1000000000000002E-2</v>
          </cell>
          <cell r="D55">
            <v>5.3999999999999999E-2</v>
          </cell>
        </row>
        <row r="56">
          <cell r="A56">
            <v>56</v>
          </cell>
          <cell r="B56">
            <v>1.7999999999999999E-2</v>
          </cell>
          <cell r="C56">
            <v>0.04</v>
          </cell>
          <cell r="D56">
            <v>5.2999999999999999E-2</v>
          </cell>
        </row>
        <row r="57">
          <cell r="A57">
            <v>57</v>
          </cell>
          <cell r="B57">
            <v>1.7999999999999999E-2</v>
          </cell>
          <cell r="C57">
            <v>0.04</v>
          </cell>
          <cell r="D57">
            <v>5.1999999999999998E-2</v>
          </cell>
        </row>
        <row r="58">
          <cell r="A58">
            <v>58</v>
          </cell>
          <cell r="B58">
            <v>1.7999999999999999E-2</v>
          </cell>
          <cell r="C58">
            <v>3.9E-2</v>
          </cell>
          <cell r="D58">
            <v>5.0999999999999997E-2</v>
          </cell>
        </row>
        <row r="59">
          <cell r="A59">
            <v>59</v>
          </cell>
          <cell r="B59">
            <v>1.7000000000000001E-2</v>
          </cell>
          <cell r="C59">
            <v>3.7999999999999999E-2</v>
          </cell>
          <cell r="D59">
            <v>0.05</v>
          </cell>
        </row>
        <row r="60">
          <cell r="A60">
            <v>60</v>
          </cell>
          <cell r="B60">
            <v>1.7000000000000001E-2</v>
          </cell>
          <cell r="C60">
            <v>3.7999999999999999E-2</v>
          </cell>
          <cell r="D60">
            <v>4.9000000000000002E-2</v>
          </cell>
        </row>
      </sheetData>
      <sheetData sheetId="1" refreshError="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2500"/>
      <sheetName val="2600"/>
      <sheetName val="3100"/>
      <sheetName val="3150"/>
      <sheetName val="3160"/>
      <sheetName val="3250"/>
      <sheetName val="3300"/>
      <sheetName val="3400"/>
      <sheetName val="3530"/>
      <sheetName val="3700"/>
      <sheetName val="3800"/>
    </sheetNames>
    <sheetDataSet>
      <sheetData sheetId="0" refreshError="1"/>
      <sheetData sheetId="1">
        <row r="5">
          <cell r="B5">
            <v>40543</v>
          </cell>
        </row>
        <row r="7">
          <cell r="B7" t="str">
            <v>이찬호/박홍규</v>
          </cell>
        </row>
        <row r="8">
          <cell r="B8">
            <v>40599</v>
          </cell>
        </row>
        <row r="10">
          <cell r="B10" t="str">
            <v>푸른김포주식회사</v>
          </cell>
        </row>
        <row r="17">
          <cell r="B17">
            <v>40599</v>
          </cell>
        </row>
        <row r="27">
          <cell r="B27" t="str">
            <v>강기창</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금"/>
      <sheetName val="선급금"/>
      <sheetName val="종업원"/>
      <sheetName val="임차보증"/>
      <sheetName val="외상매입"/>
      <sheetName val="외화외상"/>
      <sheetName val="선수금"/>
    </sheetNames>
    <sheetDataSet>
      <sheetData sheetId="0" refreshError="1"/>
      <sheetData sheetId="1">
        <row r="7">
          <cell r="E7" t="str">
            <v>선급금</v>
          </cell>
        </row>
        <row r="8">
          <cell r="A8" t="str">
            <v>1.</v>
          </cell>
          <cell r="B8" t="str">
            <v>엘지에드</v>
          </cell>
          <cell r="C8" t="str">
            <v>121-020</v>
          </cell>
          <cell r="D8" t="str">
            <v>서울시 마포구 공덕동 275</v>
          </cell>
        </row>
        <row r="9">
          <cell r="A9" t="str">
            <v>2.</v>
          </cell>
          <cell r="B9" t="str">
            <v>SK텔레콤</v>
          </cell>
          <cell r="C9" t="str">
            <v>100-095</v>
          </cell>
          <cell r="D9" t="str">
            <v>서울시 중구 남대문5가 267</v>
          </cell>
        </row>
        <row r="10">
          <cell r="A10" t="str">
            <v>3.</v>
          </cell>
          <cell r="B10" t="str">
            <v>㈜한성직물</v>
          </cell>
          <cell r="C10" t="str">
            <v>137-070</v>
          </cell>
          <cell r="D10" t="str">
            <v>서울시 서초구 서초동 1443-10</v>
          </cell>
        </row>
        <row r="11">
          <cell r="A11" t="str">
            <v>4.</v>
          </cell>
          <cell r="B11" t="str">
            <v>경우</v>
          </cell>
          <cell r="C11" t="str">
            <v>425-110</v>
          </cell>
          <cell r="D11" t="str">
            <v>경기도 안산시 성곡동 611-10</v>
          </cell>
          <cell r="E11">
            <v>286544122</v>
          </cell>
        </row>
        <row r="12">
          <cell r="A12" t="str">
            <v>5.</v>
          </cell>
          <cell r="B12" t="str">
            <v>CLK통상</v>
          </cell>
          <cell r="C12" t="str">
            <v>135-778</v>
          </cell>
          <cell r="D12" t="str">
            <v>서울시 강남구 대치동 은마APT 12-804호</v>
          </cell>
          <cell r="E12">
            <v>157734965</v>
          </cell>
        </row>
        <row r="13">
          <cell r="A13" t="str">
            <v>6.</v>
          </cell>
          <cell r="B13" t="str">
            <v>오상돈 상무이사</v>
          </cell>
        </row>
        <row r="14">
          <cell r="A14" t="str">
            <v>7.</v>
          </cell>
          <cell r="B14" t="str">
            <v>심규섭 전무이사</v>
          </cell>
        </row>
        <row r="15">
          <cell r="A15" t="str">
            <v>8.</v>
          </cell>
          <cell r="B15" t="str">
            <v>기산금고</v>
          </cell>
          <cell r="C15" t="str">
            <v>135-091</v>
          </cell>
          <cell r="D15" t="str">
            <v>서울시 강남구 삼성동 78</v>
          </cell>
        </row>
        <row r="16">
          <cell r="A16" t="str">
            <v>9.</v>
          </cell>
          <cell r="B16" t="str">
            <v>㈜에넥스</v>
          </cell>
          <cell r="C16" t="str">
            <v>135-080</v>
          </cell>
          <cell r="D16" t="str">
            <v>서울시 강남구 역삼동 809-10</v>
          </cell>
        </row>
        <row r="17">
          <cell r="A17" t="str">
            <v>10.</v>
          </cell>
          <cell r="B17" t="str">
            <v>성진피혁</v>
          </cell>
          <cell r="C17" t="str">
            <v>425-100</v>
          </cell>
          <cell r="D17" t="str">
            <v>경기도 안산시 목내동 403-1</v>
          </cell>
        </row>
        <row r="18">
          <cell r="A18" t="str">
            <v>11.</v>
          </cell>
          <cell r="B18" t="str">
            <v>신양피혁</v>
          </cell>
          <cell r="C18" t="str">
            <v>425-110</v>
          </cell>
          <cell r="D18" t="str">
            <v>경기도 안산시 성곡동 605-1</v>
          </cell>
        </row>
        <row r="19">
          <cell r="A19" t="str">
            <v>12.</v>
          </cell>
          <cell r="B19" t="str">
            <v>신오</v>
          </cell>
          <cell r="C19" t="str">
            <v>425-090</v>
          </cell>
          <cell r="D19" t="str">
            <v>경기도 안산시 원시동 727</v>
          </cell>
        </row>
        <row r="20">
          <cell r="A20" t="str">
            <v>13.</v>
          </cell>
          <cell r="B20" t="str">
            <v>우영상사</v>
          </cell>
          <cell r="C20" t="str">
            <v>130-101</v>
          </cell>
          <cell r="D20" t="str">
            <v>서울시 동대문구 장안동 433-11</v>
          </cell>
        </row>
        <row r="21">
          <cell r="A21" t="str">
            <v>14.</v>
          </cell>
          <cell r="B21" t="str">
            <v>유풍양행</v>
          </cell>
          <cell r="C21" t="str">
            <v>133-121</v>
          </cell>
          <cell r="D21" t="str">
            <v>서울시 성동구 성수2가 315-69 홍일빌딩4층</v>
          </cell>
        </row>
        <row r="22">
          <cell r="A22" t="str">
            <v>15.</v>
          </cell>
          <cell r="B22" t="str">
            <v>삼일씨엔씨</v>
          </cell>
          <cell r="C22" t="str">
            <v>121-040</v>
          </cell>
          <cell r="D22" t="str">
            <v>서울시 마포구 도화동 22</v>
          </cell>
          <cell r="E22">
            <v>73000000</v>
          </cell>
        </row>
        <row r="23">
          <cell r="A23" t="str">
            <v>16.</v>
          </cell>
          <cell r="B23" t="str">
            <v>복고상사</v>
          </cell>
          <cell r="C23" t="str">
            <v>131-200</v>
          </cell>
          <cell r="D23" t="str">
            <v>서울시 중랑구 면목동 183-27</v>
          </cell>
          <cell r="E23">
            <v>17244000</v>
          </cell>
        </row>
        <row r="24">
          <cell r="A24" t="str">
            <v>17.</v>
          </cell>
          <cell r="B24" t="str">
            <v>엠씨코리아</v>
          </cell>
          <cell r="C24" t="str">
            <v>100-430</v>
          </cell>
          <cell r="D24" t="str">
            <v>서울시 중구 흥인동 3-4 우일타운 814호</v>
          </cell>
          <cell r="E24">
            <v>220000</v>
          </cell>
        </row>
        <row r="25">
          <cell r="A25" t="str">
            <v>18.</v>
          </cell>
          <cell r="B25" t="str">
            <v>우신관세사</v>
          </cell>
          <cell r="C25" t="str">
            <v>157-240</v>
          </cell>
          <cell r="D25" t="str">
            <v>서울시 강서구 공항동 60-173</v>
          </cell>
          <cell r="E25">
            <v>8975610</v>
          </cell>
        </row>
        <row r="26">
          <cell r="A26" t="str">
            <v>19.</v>
          </cell>
          <cell r="B26" t="str">
            <v>오진통상</v>
          </cell>
          <cell r="C26" t="str">
            <v>134-030</v>
          </cell>
          <cell r="D26" t="str">
            <v>서울시 강동구 성내동 444-2</v>
          </cell>
        </row>
        <row r="27">
          <cell r="A27" t="str">
            <v>20.</v>
          </cell>
          <cell r="B27" t="str">
            <v>제우섬유</v>
          </cell>
          <cell r="C27" t="str">
            <v>133-121</v>
          </cell>
          <cell r="D27" t="str">
            <v>서울시 성동구 성수2가 234-37</v>
          </cell>
        </row>
        <row r="28">
          <cell r="A28" t="str">
            <v>21.</v>
          </cell>
          <cell r="B28" t="str">
            <v>한성직물</v>
          </cell>
          <cell r="C28" t="str">
            <v>137-070</v>
          </cell>
          <cell r="D28" t="str">
            <v>서울시 서초구 서초동 1443-10</v>
          </cell>
        </row>
        <row r="29">
          <cell r="A29" t="str">
            <v>22.</v>
          </cell>
          <cell r="B29" t="str">
            <v>합동</v>
          </cell>
          <cell r="C29" t="str">
            <v>604-041</v>
          </cell>
          <cell r="D29" t="str">
            <v>부산광역시 사하구 장림동 1084-1</v>
          </cell>
        </row>
        <row r="30">
          <cell r="A30" t="str">
            <v>23.</v>
          </cell>
          <cell r="B30" t="str">
            <v>대양통상</v>
          </cell>
          <cell r="C30" t="str">
            <v>138-051</v>
          </cell>
          <cell r="D30" t="str">
            <v>서울시 송파구 방이동 193-24</v>
          </cell>
        </row>
        <row r="31">
          <cell r="A31" t="str">
            <v>24.</v>
          </cell>
          <cell r="B31" t="str">
            <v>천웅상사</v>
          </cell>
          <cell r="C31" t="str">
            <v>121-718</v>
          </cell>
          <cell r="D31" t="str">
            <v>서울시 마포구 공덕동 404 풍림 VIP텔 1524호</v>
          </cell>
        </row>
        <row r="38">
          <cell r="B38" t="str">
            <v>합계</v>
          </cell>
          <cell r="E38">
            <v>543718697</v>
          </cell>
          <cell r="F38">
            <v>0</v>
          </cell>
          <cell r="G38">
            <v>0</v>
          </cell>
          <cell r="H38">
            <v>0</v>
          </cell>
        </row>
        <row r="40">
          <cell r="B40" t="str">
            <v>98.9.30 잔액</v>
          </cell>
          <cell r="D40" t="str">
            <v>모집단총액</v>
          </cell>
          <cell r="E40">
            <v>1068624922</v>
          </cell>
        </row>
        <row r="41">
          <cell r="D41" t="str">
            <v>조회율</v>
          </cell>
        </row>
        <row r="42">
          <cell r="D42" t="str">
            <v>회신액</v>
          </cell>
        </row>
        <row r="43">
          <cell r="D43" t="str">
            <v>회신율</v>
          </cell>
        </row>
      </sheetData>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 val="계수원본(99.2.28)"/>
      <sheetName val="I一般比"/>
      <sheetName val="BM_NEW2"/>
      <sheetName val="외상매입금점별현황"/>
      <sheetName val="당월손익계산서★"/>
      <sheetName val="샤워실위생"/>
      <sheetName val="협조전"/>
      <sheetName val="매입계산서"/>
      <sheetName val="부분품"/>
      <sheetName val="생산부대통지서"/>
      <sheetName val="93상각비"/>
      <sheetName val="반도체"/>
      <sheetName val="H.P견적(참조)"/>
      <sheetName val="Ctrl"/>
      <sheetName val="회사정보"/>
      <sheetName val="LIST"/>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4A"/>
      <sheetName val="104A.XLS"/>
    </sheetNames>
    <definedNames>
      <definedName name="입출고삭제"/>
    </definedNames>
    <sheetDataSet>
      <sheetData sheetId="0" refreshError="1"/>
      <sheetData sheetId="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 val="자산가치"/>
      <sheetName val="계약10일.XLS"/>
    </sheetNames>
    <definedNames>
      <definedName name="don"/>
    </definedNames>
    <sheetDataSet>
      <sheetData sheetId="0" refreshError="1"/>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타법인주식"/>
      <sheetName val="35호"/>
      <sheetName val="39호"/>
      <sheetName val="48호"/>
      <sheetName val="51호"/>
      <sheetName val="54호(갑)"/>
      <sheetName val="54호(을)"/>
      <sheetName val="63호"/>
      <sheetName val="대차대조표"/>
      <sheetName val="SALE"/>
      <sheetName val="시산표"/>
      <sheetName val="원가"/>
      <sheetName val="사업"/>
      <sheetName val="제품분류코드"/>
      <sheetName val="Sheet2"/>
      <sheetName val="basic_info"/>
      <sheetName val="5월"/>
      <sheetName val="감가상각"/>
      <sheetName val="3-4현"/>
      <sheetName val="계수원본(99.2.28)"/>
      <sheetName val="제품(수출)매출"/>
      <sheetName val="상품보조수불"/>
      <sheetName val="제조원가계산서 (2)"/>
      <sheetName val="제품입고(생산)"/>
      <sheetName val="IN"/>
      <sheetName val="1999년"/>
    </sheetNames>
    <sheetDataSet>
      <sheetData sheetId="0" refreshError="1">
        <row r="6">
          <cell r="C6" t="str">
            <v>성진기계㈜</v>
          </cell>
        </row>
        <row r="8">
          <cell r="C8" t="str">
            <v>610-81-08943</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색인"/>
      <sheetName val="기본"/>
      <sheetName val="수정"/>
      <sheetName val="제조원가"/>
      <sheetName val="주석 (2)"/>
      <sheetName val="중요성"/>
      <sheetName val="대차"/>
      <sheetName val="손익"/>
      <sheetName val="잉여금"/>
      <sheetName val="현금흐름표"/>
      <sheetName val="법인세"/>
      <sheetName val="현금과예금"/>
      <sheetName val="현금"/>
      <sheetName val="유가증권"/>
      <sheetName val="매출채권"/>
      <sheetName val="매출"/>
      <sheetName val="VAT대조"/>
      <sheetName val="투자"/>
      <sheetName val="차입금"/>
      <sheetName val="자본"/>
      <sheetName val="어음수불"/>
      <sheetName val="미회수어음"/>
      <sheetName val="판관비"/>
      <sheetName val="영업외손익"/>
      <sheetName val="외환익"/>
      <sheetName val="외환손"/>
      <sheetName val="이자비용"/>
      <sheetName val="이자수익"/>
      <sheetName val="법인세등"/>
      <sheetName val="Sheet1"/>
      <sheetName val="기타당좌 (2)"/>
      <sheetName val="재고 (2)"/>
      <sheetName val="재고2 (2)"/>
      <sheetName val="재고3"/>
      <sheetName val="재고명세"/>
      <sheetName val="상품"/>
      <sheetName val="제품"/>
      <sheetName val="제품2"/>
      <sheetName val="반제품"/>
      <sheetName val="재공품"/>
      <sheetName val="원재료"/>
      <sheetName val="포장재"/>
      <sheetName val="매출원가 (2)"/>
      <sheetName val="매출명세"/>
      <sheetName val="유형 (2)"/>
      <sheetName val="토지"/>
      <sheetName val="상각"/>
      <sheetName val="매입채무 (2)"/>
      <sheetName val="매입"/>
      <sheetName val="특수"/>
      <sheetName val="외매입"/>
      <sheetName val="미지급"/>
      <sheetName val="기타유동 (2)"/>
      <sheetName val="퇴직급여 (2)"/>
      <sheetName val="급여 (2)"/>
      <sheetName val="급여2"/>
      <sheetName val="매출채권처분"/>
      <sheetName val="경영지표"/>
      <sheetName val="내부"/>
      <sheetName val="조정"/>
      <sheetName val="리앤리"/>
      <sheetName val="주석"/>
      <sheetName val="조회"/>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A4" t="str">
            <v>계정과목</v>
          </cell>
          <cell r="B4" t="str">
            <v>거래처</v>
          </cell>
        </row>
        <row r="5">
          <cell r="A5" t="str">
            <v>외화환산이익</v>
          </cell>
          <cell r="B5" t="str">
            <v>기업은행</v>
          </cell>
          <cell r="C5" t="str">
            <v>USD242740.02</v>
          </cell>
        </row>
        <row r="6">
          <cell r="C6" t="str">
            <v>JPY133533</v>
          </cell>
        </row>
        <row r="7">
          <cell r="C7" t="str">
            <v>EUR155992.91</v>
          </cell>
        </row>
        <row r="8">
          <cell r="C8" t="str">
            <v>HKD11078.42</v>
          </cell>
        </row>
        <row r="9">
          <cell r="B9" t="str">
            <v>하나은행</v>
          </cell>
          <cell r="C9" t="str">
            <v>USD1</v>
          </cell>
        </row>
        <row r="10">
          <cell r="B10" t="str">
            <v>매출채권</v>
          </cell>
          <cell r="C10" t="str">
            <v>USD6,547.84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
  <sheetViews>
    <sheetView workbookViewId="0"/>
  </sheetViews>
  <sheetFormatPr defaultRowHeight="17"/>
  <cols>
    <col min="1" max="1" width="46.25" customWidth="1"/>
    <col min="2" max="2" width="18.6640625" bestFit="1" customWidth="1"/>
    <col min="3" max="3" width="26" bestFit="1" customWidth="1"/>
  </cols>
  <sheetData>
    <row r="1" spans="1:3">
      <c r="A1" s="1" t="s">
        <v>134</v>
      </c>
    </row>
    <row r="3" spans="1:3">
      <c r="A3" s="6" t="s">
        <v>107</v>
      </c>
      <c r="B3" s="6" t="s">
        <v>108</v>
      </c>
      <c r="C3" s="6" t="s">
        <v>109</v>
      </c>
    </row>
    <row r="4" spans="1:3">
      <c r="A4" s="2" t="s">
        <v>110</v>
      </c>
      <c r="B4" s="4" t="s">
        <v>111</v>
      </c>
      <c r="C4" s="4" t="s">
        <v>112</v>
      </c>
    </row>
    <row r="5" spans="1:3">
      <c r="A5" s="2" t="s">
        <v>113</v>
      </c>
      <c r="B5" s="5">
        <v>43101</v>
      </c>
      <c r="C5" s="3"/>
    </row>
    <row r="6" spans="1:3">
      <c r="A6" s="2" t="s">
        <v>114</v>
      </c>
      <c r="B6" s="5">
        <v>43465</v>
      </c>
      <c r="C6" s="3"/>
    </row>
    <row r="7" spans="1:3">
      <c r="A7" s="2" t="s">
        <v>122</v>
      </c>
      <c r="B7" s="4" t="s">
        <v>123</v>
      </c>
      <c r="C7" s="4" t="s">
        <v>124</v>
      </c>
    </row>
    <row r="8" spans="1:3">
      <c r="A8" s="2" t="s">
        <v>115</v>
      </c>
      <c r="B8" s="5">
        <v>43342</v>
      </c>
      <c r="C8" s="3"/>
    </row>
    <row r="9" spans="1:3">
      <c r="A9" s="2" t="s">
        <v>116</v>
      </c>
      <c r="B9" s="4" t="s">
        <v>117</v>
      </c>
      <c r="C9" s="4" t="s">
        <v>118</v>
      </c>
    </row>
    <row r="10" spans="1:3">
      <c r="A10" s="2" t="s">
        <v>119</v>
      </c>
      <c r="B10" s="5">
        <v>43101</v>
      </c>
      <c r="C10" s="3"/>
    </row>
    <row r="11" spans="1:3">
      <c r="A11" s="2" t="s">
        <v>120</v>
      </c>
      <c r="B11" s="5">
        <v>43465</v>
      </c>
      <c r="C11" s="3"/>
    </row>
    <row r="12" spans="1:3">
      <c r="A12" s="2" t="s">
        <v>126</v>
      </c>
      <c r="B12" s="4">
        <v>400</v>
      </c>
      <c r="C12" s="3"/>
    </row>
    <row r="13" spans="1:3">
      <c r="A13" s="2" t="s">
        <v>127</v>
      </c>
      <c r="B13" s="4">
        <v>5</v>
      </c>
      <c r="C13" s="3"/>
    </row>
    <row r="14" spans="1:3">
      <c r="A14" s="2" t="s">
        <v>121</v>
      </c>
      <c r="B14" s="5">
        <v>43524</v>
      </c>
      <c r="C14" s="3"/>
    </row>
    <row r="16" spans="1:3">
      <c r="A16" s="7" t="s">
        <v>135</v>
      </c>
    </row>
  </sheetData>
  <phoneticPr fontId="3" type="noConversion"/>
  <pageMargins left="0.70866141732283472" right="0.70866141732283472" top="0.74803149606299213" bottom="0.74803149606299213" header="0.31496062992125984" footer="0.31496062992125984"/>
  <pageSetup paperSize="9" scale="8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6:F223"/>
  <sheetViews>
    <sheetView tabSelected="1" view="pageBreakPreview" zoomScaleNormal="100" zoomScaleSheetLayoutView="100" workbookViewId="0">
      <selection activeCell="A127" sqref="A127:B128"/>
    </sheetView>
  </sheetViews>
  <sheetFormatPr defaultColWidth="9" defaultRowHeight="15"/>
  <cols>
    <col min="1" max="1" width="34.4140625" style="9" customWidth="1"/>
    <col min="2" max="2" width="15.33203125" style="9" customWidth="1"/>
    <col min="3" max="3" width="19.75" style="9" customWidth="1"/>
    <col min="4" max="4" width="19.08203125" style="9" customWidth="1"/>
    <col min="5" max="5" width="3" style="9" customWidth="1"/>
    <col min="6" max="16384" width="9" style="9"/>
  </cols>
  <sheetData>
    <row r="6" spans="1:5">
      <c r="A6" s="156" t="s">
        <v>171</v>
      </c>
      <c r="B6" s="156"/>
      <c r="C6" s="156"/>
      <c r="D6" s="156"/>
      <c r="E6" s="35"/>
    </row>
    <row r="8" spans="1:5" ht="20.149999999999999" customHeight="1">
      <c r="A8" s="8" t="s">
        <v>104</v>
      </c>
      <c r="B8" s="157" t="str">
        <f>기본입력사항!B4</f>
        <v>ABC주식회사</v>
      </c>
      <c r="C8" s="158"/>
      <c r="D8" s="159"/>
    </row>
    <row r="9" spans="1:5" ht="20.149999999999999" customHeight="1">
      <c r="A9" s="10" t="s">
        <v>128</v>
      </c>
      <c r="B9" s="160" t="str">
        <f>TEXT(기본입력사항!B5,"yyyy년 m월 d일")&amp;"부터 "&amp;TEXT(기본입력사항!B6,"yyyy년 m월 d일")&amp;"까지"</f>
        <v>2018년 1월 1일부터 2018년 12월 31일까지</v>
      </c>
      <c r="C9" s="161"/>
      <c r="D9" s="162"/>
    </row>
    <row r="10" spans="1:5" ht="20.149999999999999" customHeight="1"/>
    <row r="11" spans="1:5" ht="20.149999999999999" customHeight="1"/>
    <row r="12" spans="1:5" ht="20.149999999999999" customHeight="1">
      <c r="A12" s="11" t="str">
        <f>기본입력사항!B7</f>
        <v>XX회계법인</v>
      </c>
      <c r="B12" s="9" t="s">
        <v>106</v>
      </c>
    </row>
    <row r="13" spans="1:5" ht="20.149999999999999" customHeight="1">
      <c r="D13" s="12">
        <f>기본입력사항!B8</f>
        <v>43342</v>
      </c>
    </row>
    <row r="14" spans="1:5" ht="20.149999999999999" customHeight="1">
      <c r="A14" s="142" t="s">
        <v>91</v>
      </c>
      <c r="B14" s="142"/>
      <c r="C14" s="142"/>
      <c r="D14" s="142"/>
    </row>
    <row r="15" spans="1:5" ht="20.149999999999999" customHeight="1">
      <c r="A15" s="14"/>
      <c r="B15" s="15"/>
      <c r="C15" s="15"/>
      <c r="D15" s="15"/>
    </row>
    <row r="16" spans="1:5" ht="60" customHeight="1">
      <c r="A16" s="101" t="str">
        <f>"당 법인은 "&amp;B8&amp;"와 그 종속기업 (이하 ‘그룹’)의  "&amp;TEXT(기본입력사항!B6,"yyyy년 m월 d일")&amp;"로 종료되는 회계연도의 별도재무제표 및 연결재무제표에 대한 회계감사를 수행하고 있습니다."</f>
        <v>당 법인은 ABC주식회사와 그 종속기업 (이하 ‘그룹’)의  2018년 12월 31일로 종료되는 회계연도의 별도재무제표 및 연결재무제표에 대한 회계감사를 수행하고 있습니다.</v>
      </c>
      <c r="B16" s="101"/>
      <c r="C16" s="101"/>
      <c r="D16" s="101"/>
    </row>
    <row r="17" spans="1:4" ht="100" customHeight="1">
      <c r="A17" s="101" t="s">
        <v>140</v>
      </c>
      <c r="B17" s="101"/>
      <c r="C17" s="101"/>
      <c r="D17" s="101"/>
    </row>
    <row r="18" spans="1:4" ht="80.150000000000006" customHeight="1">
      <c r="A18" s="101" t="str">
        <f>TEXT(기본입력사항!B6,"yyyy년 m월 d일")&amp;"로 종료하는 회계연도에 대한 지배기업과 그 종속기업에 대한 연결재무제표 감사를 위한 "&amp;YEAR(기본입력사항!B6)&amp;"회계연도 그룹감사지침서를 첨부하였습니다. 그룹감사지침서 내의 모든 사항과 요청자료 양식을 숙독하시기 바라며, 첨부된 제출기한을 준수하여 당 법인이 요청한 사항을 제출해 주시기 바랍니다."</f>
        <v>2018년 12월 31일로 종료하는 회계연도에 대한 지배기업과 그 종속기업에 대한 연결재무제표 감사를 위한 2018회계연도 그룹감사지침서를 첨부하였습니다. 그룹감사지침서 내의 모든 사항과 요청자료 양식을 숙독하시기 바라며, 첨부된 제출기한을 준수하여 당 법인이 요청한 사항을 제출해 주시기 바랍니다.</v>
      </c>
      <c r="B18" s="101"/>
      <c r="C18" s="101"/>
      <c r="D18" s="101"/>
    </row>
    <row r="19" spans="1:4" ht="20.149999999999999" customHeight="1">
      <c r="A19" s="14"/>
      <c r="B19" s="15"/>
      <c r="C19" s="15"/>
      <c r="D19" s="15"/>
    </row>
    <row r="20" spans="1:4" ht="20.149999999999999" customHeight="1">
      <c r="A20" s="165" t="s">
        <v>90</v>
      </c>
      <c r="B20" s="165"/>
      <c r="C20" s="165"/>
      <c r="D20" s="165"/>
    </row>
    <row r="21" spans="1:4" ht="20.149999999999999" customHeight="1">
      <c r="A21" s="16" t="s">
        <v>89</v>
      </c>
      <c r="B21" s="16" t="s">
        <v>88</v>
      </c>
      <c r="C21" s="16" t="s">
        <v>87</v>
      </c>
      <c r="D21" s="16" t="s">
        <v>86</v>
      </c>
    </row>
    <row r="22" spans="1:4" ht="20.149999999999999" customHeight="1">
      <c r="A22" s="17"/>
      <c r="B22" s="18"/>
      <c r="C22" s="18"/>
      <c r="D22" s="18"/>
    </row>
    <row r="23" spans="1:4" ht="20.149999999999999" customHeight="1">
      <c r="A23" s="19"/>
      <c r="B23" s="20"/>
      <c r="C23" s="20"/>
      <c r="D23" s="20"/>
    </row>
    <row r="24" spans="1:4" ht="20.149999999999999" customHeight="1">
      <c r="A24" s="21" t="s">
        <v>40</v>
      </c>
      <c r="B24" s="166"/>
      <c r="C24" s="167"/>
      <c r="D24" s="168"/>
    </row>
    <row r="25" spans="1:4" ht="20.149999999999999" customHeight="1">
      <c r="A25" s="14"/>
      <c r="B25" s="15"/>
      <c r="C25" s="15"/>
      <c r="D25" s="15"/>
    </row>
    <row r="26" spans="1:4" ht="20.149999999999999" customHeight="1">
      <c r="A26" s="169" t="s">
        <v>85</v>
      </c>
      <c r="B26" s="169"/>
      <c r="C26" s="169"/>
      <c r="D26" s="169"/>
    </row>
    <row r="27" spans="1:4" ht="20.149999999999999" customHeight="1">
      <c r="A27" s="169" t="s">
        <v>84</v>
      </c>
      <c r="B27" s="169"/>
      <c r="C27" s="169"/>
      <c r="D27" s="169"/>
    </row>
    <row r="28" spans="1:4" ht="20.149999999999999" customHeight="1">
      <c r="A28" s="169" t="s">
        <v>83</v>
      </c>
      <c r="B28" s="169"/>
      <c r="C28" s="169"/>
      <c r="D28" s="169"/>
    </row>
    <row r="29" spans="1:4" ht="40" customHeight="1">
      <c r="A29" s="170" t="s">
        <v>82</v>
      </c>
      <c r="B29" s="170"/>
      <c r="C29" s="170"/>
      <c r="D29" s="170"/>
    </row>
    <row r="30" spans="1:4" ht="40" customHeight="1">
      <c r="A30" s="170" t="s">
        <v>81</v>
      </c>
      <c r="B30" s="170"/>
      <c r="C30" s="170"/>
      <c r="D30" s="170"/>
    </row>
    <row r="31" spans="1:4" ht="20.149999999999999" customHeight="1">
      <c r="A31" s="169" t="s">
        <v>80</v>
      </c>
      <c r="B31" s="169"/>
      <c r="C31" s="169"/>
      <c r="D31" s="169"/>
    </row>
    <row r="32" spans="1:4" ht="40" customHeight="1">
      <c r="A32" s="101" t="s">
        <v>92</v>
      </c>
      <c r="B32" s="101"/>
      <c r="C32" s="101"/>
      <c r="D32" s="101"/>
    </row>
    <row r="33" spans="1:4" ht="20.149999999999999" customHeight="1">
      <c r="A33" s="13"/>
      <c r="C33" s="163" t="s">
        <v>131</v>
      </c>
      <c r="D33" s="164"/>
    </row>
    <row r="34" spans="1:4" ht="20.149999999999999" customHeight="1">
      <c r="A34" s="13"/>
      <c r="C34" s="22" t="s">
        <v>138</v>
      </c>
      <c r="D34" s="23"/>
    </row>
    <row r="35" spans="1:4" ht="20.149999999999999" customHeight="1"/>
    <row r="36" spans="1:4" ht="20.149999999999999" customHeight="1">
      <c r="A36" s="105" t="s">
        <v>79</v>
      </c>
      <c r="B36" s="105"/>
      <c r="C36" s="105"/>
    </row>
    <row r="37" spans="1:4" ht="20.149999999999999" customHeight="1">
      <c r="A37" s="142" t="s">
        <v>78</v>
      </c>
      <c r="B37" s="142"/>
      <c r="C37" s="142"/>
    </row>
    <row r="38" spans="1:4" ht="20.149999999999999" customHeight="1">
      <c r="A38" s="13"/>
    </row>
    <row r="39" spans="1:4" ht="20.149999999999999" customHeight="1">
      <c r="A39" s="13" t="s">
        <v>77</v>
      </c>
    </row>
    <row r="40" spans="1:4" ht="40" customHeight="1">
      <c r="A40" s="25" t="s">
        <v>76</v>
      </c>
      <c r="B40" s="25" t="str">
        <f>기본입력사항!B4&amp;"와 그 종속기업"</f>
        <v>ABC주식회사와 그 종속기업</v>
      </c>
    </row>
    <row r="41" spans="1:4" ht="20.149999999999999" customHeight="1">
      <c r="A41" s="25" t="s">
        <v>75</v>
      </c>
      <c r="B41" s="26"/>
    </row>
    <row r="42" spans="1:4" ht="20.149999999999999" customHeight="1">
      <c r="A42" s="135" t="s">
        <v>74</v>
      </c>
      <c r="B42" s="146"/>
    </row>
    <row r="43" spans="1:4" ht="20.149999999999999" customHeight="1">
      <c r="A43" s="145"/>
      <c r="B43" s="147"/>
    </row>
    <row r="44" spans="1:4" ht="20.149999999999999" customHeight="1">
      <c r="A44" s="145"/>
      <c r="B44" s="147"/>
    </row>
    <row r="45" spans="1:4" ht="20.149999999999999" customHeight="1">
      <c r="A45" s="136"/>
      <c r="B45" s="148"/>
    </row>
    <row r="46" spans="1:4" ht="20.149999999999999" customHeight="1">
      <c r="A46" s="135" t="s">
        <v>73</v>
      </c>
      <c r="B46" s="146"/>
    </row>
    <row r="47" spans="1:4" ht="20.149999999999999" customHeight="1">
      <c r="A47" s="145"/>
      <c r="B47" s="147"/>
    </row>
    <row r="48" spans="1:4" ht="20.149999999999999" customHeight="1">
      <c r="A48" s="145"/>
      <c r="B48" s="147"/>
    </row>
    <row r="49" spans="1:3" ht="20.149999999999999" customHeight="1">
      <c r="A49" s="136"/>
      <c r="B49" s="148"/>
    </row>
    <row r="50" spans="1:3" ht="20.149999999999999" customHeight="1">
      <c r="A50" s="13"/>
    </row>
    <row r="51" spans="1:3" ht="20.149999999999999" customHeight="1">
      <c r="A51" s="13" t="s">
        <v>72</v>
      </c>
    </row>
    <row r="52" spans="1:3" ht="20.149999999999999" customHeight="1">
      <c r="A52" s="25" t="s">
        <v>71</v>
      </c>
      <c r="B52" s="149" t="str">
        <f>기본입력사항!B9</f>
        <v>가나다주식회사</v>
      </c>
      <c r="C52" s="150"/>
    </row>
    <row r="53" spans="1:3" ht="40" customHeight="1">
      <c r="A53" s="135" t="s">
        <v>70</v>
      </c>
      <c r="B53" s="81" t="s">
        <v>149</v>
      </c>
      <c r="C53" s="80"/>
    </row>
    <row r="54" spans="1:3" ht="40" customHeight="1">
      <c r="A54" s="145"/>
      <c r="B54" s="82" t="s">
        <v>145</v>
      </c>
      <c r="C54" s="78" t="s">
        <v>141</v>
      </c>
    </row>
    <row r="55" spans="1:3" ht="40" customHeight="1">
      <c r="A55" s="145"/>
      <c r="B55" s="82" t="s">
        <v>145</v>
      </c>
      <c r="C55" s="78" t="s">
        <v>142</v>
      </c>
    </row>
    <row r="56" spans="1:3" ht="40" customHeight="1">
      <c r="A56" s="145"/>
      <c r="B56" s="82" t="s">
        <v>145</v>
      </c>
      <c r="C56" s="78" t="s">
        <v>143</v>
      </c>
    </row>
    <row r="57" spans="1:3" ht="40" customHeight="1">
      <c r="A57" s="136"/>
      <c r="B57" s="83" t="s">
        <v>145</v>
      </c>
      <c r="C57" s="79" t="s">
        <v>144</v>
      </c>
    </row>
    <row r="58" spans="1:3" ht="40" customHeight="1">
      <c r="A58" s="154" t="s">
        <v>69</v>
      </c>
      <c r="B58" s="81" t="s">
        <v>145</v>
      </c>
      <c r="C58" s="80" t="s">
        <v>146</v>
      </c>
    </row>
    <row r="59" spans="1:3" ht="43" customHeight="1">
      <c r="A59" s="155"/>
      <c r="B59" s="83" t="s">
        <v>145</v>
      </c>
      <c r="C59" s="79" t="s">
        <v>144</v>
      </c>
    </row>
    <row r="60" spans="1:3" ht="40" customHeight="1">
      <c r="A60" s="25" t="s">
        <v>129</v>
      </c>
      <c r="B60" s="151" t="str">
        <f>TEXT(기본입력사항!B10,"yyyy년 m월 d일")&amp;"부터 "&amp;TEXT(기본입력사항!B11,"yyyy년 m월 d일")&amp;"까지"</f>
        <v>2018년 1월 1일부터 2018년 12월 31일까지</v>
      </c>
      <c r="C60" s="150"/>
    </row>
    <row r="61" spans="1:3" ht="20.149999999999999" customHeight="1">
      <c r="A61" s="25" t="s">
        <v>68</v>
      </c>
      <c r="B61" s="152" t="s">
        <v>67</v>
      </c>
      <c r="C61" s="153"/>
    </row>
    <row r="62" spans="1:3" ht="20.149999999999999" customHeight="1">
      <c r="A62" s="135" t="s">
        <v>66</v>
      </c>
      <c r="B62" s="81" t="s">
        <v>149</v>
      </c>
      <c r="C62" s="84"/>
    </row>
    <row r="63" spans="1:3" ht="32" customHeight="1">
      <c r="A63" s="145"/>
      <c r="B63" s="82" t="s">
        <v>145</v>
      </c>
      <c r="C63" s="76" t="s">
        <v>147</v>
      </c>
    </row>
    <row r="64" spans="1:3" ht="32" customHeight="1">
      <c r="A64" s="145"/>
      <c r="B64" s="82" t="s">
        <v>145</v>
      </c>
      <c r="C64" s="76" t="s">
        <v>148</v>
      </c>
    </row>
    <row r="65" spans="1:6" ht="20.149999999999999" customHeight="1">
      <c r="A65" s="136"/>
      <c r="B65" s="83" t="s">
        <v>145</v>
      </c>
      <c r="C65" s="77" t="s">
        <v>155</v>
      </c>
    </row>
    <row r="66" spans="1:6" ht="20.149999999999999" customHeight="1">
      <c r="A66" s="135" t="s">
        <v>125</v>
      </c>
      <c r="B66" s="25" t="s">
        <v>65</v>
      </c>
      <c r="C66" s="27"/>
    </row>
    <row r="67" spans="1:6" ht="60" customHeight="1">
      <c r="A67" s="136"/>
      <c r="B67" s="25" t="s">
        <v>64</v>
      </c>
      <c r="C67" s="27"/>
    </row>
    <row r="68" spans="1:6" ht="20.149999999999999" customHeight="1">
      <c r="A68" s="25" t="s">
        <v>105</v>
      </c>
      <c r="B68" s="28">
        <f>기본입력사항!B14</f>
        <v>43524</v>
      </c>
      <c r="C68" s="29"/>
    </row>
    <row r="69" spans="1:6" ht="20.149999999999999" customHeight="1">
      <c r="A69" s="13"/>
    </row>
    <row r="70" spans="1:6" ht="20.149999999999999" customHeight="1">
      <c r="A70" s="13" t="s">
        <v>63</v>
      </c>
    </row>
    <row r="71" spans="1:6" ht="40" customHeight="1">
      <c r="A71" s="137" t="s">
        <v>62</v>
      </c>
      <c r="B71" s="137"/>
      <c r="C71" s="137"/>
      <c r="D71" s="30"/>
      <c r="E71" s="30"/>
      <c r="F71" s="30"/>
    </row>
    <row r="72" spans="1:6" ht="20.149999999999999" customHeight="1">
      <c r="A72" s="16" t="s">
        <v>61</v>
      </c>
      <c r="B72" s="16" t="s">
        <v>60</v>
      </c>
      <c r="C72" s="16" t="s">
        <v>59</v>
      </c>
    </row>
    <row r="73" spans="1:6" ht="40" customHeight="1">
      <c r="A73" s="21" t="s">
        <v>50</v>
      </c>
      <c r="B73" s="16" t="s">
        <v>58</v>
      </c>
      <c r="C73" s="16" t="s">
        <v>57</v>
      </c>
    </row>
    <row r="74" spans="1:6" ht="40" customHeight="1">
      <c r="A74" s="21" t="s">
        <v>38</v>
      </c>
      <c r="B74" s="31" t="s">
        <v>49</v>
      </c>
      <c r="C74" s="16" t="s">
        <v>56</v>
      </c>
    </row>
    <row r="75" spans="1:6" ht="20.149999999999999" customHeight="1">
      <c r="A75" s="25" t="s">
        <v>130</v>
      </c>
      <c r="B75" s="31" t="s">
        <v>49</v>
      </c>
      <c r="C75" s="16" t="s">
        <v>55</v>
      </c>
    </row>
    <row r="76" spans="1:6" ht="40" customHeight="1">
      <c r="A76" s="25" t="s">
        <v>54</v>
      </c>
      <c r="B76" s="31" t="s">
        <v>49</v>
      </c>
      <c r="C76" s="16" t="s">
        <v>53</v>
      </c>
    </row>
    <row r="77" spans="1:6" ht="40" customHeight="1">
      <c r="A77" s="32" t="str">
        <f>TEXT(B68,"yyyy년 m월 d일")&amp;"까지의 후속사건에 대한 검토(*3)"</f>
        <v>2019년 2월 28일까지의 후속사건에 대한 검토(*3)</v>
      </c>
      <c r="B77" s="31" t="s">
        <v>49</v>
      </c>
      <c r="C77" s="16" t="s">
        <v>52</v>
      </c>
    </row>
    <row r="78" spans="1:6" ht="20.149999999999999" customHeight="1">
      <c r="A78" s="13"/>
    </row>
    <row r="79" spans="1:6" ht="20.149999999999999" customHeight="1">
      <c r="A79" s="33" t="s">
        <v>137</v>
      </c>
      <c r="B79" s="34"/>
      <c r="C79" s="34"/>
    </row>
    <row r="80" spans="1:6" ht="40" customHeight="1">
      <c r="A80" s="138" t="s">
        <v>98</v>
      </c>
      <c r="B80" s="138"/>
      <c r="C80" s="138"/>
      <c r="D80" s="35"/>
      <c r="E80" s="35"/>
      <c r="F80" s="35"/>
    </row>
    <row r="81" spans="1:6" ht="20.149999999999999" customHeight="1">
      <c r="A81" s="139" t="s">
        <v>93</v>
      </c>
      <c r="B81" s="139"/>
      <c r="C81" s="139"/>
    </row>
    <row r="82" spans="1:6" ht="20.149999999999999" customHeight="1">
      <c r="A82" s="139" t="s">
        <v>94</v>
      </c>
      <c r="B82" s="139"/>
      <c r="C82" s="139"/>
    </row>
    <row r="83" spans="1:6" ht="40" customHeight="1">
      <c r="A83" s="138" t="s">
        <v>99</v>
      </c>
      <c r="B83" s="138"/>
      <c r="C83" s="138"/>
      <c r="D83" s="35"/>
      <c r="E83" s="35"/>
      <c r="F83" s="35"/>
    </row>
    <row r="84" spans="1:6" ht="20.149999999999999" customHeight="1">
      <c r="A84" s="139" t="s">
        <v>95</v>
      </c>
      <c r="B84" s="139"/>
      <c r="C84" s="139"/>
    </row>
    <row r="85" spans="1:6" ht="40" customHeight="1">
      <c r="A85" s="139" t="s">
        <v>96</v>
      </c>
      <c r="B85" s="139"/>
      <c r="C85" s="139"/>
    </row>
    <row r="86" spans="1:6" ht="40" customHeight="1">
      <c r="A86" s="143" t="s">
        <v>97</v>
      </c>
      <c r="B86" s="143"/>
      <c r="C86" s="143"/>
    </row>
    <row r="87" spans="1:6" ht="20.149999999999999" customHeight="1">
      <c r="A87" s="140" t="s">
        <v>100</v>
      </c>
      <c r="B87" s="140"/>
      <c r="C87" s="140"/>
    </row>
    <row r="88" spans="1:6" ht="20.149999999999999" customHeight="1"/>
    <row r="89" spans="1:6" ht="20.149999999999999" customHeight="1"/>
    <row r="90" spans="1:6" ht="20.149999999999999" customHeight="1"/>
    <row r="91" spans="1:6" ht="20.149999999999999" customHeight="1">
      <c r="A91" s="36" t="s">
        <v>51</v>
      </c>
    </row>
    <row r="92" spans="1:6" ht="20.149999999999999" customHeight="1">
      <c r="A92" s="100" t="s">
        <v>50</v>
      </c>
      <c r="B92" s="100"/>
      <c r="C92" s="100"/>
      <c r="D92" s="100"/>
    </row>
    <row r="93" spans="1:6" ht="20.149999999999999" customHeight="1">
      <c r="A93" s="13"/>
    </row>
    <row r="94" spans="1:6" ht="20.149999999999999" customHeight="1">
      <c r="A94" s="37" t="s">
        <v>132</v>
      </c>
    </row>
    <row r="95" spans="1:6" ht="20.149999999999999" customHeight="1">
      <c r="A95" s="38"/>
      <c r="B95" s="38"/>
      <c r="C95" s="144" t="s">
        <v>49</v>
      </c>
      <c r="D95" s="144"/>
    </row>
    <row r="96" spans="1:6" ht="80.150000000000006" customHeight="1">
      <c r="A96" s="101" t="str">
        <f>"본 서한은 "&amp;기본입력사항!B4&amp;"와 그 종속기업(이하 ‘그룹’)의 "&amp;TEXT(기본입력사항!B6,"yyyy년 m월 d일")&amp;"로 종료된 보고기간의 연결재무제표가 "&amp;TEXT(기본입력사항!B6,"yyyy년 m월 d일")&amp;" 현재의 연결실체의 재무상태와 동일로 종료된 보고기간의 재무성과 및 현금흐름을 그룹감사지침서에 따라 중요성의 관점에서 적정하게 표시하고 있는지에 대한 의견표명을 위해 귀 감사인이 수행하고 있는 지배기업의 연결재무제표에 대한 감사와 관련하여 제공하는 것입니다."</f>
        <v>본 서한은 ABC주식회사와 그 종속기업(이하 ‘그룹’)의 2018년 12월 31일로 종료된 보고기간의 연결재무제표가 2018년 12월 31일 현재의 연결실체의 재무상태와 동일로 종료된 보고기간의 재무성과 및 현금흐름을 그룹감사지침서에 따라 중요성의 관점에서 적정하게 표시하고 있는지에 대한 의견표명을 위해 귀 감사인이 수행하고 있는 지배기업의 연결재무제표에 대한 감사와 관련하여 제공하는 것입니다.</v>
      </c>
      <c r="B96" s="101"/>
      <c r="C96" s="101"/>
      <c r="D96" s="101"/>
      <c r="E96" s="30"/>
      <c r="F96" s="30"/>
    </row>
    <row r="97" spans="1:6" ht="40" customHeight="1">
      <c r="A97" s="141" t="str">
        <f>"우리는 "&amp;TEXT(기본입력사항!B11,"yyyy년 m월 d일")&amp;"로 종료된 보고기간의 "&amp;기본입력사항!B9&amp;"의 재무정보에 대하여 기술된 업무를 수행하여 주도록 요청한 귀 감사인의 "&amp;YEAR(D13)&amp;"년 "&amp;MONTH(D13)&amp;"월 "&amp;DAY(D13)&amp;"일자 지침서를 수령하였음을 확인합니다."</f>
        <v>우리는 2018년 12월 31일로 종료된 보고기간의 가나다주식회사의 재무정보에 대하여 기술된 업무를 수행하여 주도록 요청한 귀 감사인의 2018년 8월 30일자 지침서를 수령하였음을 확인합니다.</v>
      </c>
      <c r="B97" s="141"/>
      <c r="C97" s="141"/>
      <c r="D97" s="141"/>
      <c r="E97" s="30"/>
      <c r="F97" s="30"/>
    </row>
    <row r="98" spans="1:6" ht="20.149999999999999" customHeight="1">
      <c r="A98" s="39"/>
      <c r="B98" s="39"/>
      <c r="C98" s="39"/>
      <c r="D98" s="39"/>
      <c r="E98" s="30"/>
      <c r="F98" s="30"/>
    </row>
    <row r="99" spans="1:6" ht="20.149999999999999" customHeight="1">
      <c r="A99" s="142" t="s">
        <v>48</v>
      </c>
      <c r="B99" s="142"/>
      <c r="C99" s="142"/>
      <c r="D99" s="142"/>
    </row>
    <row r="100" spans="1:6" ht="40" customHeight="1">
      <c r="A100" s="130" t="s">
        <v>47</v>
      </c>
      <c r="B100" s="130"/>
      <c r="C100" s="130"/>
      <c r="D100" s="130"/>
    </row>
    <row r="101" spans="1:6" ht="40" customHeight="1">
      <c r="A101" s="134" t="str">
        <f>"2. "&amp;기본입력사항!B9&amp;"의 재무정보는 그룹의 연결재무제표에 포함될 것임을 알고 있습니다."</f>
        <v>2. 가나다주식회사의 재무정보는 그룹의 연결재무제표에 포함될 것임을 알고 있습니다.</v>
      </c>
      <c r="B101" s="134"/>
      <c r="C101" s="134"/>
      <c r="D101" s="134"/>
    </row>
    <row r="102" spans="1:6" ht="40" customHeight="1">
      <c r="A102" s="130" t="s">
        <v>46</v>
      </c>
      <c r="B102" s="130"/>
      <c r="C102" s="130"/>
      <c r="D102" s="130"/>
    </row>
    <row r="103" spans="1:6" ht="40" customHeight="1">
      <c r="A103" s="130" t="s">
        <v>45</v>
      </c>
      <c r="B103" s="130"/>
      <c r="C103" s="130"/>
      <c r="D103" s="130"/>
    </row>
    <row r="104" spans="1:6" ht="40" customHeight="1">
      <c r="A104" s="130" t="s">
        <v>44</v>
      </c>
      <c r="B104" s="130"/>
      <c r="C104" s="130"/>
      <c r="D104" s="130"/>
    </row>
    <row r="105" spans="1:6" ht="60" customHeight="1">
      <c r="A105" s="130" t="s">
        <v>43</v>
      </c>
      <c r="B105" s="130"/>
      <c r="C105" s="130"/>
      <c r="D105" s="130"/>
    </row>
    <row r="106" spans="1:6" ht="40" customHeight="1">
      <c r="A106" s="130" t="s">
        <v>42</v>
      </c>
      <c r="B106" s="130"/>
      <c r="C106" s="130"/>
      <c r="D106" s="130"/>
    </row>
    <row r="107" spans="1:6" ht="40" customHeight="1">
      <c r="A107" s="130" t="s">
        <v>41</v>
      </c>
      <c r="B107" s="130"/>
      <c r="C107" s="130"/>
      <c r="D107" s="130"/>
    </row>
    <row r="108" spans="1:6" ht="40" customHeight="1">
      <c r="A108" s="110" t="str">
        <f>기본입력사항!B9&amp;"의재무정보에대한업무를수행하는동안상기진술에변동사항이발생하는경우우리는이를귀감사인에게통지할것입니다."</f>
        <v>가나다주식회사의재무정보에대한업무를수행하는동안상기진술에변동사항이발생하는경우우리는이를귀감사인에게통지할것입니다.</v>
      </c>
      <c r="B108" s="110"/>
      <c r="C108" s="110"/>
      <c r="D108" s="110"/>
      <c r="E108" s="30"/>
      <c r="F108" s="30"/>
    </row>
    <row r="109" spans="1:6" ht="20.149999999999999" customHeight="1">
      <c r="C109" s="131" t="str">
        <f>A12</f>
        <v>XX회계법인</v>
      </c>
      <c r="D109" s="132"/>
    </row>
    <row r="110" spans="1:6" ht="20.149999999999999" customHeight="1">
      <c r="C110" s="40" t="s">
        <v>40</v>
      </c>
      <c r="D110" s="41"/>
    </row>
    <row r="111" spans="1:6" ht="20.149999999999999" customHeight="1">
      <c r="C111" s="40" t="s">
        <v>1</v>
      </c>
      <c r="D111" s="41"/>
    </row>
    <row r="112" spans="1:6" ht="20.149999999999999" customHeight="1">
      <c r="C112" s="22" t="s">
        <v>0</v>
      </c>
      <c r="D112" s="42"/>
    </row>
    <row r="113" spans="1:4" ht="20.149999999999999" customHeight="1">
      <c r="C113" s="24"/>
      <c r="D113" s="24"/>
    </row>
    <row r="114" spans="1:4" ht="20.149999999999999" customHeight="1">
      <c r="C114" s="24"/>
      <c r="D114" s="24"/>
    </row>
    <row r="115" spans="1:4" ht="20.149999999999999" customHeight="1">
      <c r="A115" s="43" t="s">
        <v>39</v>
      </c>
    </row>
    <row r="116" spans="1:4" ht="20.149999999999999" customHeight="1">
      <c r="A116" s="100" t="s">
        <v>38</v>
      </c>
      <c r="B116" s="100"/>
      <c r="C116" s="100"/>
      <c r="D116" s="100"/>
    </row>
    <row r="117" spans="1:4" ht="20.149999999999999" customHeight="1">
      <c r="A117" s="14"/>
    </row>
    <row r="118" spans="1:4" ht="20.149999999999999" customHeight="1">
      <c r="A118" s="37" t="s">
        <v>133</v>
      </c>
      <c r="C118" s="133" t="s">
        <v>37</v>
      </c>
      <c r="D118" s="133"/>
    </row>
    <row r="119" spans="1:4" ht="20.149999999999999" customHeight="1">
      <c r="A119" s="44"/>
      <c r="C119" s="45"/>
      <c r="D119" s="45"/>
    </row>
    <row r="120" spans="1:4" ht="20.149999999999999" customHeight="1">
      <c r="A120" s="124" t="s">
        <v>36</v>
      </c>
      <c r="B120" s="125"/>
      <c r="C120" s="126" t="s">
        <v>35</v>
      </c>
      <c r="D120" s="127"/>
    </row>
    <row r="121" spans="1:4" ht="34" customHeight="1">
      <c r="A121" s="114" t="s">
        <v>34</v>
      </c>
      <c r="B121" s="115"/>
      <c r="C121" s="91" t="s">
        <v>152</v>
      </c>
      <c r="D121" s="85"/>
    </row>
    <row r="122" spans="1:4" ht="47.5" customHeight="1">
      <c r="A122" s="92" t="str">
        <f>"귀 법인은 "&amp;기본입력사항!B9&amp;"의 재무정보에 대하여 그룹감사지침서에 따라 감사를 수행하였음을 확인 부탁드립니다."</f>
        <v>귀 법인은 가나다주식회사의 재무정보에 대하여 그룹감사지침서에 따라 감사를 수행하였음을 확인 부탁드립니다.</v>
      </c>
      <c r="B122" s="93"/>
      <c r="C122" s="86" t="s">
        <v>145</v>
      </c>
      <c r="D122" s="87" t="s">
        <v>150</v>
      </c>
    </row>
    <row r="123" spans="1:4" ht="60" customHeight="1">
      <c r="A123" s="128"/>
      <c r="B123" s="129"/>
      <c r="C123" s="88" t="s">
        <v>145</v>
      </c>
      <c r="D123" s="89" t="s">
        <v>151</v>
      </c>
    </row>
    <row r="124" spans="1:4" ht="20.149999999999999" customHeight="1">
      <c r="A124" s="114" t="s">
        <v>33</v>
      </c>
      <c r="B124" s="115"/>
      <c r="C124" s="116"/>
      <c r="D124" s="117"/>
    </row>
    <row r="125" spans="1:4" ht="36.5" customHeight="1">
      <c r="A125" s="92" t="s">
        <v>32</v>
      </c>
      <c r="B125" s="93"/>
      <c r="C125" s="86" t="s">
        <v>145</v>
      </c>
      <c r="D125" s="87" t="s">
        <v>150</v>
      </c>
    </row>
    <row r="126" spans="1:4" ht="60" customHeight="1">
      <c r="A126" s="94"/>
      <c r="B126" s="95"/>
      <c r="C126" s="88" t="s">
        <v>145</v>
      </c>
      <c r="D126" s="89" t="s">
        <v>151</v>
      </c>
    </row>
    <row r="127" spans="1:4" ht="60" customHeight="1">
      <c r="A127" s="122" t="s">
        <v>31</v>
      </c>
      <c r="B127" s="123"/>
      <c r="C127" s="86" t="s">
        <v>145</v>
      </c>
      <c r="D127" s="90" t="s">
        <v>153</v>
      </c>
    </row>
    <row r="128" spans="1:4" ht="80.150000000000006" customHeight="1">
      <c r="A128" s="92"/>
      <c r="B128" s="93"/>
      <c r="C128" s="86" t="s">
        <v>145</v>
      </c>
      <c r="D128" s="90" t="s">
        <v>154</v>
      </c>
    </row>
    <row r="129" spans="1:4" ht="40" customHeight="1">
      <c r="A129" s="46" t="s">
        <v>101</v>
      </c>
      <c r="B129" s="47"/>
      <c r="C129" s="48"/>
      <c r="D129" s="49"/>
    </row>
    <row r="130" spans="1:4" ht="20.149999999999999" customHeight="1">
      <c r="A130" s="40" t="s">
        <v>30</v>
      </c>
      <c r="B130" s="50"/>
      <c r="C130" s="50"/>
      <c r="D130" s="51"/>
    </row>
    <row r="131" spans="1:4" ht="20.149999999999999" customHeight="1">
      <c r="A131" s="52" t="s">
        <v>29</v>
      </c>
      <c r="B131" s="53" t="s">
        <v>28</v>
      </c>
      <c r="C131" s="54" t="s">
        <v>27</v>
      </c>
      <c r="D131" s="55"/>
    </row>
    <row r="132" spans="1:4" ht="40" customHeight="1">
      <c r="A132" s="56">
        <v>1</v>
      </c>
      <c r="B132" s="57" t="s">
        <v>26</v>
      </c>
      <c r="C132" s="57" t="s">
        <v>25</v>
      </c>
      <c r="D132" s="58"/>
    </row>
    <row r="133" spans="1:4" ht="20.149999999999999" customHeight="1">
      <c r="A133" s="56">
        <v>2</v>
      </c>
      <c r="B133" s="59"/>
      <c r="C133" s="60"/>
      <c r="D133" s="61"/>
    </row>
    <row r="134" spans="1:4" ht="20.149999999999999" customHeight="1">
      <c r="A134" s="62">
        <v>3</v>
      </c>
      <c r="B134" s="63"/>
      <c r="C134" s="64"/>
      <c r="D134" s="61"/>
    </row>
    <row r="135" spans="1:4" ht="20.149999999999999" customHeight="1">
      <c r="A135" s="65"/>
      <c r="B135" s="66"/>
      <c r="C135" s="66"/>
      <c r="D135" s="67"/>
    </row>
    <row r="136" spans="1:4" ht="20.149999999999999" customHeight="1">
      <c r="A136" s="114" t="s">
        <v>24</v>
      </c>
      <c r="B136" s="115"/>
      <c r="C136" s="116"/>
      <c r="D136" s="117"/>
    </row>
    <row r="137" spans="1:4" ht="20.149999999999999" customHeight="1">
      <c r="A137" s="118" t="s">
        <v>23</v>
      </c>
      <c r="B137" s="119"/>
      <c r="C137" s="96" t="s">
        <v>156</v>
      </c>
      <c r="D137" s="97"/>
    </row>
    <row r="138" spans="1:4" ht="53" customHeight="1">
      <c r="A138" s="118"/>
      <c r="B138" s="119"/>
      <c r="C138" s="96" t="s">
        <v>157</v>
      </c>
      <c r="D138" s="97"/>
    </row>
    <row r="139" spans="1:4" ht="57.5" customHeight="1">
      <c r="A139" s="120"/>
      <c r="B139" s="121"/>
      <c r="C139" s="112" t="s">
        <v>158</v>
      </c>
      <c r="D139" s="113"/>
    </row>
    <row r="140" spans="1:4" ht="20.149999999999999" customHeight="1">
      <c r="A140" s="114" t="s">
        <v>22</v>
      </c>
      <c r="B140" s="115"/>
      <c r="C140" s="116"/>
      <c r="D140" s="117"/>
    </row>
    <row r="141" spans="1:4" ht="20.149999999999999" customHeight="1">
      <c r="A141" s="118" t="s">
        <v>21</v>
      </c>
      <c r="B141" s="119"/>
      <c r="C141" s="96" t="s">
        <v>156</v>
      </c>
      <c r="D141" s="97"/>
    </row>
    <row r="142" spans="1:4" ht="36" customHeight="1">
      <c r="A142" s="118"/>
      <c r="B142" s="119"/>
      <c r="C142" s="96" t="s">
        <v>159</v>
      </c>
      <c r="D142" s="97"/>
    </row>
    <row r="143" spans="1:4" ht="60" customHeight="1">
      <c r="A143" s="120"/>
      <c r="B143" s="121"/>
      <c r="C143" s="112" t="s">
        <v>158</v>
      </c>
      <c r="D143" s="113"/>
    </row>
    <row r="144" spans="1:4" ht="19.5" customHeight="1">
      <c r="A144" s="114" t="s">
        <v>20</v>
      </c>
      <c r="B144" s="115"/>
      <c r="C144" s="116"/>
      <c r="D144" s="117"/>
    </row>
    <row r="145" spans="1:4" ht="19.5" customHeight="1">
      <c r="A145" s="118" t="s">
        <v>19</v>
      </c>
      <c r="B145" s="119"/>
      <c r="C145" s="96" t="s">
        <v>156</v>
      </c>
      <c r="D145" s="97"/>
    </row>
    <row r="146" spans="1:4" ht="37" customHeight="1">
      <c r="A146" s="118"/>
      <c r="B146" s="119"/>
      <c r="C146" s="96" t="s">
        <v>160</v>
      </c>
      <c r="D146" s="97"/>
    </row>
    <row r="147" spans="1:4" ht="60" customHeight="1">
      <c r="A147" s="120"/>
      <c r="B147" s="121"/>
      <c r="C147" s="112" t="s">
        <v>158</v>
      </c>
      <c r="D147" s="113"/>
    </row>
    <row r="148" spans="1:4" ht="20.149999999999999" customHeight="1">
      <c r="A148" s="114" t="s">
        <v>18</v>
      </c>
      <c r="B148" s="115"/>
      <c r="C148" s="116"/>
      <c r="D148" s="117"/>
    </row>
    <row r="149" spans="1:4" ht="20.149999999999999" customHeight="1">
      <c r="A149" s="118" t="s">
        <v>17</v>
      </c>
      <c r="B149" s="119"/>
      <c r="C149" s="96" t="s">
        <v>156</v>
      </c>
      <c r="D149" s="97"/>
    </row>
    <row r="150" spans="1:4" ht="28.5" customHeight="1">
      <c r="A150" s="118"/>
      <c r="B150" s="119"/>
      <c r="C150" s="96" t="s">
        <v>161</v>
      </c>
      <c r="D150" s="97"/>
    </row>
    <row r="151" spans="1:4" ht="60" customHeight="1">
      <c r="A151" s="120"/>
      <c r="B151" s="121"/>
      <c r="C151" s="112" t="s">
        <v>158</v>
      </c>
      <c r="D151" s="113"/>
    </row>
    <row r="152" spans="1:4" ht="20.149999999999999" customHeight="1">
      <c r="A152" s="114" t="s">
        <v>16</v>
      </c>
      <c r="B152" s="115"/>
      <c r="C152" s="116"/>
      <c r="D152" s="117"/>
    </row>
    <row r="153" spans="1:4" ht="20.149999999999999" customHeight="1">
      <c r="A153" s="118" t="s">
        <v>15</v>
      </c>
      <c r="B153" s="119"/>
      <c r="C153" s="96" t="s">
        <v>156</v>
      </c>
      <c r="D153" s="97"/>
    </row>
    <row r="154" spans="1:4" ht="35.5" customHeight="1">
      <c r="A154" s="118"/>
      <c r="B154" s="119"/>
      <c r="C154" s="96" t="s">
        <v>162</v>
      </c>
      <c r="D154" s="97"/>
    </row>
    <row r="155" spans="1:4" ht="60" customHeight="1">
      <c r="A155" s="120"/>
      <c r="B155" s="121"/>
      <c r="C155" s="112" t="s">
        <v>158</v>
      </c>
      <c r="D155" s="113"/>
    </row>
    <row r="156" spans="1:4" ht="20.149999999999999" customHeight="1">
      <c r="A156" s="114" t="s">
        <v>14</v>
      </c>
      <c r="B156" s="115"/>
      <c r="C156" s="116"/>
      <c r="D156" s="117"/>
    </row>
    <row r="157" spans="1:4" ht="20.149999999999999" customHeight="1">
      <c r="A157" s="118" t="s">
        <v>13</v>
      </c>
      <c r="B157" s="119"/>
      <c r="C157" s="96" t="s">
        <v>156</v>
      </c>
      <c r="D157" s="97"/>
    </row>
    <row r="158" spans="1:4" ht="20.149999999999999" customHeight="1">
      <c r="A158" s="118"/>
      <c r="B158" s="119"/>
      <c r="C158" s="96" t="s">
        <v>163</v>
      </c>
      <c r="D158" s="97"/>
    </row>
    <row r="159" spans="1:4" ht="60" customHeight="1">
      <c r="A159" s="120"/>
      <c r="B159" s="121"/>
      <c r="C159" s="112" t="s">
        <v>158</v>
      </c>
      <c r="D159" s="113"/>
    </row>
    <row r="160" spans="1:4" ht="40" customHeight="1">
      <c r="A160" s="114" t="s">
        <v>12</v>
      </c>
      <c r="B160" s="115"/>
      <c r="C160" s="116"/>
      <c r="D160" s="117"/>
    </row>
    <row r="161" spans="1:4">
      <c r="A161" s="92" t="s">
        <v>11</v>
      </c>
      <c r="B161" s="93"/>
      <c r="C161" s="96" t="s">
        <v>164</v>
      </c>
      <c r="D161" s="97"/>
    </row>
    <row r="162" spans="1:4">
      <c r="A162" s="92"/>
      <c r="B162" s="93"/>
      <c r="C162" s="96" t="s">
        <v>165</v>
      </c>
      <c r="D162" s="97"/>
    </row>
    <row r="163" spans="1:4">
      <c r="A163" s="92"/>
      <c r="B163" s="93"/>
      <c r="C163" s="96" t="s">
        <v>166</v>
      </c>
      <c r="D163" s="97"/>
    </row>
    <row r="164" spans="1:4">
      <c r="A164" s="92"/>
      <c r="B164" s="93"/>
      <c r="C164" s="96" t="s">
        <v>167</v>
      </c>
      <c r="D164" s="97"/>
    </row>
    <row r="165" spans="1:4">
      <c r="A165" s="92"/>
      <c r="B165" s="93"/>
      <c r="C165" s="96" t="s">
        <v>166</v>
      </c>
      <c r="D165" s="97"/>
    </row>
    <row r="166" spans="1:4">
      <c r="A166" s="92"/>
      <c r="B166" s="93"/>
      <c r="C166" s="96" t="s">
        <v>168</v>
      </c>
      <c r="D166" s="97"/>
    </row>
    <row r="167" spans="1:4">
      <c r="A167" s="94"/>
      <c r="B167" s="95"/>
      <c r="C167" s="112" t="s">
        <v>158</v>
      </c>
      <c r="D167" s="113"/>
    </row>
    <row r="168" spans="1:4" ht="20.149999999999999" customHeight="1">
      <c r="A168" s="13"/>
    </row>
    <row r="169" spans="1:4" ht="20.149999999999999" customHeight="1">
      <c r="A169" s="13" t="s">
        <v>10</v>
      </c>
    </row>
    <row r="170" spans="1:4" ht="20.149999999999999" customHeight="1">
      <c r="B170" s="108" t="str">
        <f>A12</f>
        <v>XX회계법인</v>
      </c>
      <c r="C170" s="108"/>
      <c r="D170" s="108"/>
    </row>
    <row r="171" spans="1:4" ht="20.149999999999999" customHeight="1">
      <c r="B171" s="68" t="s">
        <v>2</v>
      </c>
      <c r="C171" s="103"/>
      <c r="D171" s="103"/>
    </row>
    <row r="172" spans="1:4" ht="20.149999999999999" customHeight="1">
      <c r="B172" s="24" t="s">
        <v>1</v>
      </c>
      <c r="C172" s="69"/>
      <c r="D172" s="70"/>
    </row>
    <row r="173" spans="1:4" ht="20.149999999999999" customHeight="1">
      <c r="B173" s="24" t="s">
        <v>0</v>
      </c>
      <c r="C173" s="69"/>
      <c r="D173" s="70"/>
    </row>
    <row r="174" spans="1:4" ht="20.149999999999999" customHeight="1">
      <c r="C174" s="24"/>
      <c r="D174" s="24"/>
    </row>
    <row r="175" spans="1:4" ht="20.149999999999999" customHeight="1">
      <c r="A175" s="43" t="s">
        <v>9</v>
      </c>
    </row>
    <row r="176" spans="1:4" ht="20.149999999999999" customHeight="1">
      <c r="A176" s="100" t="s">
        <v>8</v>
      </c>
      <c r="B176" s="100"/>
      <c r="C176" s="100"/>
      <c r="D176" s="100"/>
    </row>
    <row r="177" spans="1:6" ht="20.149999999999999" customHeight="1">
      <c r="A177" s="14"/>
    </row>
    <row r="178" spans="1:6" ht="40" customHeight="1">
      <c r="A178" s="109" t="s">
        <v>102</v>
      </c>
      <c r="B178" s="109"/>
      <c r="C178" s="109"/>
      <c r="D178" s="109"/>
    </row>
    <row r="179" spans="1:6" ht="20.149999999999999" customHeight="1">
      <c r="A179" s="71"/>
    </row>
    <row r="180" spans="1:6" ht="20.149999999999999" customHeight="1">
      <c r="A180" s="43" t="s">
        <v>7</v>
      </c>
    </row>
    <row r="181" spans="1:6" ht="20.149999999999999" customHeight="1">
      <c r="A181" s="14"/>
    </row>
    <row r="182" spans="1:6" ht="20.149999999999999" customHeight="1">
      <c r="A182" s="100" t="s">
        <v>103</v>
      </c>
      <c r="B182" s="100"/>
      <c r="C182" s="100"/>
      <c r="D182" s="100"/>
    </row>
    <row r="183" spans="1:6" ht="20.149999999999999" customHeight="1">
      <c r="A183" s="14"/>
    </row>
    <row r="184" spans="1:6" ht="80.150000000000006" customHeight="1">
      <c r="A184" s="101" t="str">
        <f>"우리는 "&amp;TEXT(기본입력사항!B11,"yyyy년 m월 d일")&amp;"로 종료되는 보고기간의 첨부된 "&amp;기본입력사항!B9&amp;"의 그룹보고패키지를 감사하였습니다. 이 그룹보고패키지를 작성할 책임은 회사 경영진에게 있으며, 우리의 책임은 동 그룹보고패키지에 포함된 재무정보에 대하여 감사를 실시하고, 이를 근거로 이 그룹보고패키지에 대하여 의견을 표명하는데 있습니다."</f>
        <v>우리는 2018년 12월 31일로 종료되는 보고기간의 첨부된 가나다주식회사의 그룹보고패키지를 감사하였습니다. 이 그룹보고패키지를 작성할 책임은 회사 경영진에게 있으며, 우리의 책임은 동 그룹보고패키지에 포함된 재무정보에 대하여 감사를 실시하고, 이를 근거로 이 그룹보고패키지에 대하여 의견을 표명하는데 있습니다.</v>
      </c>
      <c r="B184" s="101"/>
      <c r="C184" s="101"/>
      <c r="D184" s="101"/>
      <c r="E184" s="30"/>
      <c r="F184" s="30"/>
    </row>
    <row r="185" spans="1:6" ht="20.149999999999999" customHeight="1">
      <c r="A185" s="13"/>
    </row>
    <row r="186" spans="1:6" ht="140.15" customHeight="1">
      <c r="A186" s="110" t="s">
        <v>139</v>
      </c>
      <c r="B186" s="110"/>
      <c r="C186" s="110"/>
      <c r="D186" s="110"/>
      <c r="E186" s="30"/>
      <c r="F186" s="30"/>
    </row>
    <row r="187" spans="1:6" ht="20.149999999999999" customHeight="1">
      <c r="A187" s="37"/>
    </row>
    <row r="188" spans="1:6" ht="100" customHeight="1">
      <c r="A188" s="110" t="str">
        <f>"첨부된 그룹보고패키지는 "&amp;기본입력사항!B4&amp;"이/가 연결재무제표를 작성하는데 제공될 목적으로 작성된 것으로 별개의 실체로서의 "&amp;기본입력사항!B9&amp;"에 대한 보고서가 아닙니다. 따라서, 그룹보고패키지는 "&amp;B52&amp;"의 "&amp;TEXT(기본입력사항!B11,"yyyy년 m월 d일")&amp;" 현재의 재무상태와 동일로 종료되는 회계연도의 경영성과 그리고 이익잉여금의 변동과 현금흐름의 내용 및 자본의 변동을 대한민국에서 일반적으로 인정된 회계처리기준에 따라 중요성의 관점에서 적정하게 표시하고 있지는 않습니다."</f>
        <v>첨부된 그룹보고패키지는 ABC주식회사이/가 연결재무제표를 작성하는데 제공될 목적으로 작성된 것으로 별개의 실체로서의 가나다주식회사에 대한 보고서가 아닙니다. 따라서, 그룹보고패키지는 가나다주식회사의 2018년 12월 31일 현재의 재무상태와 동일로 종료되는 회계연도의 경영성과 그리고 이익잉여금의 변동과 현금흐름의 내용 및 자본의 변동을 대한민국에서 일반적으로 인정된 회계처리기준에 따라 중요성의 관점에서 적정하게 표시하고 있지는 않습니다.</v>
      </c>
      <c r="B188" s="110"/>
      <c r="C188" s="110"/>
      <c r="D188" s="110"/>
      <c r="E188" s="30"/>
      <c r="F188" s="30"/>
    </row>
    <row r="189" spans="1:6" ht="20.149999999999999" customHeight="1">
      <c r="A189" s="37"/>
    </row>
    <row r="190" spans="1:6" ht="80.150000000000006" customHeight="1">
      <c r="A190" s="110" t="str">
        <f>"그러나 우리의 의견으로는 첨부된 "&amp;TEXT(기본입력사항!B11,"yyyy년 m월 d일")&amp;"로 종료하는 보고기간의 그룹보고패키지는 [다음에서 설명하고 있는 사항을 제외하고는] (그룹명) 의 그룹감사지침서 [다음사항 제외]에 포함된 절차에 따라 중요성의 관점에서 적정하게 표시하고 있습니다."</f>
        <v>그러나 우리의 의견으로는 첨부된 2018년 12월 31일로 종료하는 보고기간의 그룹보고패키지는 [다음에서 설명하고 있는 사항을 제외하고는] (그룹명) 의 그룹감사지침서 [다음사항 제외]에 포함된 절차에 따라 중요성의 관점에서 적정하게 표시하고 있습니다.</v>
      </c>
      <c r="B190" s="110"/>
      <c r="C190" s="110"/>
      <c r="D190" s="110"/>
      <c r="E190" s="15"/>
      <c r="F190" s="15"/>
    </row>
    <row r="191" spans="1:6" ht="20.149999999999999" customHeight="1">
      <c r="A191" s="37"/>
    </row>
    <row r="192" spans="1:6" ht="20.149999999999999" customHeight="1">
      <c r="A192" s="111" t="s">
        <v>6</v>
      </c>
      <c r="B192" s="111"/>
      <c r="C192" s="111"/>
      <c r="D192" s="111"/>
    </row>
    <row r="193" spans="1:6" ht="20.149999999999999" customHeight="1">
      <c r="A193" s="13"/>
    </row>
    <row r="194" spans="1:6" ht="40" customHeight="1">
      <c r="A194" s="101" t="str">
        <f>"이 보고서는 "&amp;B8&amp;"와 그 종속기업의 연결재무제표에 대한 감사와 관련하여 "&amp;기본입력사항!B4&amp;"의 감사인을 위한 것이므로 이외의 다른 목적으로 사용될 수 없습니다."</f>
        <v>이 보고서는 ABC주식회사와 그 종속기업의 연결재무제표에 대한 감사와 관련하여 ABC주식회사의 감사인을 위한 것이므로 이외의 다른 목적으로 사용될 수 없습니다.</v>
      </c>
      <c r="B194" s="101"/>
      <c r="C194" s="101"/>
      <c r="D194" s="101"/>
      <c r="E194" s="30"/>
      <c r="F194" s="30"/>
    </row>
    <row r="195" spans="1:6" ht="20.149999999999999" customHeight="1">
      <c r="A195" s="13"/>
      <c r="B195" s="107" t="str">
        <f>A12</f>
        <v>XX회계법인</v>
      </c>
      <c r="C195" s="107"/>
      <c r="D195" s="107"/>
    </row>
    <row r="196" spans="1:6" ht="20.149999999999999" customHeight="1">
      <c r="A196" s="13"/>
      <c r="B196" s="68" t="s">
        <v>2</v>
      </c>
      <c r="C196" s="104"/>
      <c r="D196" s="104"/>
    </row>
    <row r="197" spans="1:6" ht="20.149999999999999" customHeight="1">
      <c r="A197" s="13"/>
      <c r="B197" s="24" t="s">
        <v>1</v>
      </c>
      <c r="C197" s="69"/>
      <c r="D197" s="70"/>
    </row>
    <row r="198" spans="1:6" ht="20.149999999999999" customHeight="1">
      <c r="A198" s="13"/>
      <c r="B198" s="24" t="s">
        <v>0</v>
      </c>
      <c r="C198" s="69"/>
      <c r="D198" s="70"/>
    </row>
    <row r="199" spans="1:6" ht="20.149999999999999" customHeight="1">
      <c r="C199" s="24"/>
      <c r="D199" s="24"/>
    </row>
    <row r="200" spans="1:6" ht="20.149999999999999" customHeight="1">
      <c r="C200" s="24"/>
      <c r="D200" s="24"/>
    </row>
    <row r="201" spans="1:6" ht="20.149999999999999" customHeight="1">
      <c r="A201" s="43" t="s">
        <v>5</v>
      </c>
    </row>
    <row r="202" spans="1:6" ht="20.149999999999999" customHeight="1">
      <c r="A202" s="100" t="s">
        <v>4</v>
      </c>
      <c r="B202" s="100"/>
      <c r="C202" s="100"/>
      <c r="D202" s="100"/>
    </row>
    <row r="203" spans="1:6" ht="20.149999999999999" customHeight="1">
      <c r="A203" s="37" t="s">
        <v>132</v>
      </c>
    </row>
    <row r="204" spans="1:6" ht="20.149999999999999" customHeight="1">
      <c r="A204" s="72"/>
    </row>
    <row r="205" spans="1:6" ht="20.149999999999999" customHeight="1">
      <c r="A205" s="14"/>
    </row>
    <row r="206" spans="1:6" ht="20.149999999999999" customHeight="1">
      <c r="A206" s="14"/>
    </row>
    <row r="207" spans="1:6" ht="40" customHeight="1">
      <c r="A207" s="101" t="str">
        <f>"우리는 대한민국의 회계감사기준에 따라 보고기간 이후부터 "&amp;TEXT(B68,"yyyy년mm월dd일")&amp;"(*)까지의 기간동안에 대하여 후속사건에 대한 절차를 수행하였습니다. "</f>
        <v xml:space="preserve">우리는 대한민국의 회계감사기준에 따라 보고기간 이후부터 2019년02월28일(*)까지의 기간동안에 대하여 후속사건에 대한 절차를 수행하였습니다. </v>
      </c>
      <c r="B207" s="101"/>
      <c r="C207" s="101"/>
      <c r="D207" s="101"/>
      <c r="E207" s="30"/>
      <c r="F207" s="30"/>
    </row>
    <row r="208" spans="1:6" ht="20.149999999999999" customHeight="1">
      <c r="A208" s="14" t="s">
        <v>3</v>
      </c>
    </row>
    <row r="209" spans="1:4" ht="20.149999999999999" customHeight="1">
      <c r="A209" s="14"/>
    </row>
    <row r="210" spans="1:4" ht="20.149999999999999" customHeight="1">
      <c r="A210" s="102"/>
      <c r="B210" s="102"/>
      <c r="C210" s="102"/>
      <c r="D210" s="102"/>
    </row>
    <row r="211" spans="1:4" ht="20.149999999999999" customHeight="1">
      <c r="A211" s="102"/>
      <c r="B211" s="102"/>
      <c r="C211" s="102"/>
      <c r="D211" s="102"/>
    </row>
    <row r="212" spans="1:4" s="73" customFormat="1" ht="20.149999999999999" customHeight="1">
      <c r="A212" s="106"/>
      <c r="B212" s="106"/>
      <c r="C212" s="106"/>
      <c r="D212" s="106"/>
    </row>
    <row r="213" spans="1:4" s="73" customFormat="1" ht="20.149999999999999" customHeight="1">
      <c r="A213" s="106"/>
      <c r="B213" s="106"/>
      <c r="C213" s="106"/>
      <c r="D213" s="106"/>
    </row>
    <row r="214" spans="1:4" s="73" customFormat="1" ht="20.149999999999999" customHeight="1">
      <c r="A214" s="106"/>
      <c r="B214" s="106"/>
      <c r="C214" s="106"/>
      <c r="D214" s="106"/>
    </row>
    <row r="215" spans="1:4" s="73" customFormat="1" ht="20.149999999999999" customHeight="1">
      <c r="A215" s="106"/>
      <c r="B215" s="106"/>
      <c r="C215" s="106"/>
      <c r="D215" s="106"/>
    </row>
    <row r="216" spans="1:4" s="73" customFormat="1" ht="20.149999999999999" customHeight="1">
      <c r="A216" s="74" t="s">
        <v>136</v>
      </c>
      <c r="B216" s="75"/>
      <c r="C216" s="75"/>
      <c r="D216" s="75"/>
    </row>
    <row r="217" spans="1:4" s="73" customFormat="1" ht="20.149999999999999" customHeight="1">
      <c r="A217" s="98" t="s">
        <v>169</v>
      </c>
      <c r="B217" s="98"/>
      <c r="C217" s="98"/>
      <c r="D217" s="98"/>
    </row>
    <row r="218" spans="1:4" s="73" customFormat="1" ht="20.149999999999999" customHeight="1">
      <c r="A218" s="98" t="s">
        <v>170</v>
      </c>
      <c r="B218" s="98"/>
      <c r="C218" s="98"/>
      <c r="D218" s="98"/>
    </row>
    <row r="219" spans="1:4" s="75" customFormat="1" ht="60" customHeight="1">
      <c r="A219" s="99" t="s">
        <v>158</v>
      </c>
      <c r="B219" s="99"/>
      <c r="C219" s="99"/>
      <c r="D219" s="99"/>
    </row>
    <row r="220" spans="1:4" ht="40" customHeight="1">
      <c r="A220" s="13"/>
      <c r="B220" s="107" t="str">
        <f>A12</f>
        <v>XX회계법인</v>
      </c>
      <c r="C220" s="107"/>
      <c r="D220" s="107"/>
    </row>
    <row r="221" spans="1:4" ht="40" customHeight="1">
      <c r="A221" s="13"/>
      <c r="B221" s="68" t="s">
        <v>2</v>
      </c>
      <c r="C221" s="104"/>
      <c r="D221" s="104"/>
    </row>
    <row r="222" spans="1:4" ht="40" customHeight="1">
      <c r="A222" s="13"/>
      <c r="B222" s="24" t="s">
        <v>1</v>
      </c>
      <c r="C222" s="69"/>
      <c r="D222" s="70"/>
    </row>
    <row r="223" spans="1:4" ht="40" customHeight="1">
      <c r="A223" s="13"/>
      <c r="B223" s="24" t="s">
        <v>0</v>
      </c>
      <c r="C223" s="69"/>
      <c r="D223" s="70"/>
    </row>
  </sheetData>
  <mergeCells count="133">
    <mergeCell ref="A6:D6"/>
    <mergeCell ref="B8:D8"/>
    <mergeCell ref="B9:D9"/>
    <mergeCell ref="A14:D14"/>
    <mergeCell ref="A16:D16"/>
    <mergeCell ref="A17:D17"/>
    <mergeCell ref="A32:D32"/>
    <mergeCell ref="C33:D33"/>
    <mergeCell ref="A37:C37"/>
    <mergeCell ref="A18:D18"/>
    <mergeCell ref="A20:D20"/>
    <mergeCell ref="B24:D24"/>
    <mergeCell ref="A26:D26"/>
    <mergeCell ref="A27:D27"/>
    <mergeCell ref="A28:D28"/>
    <mergeCell ref="A29:D29"/>
    <mergeCell ref="A30:D30"/>
    <mergeCell ref="A31:D31"/>
    <mergeCell ref="A42:A45"/>
    <mergeCell ref="B42:B45"/>
    <mergeCell ref="A46:A49"/>
    <mergeCell ref="B46:B49"/>
    <mergeCell ref="B52:C52"/>
    <mergeCell ref="A53:A57"/>
    <mergeCell ref="B60:C60"/>
    <mergeCell ref="B61:C61"/>
    <mergeCell ref="A62:A65"/>
    <mergeCell ref="A58:A59"/>
    <mergeCell ref="A100:D100"/>
    <mergeCell ref="A101:D101"/>
    <mergeCell ref="A102:D102"/>
    <mergeCell ref="A66:A67"/>
    <mergeCell ref="A71:C71"/>
    <mergeCell ref="A80:C80"/>
    <mergeCell ref="A81:C81"/>
    <mergeCell ref="A82:C82"/>
    <mergeCell ref="A83:C83"/>
    <mergeCell ref="A84:C84"/>
    <mergeCell ref="A87:C87"/>
    <mergeCell ref="A92:D92"/>
    <mergeCell ref="A96:D96"/>
    <mergeCell ref="A97:D97"/>
    <mergeCell ref="A99:D99"/>
    <mergeCell ref="A85:C85"/>
    <mergeCell ref="A86:C86"/>
    <mergeCell ref="C95:D95"/>
    <mergeCell ref="A103:D103"/>
    <mergeCell ref="A104:D104"/>
    <mergeCell ref="A105:D105"/>
    <mergeCell ref="A106:D106"/>
    <mergeCell ref="A107:D107"/>
    <mergeCell ref="A108:D108"/>
    <mergeCell ref="C109:D109"/>
    <mergeCell ref="A116:D116"/>
    <mergeCell ref="C118:D118"/>
    <mergeCell ref="A120:B120"/>
    <mergeCell ref="C120:D120"/>
    <mergeCell ref="A121:B121"/>
    <mergeCell ref="A124:B124"/>
    <mergeCell ref="C124:D124"/>
    <mergeCell ref="A122:B123"/>
    <mergeCell ref="A125:B126"/>
    <mergeCell ref="A136:B136"/>
    <mergeCell ref="C136:D136"/>
    <mergeCell ref="C139:D139"/>
    <mergeCell ref="A140:B140"/>
    <mergeCell ref="C140:D140"/>
    <mergeCell ref="C143:D143"/>
    <mergeCell ref="A127:B128"/>
    <mergeCell ref="C156:D156"/>
    <mergeCell ref="C159:D159"/>
    <mergeCell ref="A137:B139"/>
    <mergeCell ref="C137:D137"/>
    <mergeCell ref="C138:D138"/>
    <mergeCell ref="C141:D141"/>
    <mergeCell ref="C142:D142"/>
    <mergeCell ref="A141:B143"/>
    <mergeCell ref="C157:D157"/>
    <mergeCell ref="C158:D158"/>
    <mergeCell ref="C148:D148"/>
    <mergeCell ref="C151:D151"/>
    <mergeCell ref="A152:B152"/>
    <mergeCell ref="C152:D152"/>
    <mergeCell ref="C145:D145"/>
    <mergeCell ref="C146:D146"/>
    <mergeCell ref="A145:B147"/>
    <mergeCell ref="A157:B159"/>
    <mergeCell ref="A153:B155"/>
    <mergeCell ref="A149:B151"/>
    <mergeCell ref="C149:D149"/>
    <mergeCell ref="C150:D150"/>
    <mergeCell ref="C153:D153"/>
    <mergeCell ref="C154:D154"/>
    <mergeCell ref="C221:D221"/>
    <mergeCell ref="A36:C36"/>
    <mergeCell ref="A212:D215"/>
    <mergeCell ref="B220:D220"/>
    <mergeCell ref="B170:D170"/>
    <mergeCell ref="A176:D176"/>
    <mergeCell ref="A178:D178"/>
    <mergeCell ref="A182:D182"/>
    <mergeCell ref="A184:D184"/>
    <mergeCell ref="A186:D186"/>
    <mergeCell ref="A190:D190"/>
    <mergeCell ref="A192:D192"/>
    <mergeCell ref="A194:D194"/>
    <mergeCell ref="B195:D195"/>
    <mergeCell ref="A188:D188"/>
    <mergeCell ref="C155:D155"/>
    <mergeCell ref="A156:B156"/>
    <mergeCell ref="A160:B160"/>
    <mergeCell ref="C160:D160"/>
    <mergeCell ref="C167:D167"/>
    <mergeCell ref="A144:B144"/>
    <mergeCell ref="C144:D144"/>
    <mergeCell ref="C147:D147"/>
    <mergeCell ref="A148:B148"/>
    <mergeCell ref="A161:B167"/>
    <mergeCell ref="C161:D161"/>
    <mergeCell ref="C162:D162"/>
    <mergeCell ref="C163:D163"/>
    <mergeCell ref="C164:D164"/>
    <mergeCell ref="C165:D165"/>
    <mergeCell ref="C166:D166"/>
    <mergeCell ref="A217:D217"/>
    <mergeCell ref="A219:D219"/>
    <mergeCell ref="A218:D218"/>
    <mergeCell ref="A202:D202"/>
    <mergeCell ref="A207:D207"/>
    <mergeCell ref="A210:D210"/>
    <mergeCell ref="A211:D211"/>
    <mergeCell ref="C171:D171"/>
    <mergeCell ref="C196:D196"/>
  </mergeCells>
  <phoneticPr fontId="3" type="noConversion"/>
  <pageMargins left="0.70866141732283472" right="0.70866141732283472" top="0.74803149606299213" bottom="0.74803149606299213" header="0.31496062992125984" footer="0.31496062992125984"/>
  <pageSetup paperSize="9" scale="91" fitToHeight="0" orientation="portrait" r:id="rId1"/>
  <headerFooter>
    <oddFooter>&amp;R&amp;"-,굵게"&amp;12조서번호:&amp;A&amp; -&amp;P</oddFooter>
  </headerFooter>
  <rowBreaks count="9" manualBreakCount="9">
    <brk id="10" max="16383" man="1"/>
    <brk id="34" max="3" man="1"/>
    <brk id="69" max="3" man="1"/>
    <brk id="90" max="3" man="1"/>
    <brk id="112" max="3" man="1"/>
    <brk id="139" max="3" man="1"/>
    <brk id="174" max="3" man="1"/>
    <brk id="179" max="3" man="1"/>
    <brk id="198" max="3" man="1"/>
  </rowBreaks>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기본입력사항</vt:lpstr>
      <vt:lpstr>7210</vt:lpstr>
      <vt:lpstr>'7210'!Print_Area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shyi</dc:creator>
  <cp:lastModifiedBy>Datalobby</cp:lastModifiedBy>
  <cp:lastPrinted>2021-09-23T04:06:17Z</cp:lastPrinted>
  <dcterms:created xsi:type="dcterms:W3CDTF">2014-10-23T05:56:19Z</dcterms:created>
  <dcterms:modified xsi:type="dcterms:W3CDTF">2021-09-23T04:08:06Z</dcterms:modified>
</cp:coreProperties>
</file>