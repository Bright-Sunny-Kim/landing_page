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C:\Users\Datalobby\Desktop\Audit Templates\0.한공회 감사조서 서식\2021년 감사조서서식(예시)_AUL Customized_2020 기반\12. 2021 변경 사항\KGAAP 변경\"/>
    </mc:Choice>
  </mc:AlternateContent>
  <xr:revisionPtr revIDLastSave="0" documentId="13_ncr:1_{5D604B90-705B-4DF5-B787-449704740FE9}" xr6:coauthVersionLast="47" xr6:coauthVersionMax="47" xr10:uidLastSave="{00000000-0000-0000-0000-000000000000}"/>
  <bookViews>
    <workbookView xWindow="-21690" yWindow="3810" windowWidth="19200" windowHeight="10155" activeTab="1" xr2:uid="{00000000-000D-0000-FFFF-FFFF00000000}"/>
  </bookViews>
  <sheets>
    <sheet name="기본입력" sheetId="2" r:id="rId1"/>
    <sheet name="7410E"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_123Graph_D" hidden="1">[1]IS!#REF!</definedName>
    <definedName name="__123Graph_F" hidden="1">'[2]2600'!#REF!</definedName>
    <definedName name="__IntlFixup" hidden="1">TRUE</definedName>
    <definedName name="__KEY2" hidden="1">#REF!</definedName>
    <definedName name="_104s1_" hidden="1">{#N/A,#N/A,FALSE,"UNIT";#N/A,#N/A,FALSE,"UNIT";#N/A,#N/A,FALSE,"계정"}</definedName>
    <definedName name="_105s10_" hidden="1">{#N/A,#N/A,FALSE,"UNIT";#N/A,#N/A,FALSE,"UNIT";#N/A,#N/A,FALSE,"계정"}</definedName>
    <definedName name="_106s11_" hidden="1">{#N/A,#N/A,FALSE,"UNIT";#N/A,#N/A,FALSE,"UNIT";#N/A,#N/A,FALSE,"계정"}</definedName>
    <definedName name="_107s12_" hidden="1">{#N/A,#N/A,FALSE,"UNIT";#N/A,#N/A,FALSE,"UNIT";#N/A,#N/A,FALSE,"계정"}</definedName>
    <definedName name="_108s13_" hidden="1">{#N/A,#N/A,FALSE,"UNIT";#N/A,#N/A,FALSE,"UNIT";#N/A,#N/A,FALSE,"계정"}</definedName>
    <definedName name="_109s14_" hidden="1">{#N/A,#N/A,FALSE,"UNIT";#N/A,#N/A,FALSE,"UNIT";#N/A,#N/A,FALSE,"계정"}</definedName>
    <definedName name="_110s16_" hidden="1">{#N/A,#N/A,FALSE,"UNIT";#N/A,#N/A,FALSE,"UNIT";#N/A,#N/A,FALSE,"계정"}</definedName>
    <definedName name="_111s17_" hidden="1">{#N/A,#N/A,FALSE,"UNIT";#N/A,#N/A,FALSE,"UNIT";#N/A,#N/A,FALSE,"계정"}</definedName>
    <definedName name="_112s2_" hidden="1">{#N/A,#N/A,FALSE,"UNIT";#N/A,#N/A,FALSE,"UNIT";#N/A,#N/A,FALSE,"계정"}</definedName>
    <definedName name="_113s3_" hidden="1">{#N/A,#N/A,FALSE,"UNIT";#N/A,#N/A,FALSE,"UNIT";#N/A,#N/A,FALSE,"계정"}</definedName>
    <definedName name="_114s4_" hidden="1">{#N/A,#N/A,FALSE,"UNIT";#N/A,#N/A,FALSE,"UNIT";#N/A,#N/A,FALSE,"계정"}</definedName>
    <definedName name="_115s5_" hidden="1">{#N/A,#N/A,FALSE,"UNIT";#N/A,#N/A,FALSE,"UNIT";#N/A,#N/A,FALSE,"계정"}</definedName>
    <definedName name="_116s6_" hidden="1">{#N/A,#N/A,FALSE,"UNIT";#N/A,#N/A,FALSE,"UNIT";#N/A,#N/A,FALSE,"계정"}</definedName>
    <definedName name="_117s9_" hidden="1">{#N/A,#N/A,FALSE,"UNIT";#N/A,#N/A,FALSE,"UNIT";#N/A,#N/A,FALSE,"계정"}</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hidden="1">#N/A</definedName>
    <definedName name="_Fill" hidden="1">#N/A</definedName>
    <definedName name="_xlnm._FilterDatabase" hidden="1">#N/A</definedName>
    <definedName name="_Key1" hidden="1">#N/A</definedName>
    <definedName name="_Key2" hidden="1">#N/A</definedName>
    <definedName name="_Key3" hidden="1">#REF!</definedName>
    <definedName name="_MatInverse_In" hidden="1">[1]IS!#REF!</definedName>
    <definedName name="_MatInverse_Out" hidden="1">'[2]2600'!#REF!</definedName>
    <definedName name="_MatMult_A" hidden="1">#N/A</definedName>
    <definedName name="_MatMult_AxB" hidden="1">#N/A</definedName>
    <definedName name="_MatMult_B" hidden="1">'[2]2600'!#REF!</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Aas" hidden="1">{#N/A,#N/A,FALSE,"을지 (4)";#N/A,#N/A,FALSE,"을지 (5)";#N/A,#N/A,FALSE,"을지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hidden="1">{#N/A,#N/A,FALSE,"UNIT";#N/A,#N/A,FALSE,"UNIT";#N/A,#N/A,FALSE,"계정"}</definedName>
    <definedName name="AS2DocOpenMode" hidden="1">"AS2DocumentEdit"</definedName>
    <definedName name="AS2ReportLS" hidden="1">1</definedName>
    <definedName name="AS2SyncStepLS" hidden="1">0</definedName>
    <definedName name="AS2TickmarkLS" hidden="1">[1]IS!A1</definedName>
    <definedName name="AS2VersionLS" hidden="1">300</definedName>
    <definedName name="ASE" hidden="1">{#N/A,#N/A,FALSE,"초도품";#N/A,#N/A,FALSE,"초도품 (2)";#N/A,#N/A,FALSE,"초도품 (3)";#N/A,#N/A,FALSE,"초도품 (4)";#N/A,#N/A,FALSE,"초도품 (5)";#N/A,#N/A,FALSE,"초도품 (6)"}</definedName>
    <definedName name="ASS" hidden="1">{#N/A,#N/A,FALSE,"을지 (4)";#N/A,#N/A,FALSE,"을지 (5)";#N/A,#N/A,FALSE,"을지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hidden="1">{#N/A,#N/A,FALSE,"UNIT";#N/A,#N/A,FALSE,"UNIT";#N/A,#N/A,FALSE,"계정"}</definedName>
    <definedName name="cc0" hidden="1">{"'5국공정'!$A$1:$E$128"}</definedName>
    <definedName name="CF02기초" hidden="1">{#N/A,#N/A,TRUE,"Summary";#N/A,#N/A,TRUE,"IS";#N/A,#N/A,TRUE,"Adj";#N/A,#N/A,TRUE,"BS";#N/A,#N/A,TRUE,"CF";#N/A,#N/A,TRUE,"Debt";#N/A,#N/A,TRUE,"IRR"}</definedName>
    <definedName name="cfclear" hidden="1">{#N/A,#N/A,FALSE,"BS";#N/A,#N/A,FALSE,"PL";#N/A,#N/A,FALSE,"처분";#N/A,#N/A,FALSE,"현금";#N/A,#N/A,FALSE,"매출";#N/A,#N/A,FALSE,"원가";#N/A,#N/A,FALSE,"경영"}</definedName>
    <definedName name="chang" hidden="1">{#N/A,#N/A,FALSE,"을지 (4)";#N/A,#N/A,FALSE,"을지 (5)";#N/A,#N/A,FALSE,"을지 (6)"}</definedName>
    <definedName name="DATABASE1" hidden="1">#REF!</definedName>
    <definedName name="dddd" hidden="1">{#N/A,#N/A,FALSE,"UNIT";#N/A,#N/A,FALSE,"UNIT";#N/A,#N/A,FALSE,"계정"}</definedName>
    <definedName name="dddddddd" hidden="1">{"'5국공정'!$A$1:$E$128"}</definedName>
    <definedName name="DDS" hidden="1">{#N/A,#N/A,FALSE,"을지 (4)";#N/A,#N/A,FALSE,"을지 (5)";#N/A,#N/A,FALSE,"을지 (6)"}</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hidden="1">{#N/A,#N/A,FALSE,"UNIT";#N/A,#N/A,FALSE,"UNIT";#N/A,#N/A,FALSE,"계정"}</definedName>
    <definedName name="DSA" hidden="1">{#N/A,#N/A,FALSE,"을지 (4)";#N/A,#N/A,FALSE,"을지 (5)";#N/A,#N/A,FALSE,"을지 (6)"}</definedName>
    <definedName name="dsdf" hidden="1">{#N/A,#N/A,TRUE,"Summary";#N/A,#N/A,TRUE,"IS";#N/A,#N/A,TRUE,"Adj";#N/A,#N/A,TRUE,"BS";#N/A,#N/A,TRUE,"CF";#N/A,#N/A,TRUE,"Debt";#N/A,#N/A,TRUE,"IRR"}</definedName>
    <definedName name="finding" hidden="1">{#N/A,#N/A,FALSE,"BS";#N/A,#N/A,FALSE,"PL";#N/A,#N/A,FALSE,"처분";#N/A,#N/A,FALSE,"현금";#N/A,#N/A,FALSE,"매출";#N/A,#N/A,FALSE,"원가";#N/A,#N/A,FALSE,"경영"}</definedName>
    <definedName name="fjalaslaslfasllaa" hidden="1">{#N/A,#N/A,FALSE,"을지 (4)";#N/A,#N/A,FALSE,"을지 (5)";#N/A,#N/A,FALSE,"을지 (6)"}</definedName>
    <definedName name="fjdi0s" hidden="1">#N/A</definedName>
    <definedName name="gg"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hidden="1">{#N/A,#N/A,FALSE,"UNIT";#N/A,#N/A,FALSE,"UNIT";#N/A,#N/A,FALSE,"계정"}</definedName>
    <definedName name="IJHY" hidden="1">#N/A</definedName>
    <definedName name="inwon" hidden="1">{#N/A,#N/A,FALSE,"UNIT";#N/A,#N/A,FALSE,"UNIT";#N/A,#N/A,FALSE,"계정"}</definedName>
    <definedName name="jhbjkhkj" hidden="1">{#N/A,#N/A,TRUE,"Summary";#N/A,#N/A,TRUE,"IS";#N/A,#N/A,TRUE,"Adj";#N/A,#N/A,TRUE,"BS";#N/A,#N/A,TRUE,"CF";#N/A,#N/A,TRUE,"Debt";#N/A,#N/A,TRUE,"IRR"}</definedName>
    <definedName name="JJJJ" hidden="1">#N/A</definedName>
    <definedName name="jkljlkjl" hidden="1">{#N/A,#N/A,FALSE,"UNIT";#N/A,#N/A,FALSE,"UNIT";#N/A,#N/A,FALSE,"계정"}</definedName>
    <definedName name="JUU" hidden="1">#N/A</definedName>
    <definedName name="k" hidden="1">{"'5국공정'!$A$1:$E$128"}</definedName>
    <definedName name="KC" hidden="1">{#N/A,#N/A,FALSE,"을지 (4)";#N/A,#N/A,FALSE,"을지 (5)";#N/A,#N/A,FALSE,"을지 (6)"}</definedName>
    <definedName name="kkkk" hidden="1">{#N/A,"수불부",FALSE,"사급자재수불서";#N/A,"수불부",FALSE,"사급자재수불서"}</definedName>
    <definedName name="KN" hidden="1">{#N/A,#N/A,FALSE,"을지 (4)";#N/A,#N/A,FALSE,"을지 (5)";#N/A,#N/A,FALSE,"을지 (6)"}</definedName>
    <definedName name="LKJ" hidden="1">{#N/A,#N/A,FALSE,"을지 (4)";#N/A,#N/A,FALSE,"을지 (5)";#N/A,#N/A,FALSE,"을지 (6)"}</definedName>
    <definedName name="ll" hidden="1">#N/A</definedName>
    <definedName name="MYJ" hidden="1">{#N/A,#N/A,FALSE,"UNIT";#N/A,#N/A,FALSE,"UNIT";#N/A,#N/A,FALSE,"계정"}</definedName>
    <definedName name="Order" hidden="1">0</definedName>
    <definedName name="ownership" hidden="1">{#N/A,#N/A,TRUE,"Summary";#N/A,#N/A,TRUE,"IS";#N/A,#N/A,TRUE,"Adj";#N/A,#N/A,TRUE,"BS";#N/A,#N/A,TRUE,"CF";#N/A,#N/A,TRUE,"Debt";#N/A,#N/A,TRUE,"IRR"}</definedName>
    <definedName name="pay" hidden="1">[2]INDEX!#REF!</definedName>
    <definedName name="payment1" hidden="1">'[2]3100'!#REF!</definedName>
    <definedName name="QAW" hidden="1">{#N/A,#N/A,FALSE,"을지 (4)";#N/A,#N/A,FALSE,"을지 (5)";#N/A,#N/A,FALSE,"을지 (6)"}</definedName>
    <definedName name="QE" hidden="1">{#N/A,#N/A,FALSE,"초도품";#N/A,#N/A,FALSE,"초도품 (2)";#N/A,#N/A,FALSE,"초도품 (3)";#N/A,#N/A,FALSE,"초도품 (4)";#N/A,#N/A,FALSE,"초도품 (5)";#N/A,#N/A,FALSE,"초도품 (6)"}</definedName>
    <definedName name="qqq" hidden="1">{#N/A,#N/A,FALSE,"BS";#N/A,#N/A,FALSE,"PL";#N/A,#N/A,FALSE,"처분";#N/A,#N/A,FALSE,"현금";#N/A,#N/A,FALSE,"매출";#N/A,#N/A,FALSE,"원가";#N/A,#N/A,FALSE,"경영"}</definedName>
    <definedName name="QQQQQ" hidden="1">{#N/A,#N/A,FALSE,"UNIT";#N/A,#N/A,FALSE,"UNIT";#N/A,#N/A,FALSE,"계정"}</definedName>
    <definedName name="QWA" hidden="1">{#N/A,#N/A,FALSE,"을지 (4)";#N/A,#N/A,FALSE,"을지 (5)";#N/A,#N/A,FALSE,"을지 (6)"}</definedName>
    <definedName name="R_COVER" hidden="1">{#N/A,#N/A,FALSE,"단축1";#N/A,#N/A,FALSE,"단축2";#N/A,#N/A,FALSE,"단축3";#N/A,#N/A,FALSE,"장축";#N/A,#N/A,FALSE,"4WD"}</definedName>
    <definedName name="rews" hidden="1">#N/A</definedName>
    <definedName name="RISK내용" hidden="1">{#N/A,#N/A,FALSE,"UNIT";#N/A,#N/A,FALSE,"UNIT";#N/A,#N/A,FALSE,"계정"}</definedName>
    <definedName name="rk" hidden="1">{#N/A,#N/A,FALSE,"BS";#N/A,#N/A,FALSE,"PL";#N/A,#N/A,FALSE,"처분";#N/A,#N/A,FALSE,"현금";#N/A,#N/A,FALSE,"매출";#N/A,#N/A,FALSE,"원가";#N/A,#N/A,FALSE,"경영"}</definedName>
    <definedName name="RKRKR" hidden="1">{#N/A,#N/A,FALSE,"초도품";#N/A,#N/A,FALSE,"초도품 (2)";#N/A,#N/A,FALSE,"초도품 (3)";#N/A,#N/A,FALSE,"초도품 (4)";#N/A,#N/A,FALSE,"초도품 (5)";#N/A,#N/A,FALSE,"초도품 (6)"}</definedName>
    <definedName name="rPghlr" hidden="1">{#N/A,#N/A,FALSE,"기술료 비교"}</definedName>
    <definedName name="RR.BRAKE" hidden="1">{#N/A,#N/A,FALSE,"단축1";#N/A,#N/A,FALSE,"단축2";#N/A,#N/A,FALSE,"단축3";#N/A,#N/A,FALSE,"장축";#N/A,#N/A,FALSE,"4WD"}</definedName>
    <definedName name="RR.BRK" hidden="1">{#N/A,#N/A,FALSE,"단축1";#N/A,#N/A,FALSE,"단축2";#N/A,#N/A,FALSE,"단축3";#N/A,#N/A,FALSE,"장축";#N/A,#N/A,FALSE,"4WD"}</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hidden="1">{#N/A,#N/A,FALSE,"UNIT";#N/A,#N/A,FALSE,"UNIT";#N/A,#N/A,FALSE,"계정"}</definedName>
    <definedName name="SSD" hidden="1">{#N/A,#N/A,FALSE,"을지 (4)";#N/A,#N/A,FALSE,"을지 (5)";#N/A,#N/A,FALSE,"을지 (6)"}</definedName>
    <definedName name="teww" hidden="1">#N/A</definedName>
    <definedName name="TextRefCopyRangeCount" hidden="1">1</definedName>
    <definedName name="tggf" hidden="1">#N/A</definedName>
    <definedName name="TORSION" hidden="1">{#N/A,#N/A,FALSE,"단축1";#N/A,#N/A,FALSE,"단축2";#N/A,#N/A,FALSE,"단축3";#N/A,#N/A,FALSE,"장축";#N/A,#N/A,FALSE,"4WD"}</definedName>
    <definedName name="TT" hidden="1">{#N/A,#N/A,FALSE,"UNIT";#N/A,#N/A,FALSE,"UNIT";#N/A,#N/A,FALSE,"계정"}</definedName>
    <definedName name="tthh" hidden="1">#N/A</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hidden="1">{#N/A,#N/A,FALSE,"BS";#N/A,#N/A,FALSE,"PL";#N/A,#N/A,FALSE,"처분";#N/A,#N/A,FALSE,"현금";#N/A,#N/A,FALSE,"매출";#N/A,#N/A,FALSE,"원가";#N/A,#N/A,FALSE,"경영"}</definedName>
    <definedName name="wdd" hidden="1">{#N/A,#N/A,FALSE,"UNIT";#N/A,#N/A,FALSE,"UNIT";#N/A,#N/A,FALSE,"계정"}</definedName>
    <definedName name="wjd" hidden="1">{#N/A,#N/A,FALSE,"BS";#N/A,#N/A,FALSE,"PL";#N/A,#N/A,FALSE,"처분";#N/A,#N/A,FALSE,"현금";#N/A,#N/A,FALSE,"매출";#N/A,#N/A,FALSE,"원가";#N/A,#N/A,FALSE,"경영"}</definedName>
    <definedName name="WQ" hidden="1">{#N/A,#N/A,FALSE,"을지 (4)";#N/A,#N/A,FALSE,"을지 (5)";#N/A,#N/A,FALSE,"을지 (6)"}</definedName>
    <definedName name="wrn.aa." hidden="1">{#N/A,#N/A,FALSE,"UNIT";#N/A,#N/A,FALSE,"UNIT";#N/A,#N/A,FALSE,"계정"}</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COSA._.FS._.국문." hidden="1">{#N/A,#N/A,FALSE,"BS";#N/A,#N/A,FALSE,"PL";#N/A,#N/A,FALSE,"처분";#N/A,#N/A,FALSE,"현금";#N/A,#N/A,FALSE,"매출";#N/A,#N/A,FALSE,"원가";#N/A,#N/A,FALSE,"경영"}</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hidden="1">{#N/A,#N/A,TRUE,"Summary";#N/A,#N/A,TRUE,"IS";#N/A,#N/A,TRUE,"Adj";#N/A,#N/A,TRUE,"BS";#N/A,#N/A,TRUE,"CF";#N/A,#N/A,TRUE,"Debt";#N/A,#N/A,TRUE,"IRR"}</definedName>
    <definedName name="wrn.기술료._.비교." hidden="1">{#N/A,#N/A,FALSE,"기술료 비교"}</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신규dep._.full._.set." hidden="1">{#N/A,#N/A,FALSE,"신규dep";#N/A,#N/A,FALSE,"신규dep-금형상각후";#N/A,#N/A,FALSE,"신규dep-연구비상각후";#N/A,#N/A,FALSE,"신규dep-기계,공구상각후"}</definedName>
    <definedName name="wrn.전부인쇄." hidden="1">{#N/A,#N/A,FALSE,"단축1";#N/A,#N/A,FALSE,"단축2";#N/A,#N/A,FALSE,"단축3";#N/A,#N/A,FALSE,"장축";#N/A,#N/A,FALSE,"4WD"}</definedName>
    <definedName name="XDS" hidden="1">{#N/A,#N/A,FALSE,"을지 (4)";#N/A,#N/A,FALSE,"을지 (5)";#N/A,#N/A,FALSE,"을지 (6)"}</definedName>
    <definedName name="XREF_COLUMN_1" hidden="1">#N/A</definedName>
    <definedName name="XREF_COLUMN_10" hidden="1">[3]BS!#REF!</definedName>
    <definedName name="XREF_COLUMN_11" hidden="1">[3]BS!#REF!</definedName>
    <definedName name="XREF_COLUMN_110" hidden="1">[4]감가상각LS!#REF!</definedName>
    <definedName name="XREF_COLUMN_12" hidden="1">[3]BS!#REF!</definedName>
    <definedName name="XREF_COLUMN_13" hidden="1">[3]BS!#REF!</definedName>
    <definedName name="XREF_COLUMN_14" hidden="1">[2]INDEX!#REF!</definedName>
    <definedName name="XREF_COLUMN_15" hidden="1">#REF!</definedName>
    <definedName name="XREF_COLUMN_16" hidden="1">#N/A</definedName>
    <definedName name="XREF_COLUMN_17" hidden="1">[3]BS!#REF!</definedName>
    <definedName name="XREF_COLUMN_18" hidden="1">#N/A</definedName>
    <definedName name="XREF_COLUMN_19" hidden="1">[5]WTB!#REF!</definedName>
    <definedName name="XREF_COLUMN_2" hidden="1">[2]INDEX!#REF!</definedName>
    <definedName name="XREF_COLUMN_20" hidden="1">#N/A</definedName>
    <definedName name="XREF_COLUMN_21" hidden="1">[2]INDEX!#REF!</definedName>
    <definedName name="XREF_COLUMN_22" hidden="1">'[6]LS (2)'!$D$1:$D$65536</definedName>
    <definedName name="XREF_COLUMN_23" hidden="1">#N/A</definedName>
    <definedName name="XREF_COLUMN_24" hidden="1">'[6]건물 (2)'!$K$1:$K$65536</definedName>
    <definedName name="XREF_COLUMN_25" hidden="1">'[6]유선방송설비 (2)'!$D$1:$D$65536</definedName>
    <definedName name="XREF_COLUMN_26" hidden="1">'[6]차량운반구 (2)'!$D$1:$D$65536</definedName>
    <definedName name="XREF_COLUMN_27" hidden="1">'[6]전송선로설비 (2)'!$D$1:$D$65536</definedName>
    <definedName name="XREF_COLUMN_28" hidden="1">'[6]집기비품 (2)'!$D$1:$D$65536</definedName>
    <definedName name="XREF_COLUMN_29" hidden="1">'[6]공구기구 (2)'!$D$1:$D$65536</definedName>
    <definedName name="XREF_COLUMN_3" hidden="1">#REF!</definedName>
    <definedName name="XREF_COLUMN_30" hidden="1">'[6]건물 (2)'!$I$1:$I$65536</definedName>
    <definedName name="XREF_COLUMN_31" hidden="1">'[6]유선방송설비 (2)'!$I$1:$I$65536</definedName>
    <definedName name="XREF_COLUMN_32" hidden="1">'[2]1100'!#REF!</definedName>
    <definedName name="XREF_COLUMN_33" hidden="1">'[6]전송선로설비 (2)'!$I$1:$I$65536</definedName>
    <definedName name="XREF_COLUMN_34" hidden="1">#N/A</definedName>
    <definedName name="XREF_COLUMN_35" hidden="1">'[6]공구기구 (2)'!$I$1:$I$65536</definedName>
    <definedName name="XREF_COLUMN_36" hidden="1">#N/A</definedName>
    <definedName name="XREF_COLUMN_37" hidden="1">#REF!</definedName>
    <definedName name="XREF_COLUMN_38" hidden="1">'[6]구축물 (2)'!$M$1:$M$65536</definedName>
    <definedName name="XREF_COLUMN_39" hidden="1">'[6]유선방송설비 (2)'!$O$1:$O$65536</definedName>
    <definedName name="XREF_COLUMN_4" hidden="1">'[2]1100'!#REF!</definedName>
    <definedName name="XREF_COLUMN_40" hidden="1">'[6]차량운반구 (2)'!$O$1:$O$65536</definedName>
    <definedName name="XREF_COLUMN_41" hidden="1">'[6]전송선로설비 (2)'!$O$1:$O$65536</definedName>
    <definedName name="XREF_COLUMN_42" hidden="1">'[6]집기비품 (2)'!$O$1:$O$65536</definedName>
    <definedName name="XREF_COLUMN_43" hidden="1">'[6]컨버터 (2)'!$M$1:$M$65536</definedName>
    <definedName name="XREF_COLUMN_44" hidden="1">'[6]공구기구 (2)'!$O$1:$O$65536</definedName>
    <definedName name="XREF_COLUMN_45" hidden="1">'[6]건물 (2)'!$R$1:$R$65536</definedName>
    <definedName name="XREF_COLUMN_46" hidden="1">#REF!</definedName>
    <definedName name="XREF_COLUMN_47" hidden="1">'[6]구축물 (2)'!$O$1:$O$65536</definedName>
    <definedName name="XREF_COLUMN_48" hidden="1">'[6]유선방송설비 (2)'!$Q$1:$Q$65536</definedName>
    <definedName name="XREF_COLUMN_49" hidden="1">'[6]차량운반구 (2)'!$Q$1:$Q$65536</definedName>
    <definedName name="XREF_COLUMN_5" hidden="1">'[2]1100'!#REF!</definedName>
    <definedName name="XREF_COLUMN_50" hidden="1">'[6]전송선로설비 (2)'!$Q$1:$Q$65536</definedName>
    <definedName name="XREF_COLUMN_51" hidden="1">'[6]컨버터 (2)'!$O$1:$O$65536</definedName>
    <definedName name="XREF_COLUMN_52" hidden="1">'[6]집기비품 (2)'!$Q$1:$Q$65536</definedName>
    <definedName name="XREF_COLUMN_53" hidden="1">'[6]공구기구 (2)'!$Q$1:$Q$65536</definedName>
    <definedName name="XREF_COLUMN_54" hidden="1">#REF!</definedName>
    <definedName name="XREF_COLUMN_55" hidden="1">'[6]건물 (2)'!$AA$1:$AA$65536</definedName>
    <definedName name="XREF_COLUMN_56" hidden="1">#REF!</definedName>
    <definedName name="XREF_COLUMN_57" hidden="1">'[6]건물 (2)'!$Y$1:$Y$65536</definedName>
    <definedName name="XREF_COLUMN_58" hidden="1">'[6]건물 (2)'!$W$1:$W$65536</definedName>
    <definedName name="XREF_COLUMN_59" hidden="1">'[6]구축물 (2)'!$S$1:$S$65536</definedName>
    <definedName name="XREF_COLUMN_6" hidden="1">[3]BS!#REF!</definedName>
    <definedName name="XREF_COLUMN_60" hidden="1">#REF!</definedName>
    <definedName name="XREF_COLUMN_61" hidden="1">'[6]유선방송설비 (2)'!$Z$1:$Z$65536</definedName>
    <definedName name="XREF_COLUMN_62" hidden="1">'[6]유선방송설비 (2)'!$V$1:$V$65536</definedName>
    <definedName name="XREF_COLUMN_63" hidden="1">'[6]유선방송설비 (2)'!$X$1:$X$65536</definedName>
    <definedName name="XREF_COLUMN_64" hidden="1">'[6]차량운반구 (2)'!$Z$1:$Z$65536</definedName>
    <definedName name="XREF_COLUMN_65" hidden="1">'[6]차량운반구 (2)'!$X$1:$X$65536</definedName>
    <definedName name="XREF_COLUMN_66" hidden="1">'[6]차량운반구 (2)'!$V$1:$V$65536</definedName>
    <definedName name="XREF_COLUMN_67" hidden="1">'[6]전송선로설비 (2)'!$Z$1:$Z$65536</definedName>
    <definedName name="XREF_COLUMN_68" hidden="1">'[6]전송선로설비 (2)'!$X$1:$X$65536</definedName>
    <definedName name="XREF_COLUMN_69" hidden="1">'[6]전송선로설비 (2)'!$V$1:$V$65536</definedName>
    <definedName name="XREF_COLUMN_7" hidden="1">[3]BS!#REF!</definedName>
    <definedName name="XREF_COLUMN_70" hidden="1">'[6]컨버터 (2)'!$S$1:$S$65536</definedName>
    <definedName name="XREF_COLUMN_71" hidden="1">'[6]집기비품 (2)'!$Z$1:$Z$65536</definedName>
    <definedName name="XREF_COLUMN_72" hidden="1">'[6]집기비품 (2)'!$V$1:$V$65536</definedName>
    <definedName name="XREF_COLUMN_73" hidden="1">'[6]집기비품 (2)'!$X$1:$X$65536</definedName>
    <definedName name="XREF_COLUMN_74" hidden="1">'[6]공구기구 (2)'!$X$1:$X$65536</definedName>
    <definedName name="XREF_COLUMN_75" hidden="1">'[6]공구기구 (2)'!$T$1:$T$65536</definedName>
    <definedName name="XREF_COLUMN_76" hidden="1">'[6]공구기구 (2)'!$V$1:$V$65536</definedName>
    <definedName name="XREF_COLUMN_77" hidden="1">'[4]LS '!#REF!</definedName>
    <definedName name="XREF_COLUMN_79" hidden="1">'[4]LS '!#REF!</definedName>
    <definedName name="XREF_COLUMN_8" hidden="1">[3]BS!#REF!</definedName>
    <definedName name="XREF_COLUMN_81" hidden="1">'[4]LS '!#REF!</definedName>
    <definedName name="XREF_COLUMN_83" hidden="1">'[4]LS '!#REF!</definedName>
    <definedName name="XREF_COLUMN_87" hidden="1">'[4]LS '!#REF!</definedName>
    <definedName name="XREF_COLUMN_89" hidden="1">'[4]LS '!#REF!</definedName>
    <definedName name="XREF_COLUMN_9" hidden="1">[3]BS!#REF!</definedName>
    <definedName name="XREF_COLUMN_91" hidden="1">'[4]LS '!#REF!</definedName>
    <definedName name="XREF_COLUMN_93" hidden="1">'[4]LS '!#REF!</definedName>
    <definedName name="XREF_COLUMN_95" hidden="1">'[4]LS '!#REF!</definedName>
    <definedName name="XREF_COLUMN_97" hidden="1">'[4]LS '!#REF!</definedName>
    <definedName name="XRefActiveRow" hidden="1">[7]XREF!#REF!</definedName>
    <definedName name="XRefColumnsCount" hidden="1">1</definedName>
    <definedName name="XRefCopy1" hidden="1">#N/A</definedName>
    <definedName name="XRefCopy10" hidden="1">#REF!</definedName>
    <definedName name="XRefCopy100" hidden="1">#REF!</definedName>
    <definedName name="XRefCopy101" hidden="1">[2]INDEX!#REF!</definedName>
    <definedName name="XRefCopy101Row" hidden="1">#N/A</definedName>
    <definedName name="XRefCopy102" hidden="1">#REF!</definedName>
    <definedName name="XRefCopy103" hidden="1">#REF!</definedName>
    <definedName name="XRefCopy104" hidden="1">[2]INDEX!#REF!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0" hidden="1">[2]INDEX!#REF!</definedName>
    <definedName name="XRefCopy122Row" hidden="1">#N/A</definedName>
    <definedName name="XRefCopy123Row" hidden="1">#N/A</definedName>
    <definedName name="XRefCopy124Row" hidden="1">[2]INDEX!#REF!</definedName>
    <definedName name="XRefCopy125Row" hidden="1">[2]INDEX!#REF!</definedName>
    <definedName name="XRefCopy126Row" hidden="1">[2]INDEX!#REF!</definedName>
    <definedName name="XRefCopy12Row" hidden="1">#N/A</definedName>
    <definedName name="XRefCopy13" hidden="1">#REF!</definedName>
    <definedName name="XRefCopy13Row" hidden="1">#N/A</definedName>
    <definedName name="XRefCopy14" hidden="1">[7]F456!#REF!</definedName>
    <definedName name="XRefCopy14Row" hidden="1">#N/A</definedName>
    <definedName name="XRefCopy15" hidden="1">[3]BS!#REF!</definedName>
    <definedName name="XRefCopy15Row" hidden="1">#N/A</definedName>
    <definedName name="XRefCopy16" hidden="1">[7]F456!#REF!</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 hidden="1">[7]F456!#REF!</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 hidden="1">'[2]1300'!#REF!</definedName>
    <definedName name="XRefCopy40Row" hidden="1">#N/A</definedName>
    <definedName name="XRefCopy41" hidden="1">'[2]1300'!#REF!</definedName>
    <definedName name="XRefCopy41Row" hidden="1">#N/A</definedName>
    <definedName name="XRefCopy42" hidden="1">'[2]1300'!#REF!</definedName>
    <definedName name="XRefCopy42Row" hidden="1">#N/A</definedName>
    <definedName name="XRefCopy43" hidden="1">'[2]1300'!#REF!</definedName>
    <definedName name="XRefCopy43Row" hidden="1">#N/A</definedName>
    <definedName name="XRefCopy44" hidden="1">'[2]1300'!#REF!</definedName>
    <definedName name="XRefCopy44Row" hidden="1">#N/A</definedName>
    <definedName name="XRefCopy45" hidden="1">'[2]1300'!#REF!</definedName>
    <definedName name="XRefCopy45Row" hidden="1">#N/A</definedName>
    <definedName name="XRefCopy46" hidden="1">'[2]1300'!#REF!</definedName>
    <definedName name="XRefCopy46Row" hidden="1">#N/A</definedName>
    <definedName name="XRefCopy47" hidden="1">'[2]1300'!#REF!</definedName>
    <definedName name="XRefCopy47Row" hidden="1">#N/A</definedName>
    <definedName name="XRefCopy48" hidden="1">'[2]1300'!#REF!</definedName>
    <definedName name="XRefCopy48Row" hidden="1">#N/A</definedName>
    <definedName name="XRefCopy49" hidden="1">'[2]1300'!#REF!</definedName>
    <definedName name="XRefCopy49Row" hidden="1">#N/A</definedName>
    <definedName name="XRefCopy4Row" hidden="1">#N/A</definedName>
    <definedName name="XRefCopy5" hidden="1">#REF!</definedName>
    <definedName name="XRefCopy50" hidden="1">'[2]1300'!#REF!</definedName>
    <definedName name="XRefCopy50Row" hidden="1">#N/A</definedName>
    <definedName name="XRefCopy51" hidden="1">'[2]1300'!#REF!</definedName>
    <definedName name="XRefCopy51Row" hidden="1">#N/A</definedName>
    <definedName name="XRefCopy52" hidden="1">'[2]1300'!#REF!</definedName>
    <definedName name="XRefCopy52Row" hidden="1">#N/A</definedName>
    <definedName name="XRefCopy53" hidden="1">'[2]1300'!#REF!</definedName>
    <definedName name="XRefCopy53Row" hidden="1">#N/A</definedName>
    <definedName name="XRefCopy54" hidden="1">'[2]1300'!#REF!</definedName>
    <definedName name="XRefCopy54Row" hidden="1">#N/A</definedName>
    <definedName name="XRefCopy55" hidden="1">'[2]1300'!#REF!</definedName>
    <definedName name="XRefCopy56" hidden="1">[2]INDEX!#REF!</definedName>
    <definedName name="XRefCopy56Row" hidden="1">#N/A</definedName>
    <definedName name="XRefCopy57" hidden="1">'[6]LS (2)'!$C$26</definedName>
    <definedName name="XRefCopy57Row" hidden="1">#N/A</definedName>
    <definedName name="XRefCopy58" hidden="1">[2]INDEX!#REF!</definedName>
    <definedName name="XRefCopy58Row" hidden="1">#N/A</definedName>
    <definedName name="XRefCopy59" hidden="1">[2]INDEX!#REF!</definedName>
    <definedName name="XRefCopy59Row" hidden="1">#N/A</definedName>
    <definedName name="XRefCopy5Row" hidden="1">#N/A</definedName>
    <definedName name="XRefCopy6" hidden="1">#REF!</definedName>
    <definedName name="XRefCopy60" hidden="1">'[6]LS (2)'!$C$28</definedName>
    <definedName name="XRefCopy60Row" hidden="1">#N/A</definedName>
    <definedName name="XRefCopy61" hidden="1">[2]INDEX!#REF!</definedName>
    <definedName name="XRefCopy61Row" hidden="1">#N/A</definedName>
    <definedName name="XRefCopy62" hidden="1">[2]INDEX!#REF!</definedName>
    <definedName name="XRefCopy62Row" hidden="1">#N/A</definedName>
    <definedName name="XRefCopy63" hidden="1">[2]INDEX!#REF!</definedName>
    <definedName name="XRefCopy63Row" hidden="1">#N/A</definedName>
    <definedName name="XRefCopy64" hidden="1">[2]INDEX!#REF!</definedName>
    <definedName name="XRefCopy64Row" hidden="1">#N/A</definedName>
    <definedName name="XRefCopy65" hidden="1">[2]INDEX!#REF!</definedName>
    <definedName name="XRefCopy65Row" hidden="1">#N/A</definedName>
    <definedName name="XRefCopy66" hidden="1">#REF!</definedName>
    <definedName name="XRefCopy66Row" hidden="1">#N/A</definedName>
    <definedName name="XRefCopy67" hidden="1">[2]INDEX!#REF!</definedName>
    <definedName name="XRefCopy67Row" hidden="1">#N/A</definedName>
    <definedName name="XRefCopy68" hidden="1">[2]INDEX!#REF!</definedName>
    <definedName name="XRefCopy68Row" hidden="1">#N/A</definedName>
    <definedName name="XRefCopy69" hidden="1">[2]INDEX!#REF!</definedName>
    <definedName name="XRefCopy69Row" hidden="1">#N/A</definedName>
    <definedName name="XRefCopy6Row" hidden="1">#N/A</definedName>
    <definedName name="XRefCopy7" hidden="1">[7]F456!#REF!</definedName>
    <definedName name="XRefCopy70" hidden="1">[2]INDEX!#REF!</definedName>
    <definedName name="XRefCopy70Row" hidden="1">#N/A</definedName>
    <definedName name="XRefCopy71" hidden="1">[2]INDEX!#REF!</definedName>
    <definedName name="XRefCopy71Row" hidden="1">#N/A</definedName>
    <definedName name="XRefCopy72" hidden="1">[2]INDEX!#REF!</definedName>
    <definedName name="XRefCopy72Row" hidden="1">#N/A</definedName>
    <definedName name="XRefCopy73" hidden="1">[2]INDEX!#REF!</definedName>
    <definedName name="XRefCopy73Row" hidden="1">#N/A</definedName>
    <definedName name="XRefCopy74" hidden="1">[2]INDEX!#REF!</definedName>
    <definedName name="XRefCopy74Row" hidden="1">#N/A</definedName>
    <definedName name="XRefCopy75" hidden="1">[2]INDEX!#REF!</definedName>
    <definedName name="XRefCopy75Row" hidden="1">#N/A</definedName>
    <definedName name="XRefCopy76" hidden="1">'[6]건물 (2)'!$Q$7</definedName>
    <definedName name="XRefCopy76Row" hidden="1">#N/A</definedName>
    <definedName name="XRefCopy77" hidden="1">'[6]구축물 (2)'!$N$12</definedName>
    <definedName name="XRefCopy77Row" hidden="1">#N/A</definedName>
    <definedName name="XRefCopy78" hidden="1">[2]INDEX!#REF!</definedName>
    <definedName name="XRefCopy78Row" hidden="1">#N/A</definedName>
    <definedName name="XRefCopy79" hidden="1">'[6]차량운반구 (2)'!$P$55</definedName>
    <definedName name="XRefCopy79Row" hidden="1">#N/A</definedName>
    <definedName name="XRefCopy7Row" hidden="1">#N/A</definedName>
    <definedName name="XRefCopy8" hidden="1">[7]F456!#REF!</definedName>
    <definedName name="XRefCopy80" hidden="1">[2]INDEX!#REF!</definedName>
    <definedName name="XRefCopy80Row" hidden="1">#N/A</definedName>
    <definedName name="XRefCopy81" hidden="1">'[6]컨버터 (2)'!$N$8</definedName>
    <definedName name="XRefCopy82" hidden="1">'[6]집기비품 (2)'!$P$143</definedName>
    <definedName name="XRefCopy83" hidden="1">'[6]공구기구 (2)'!$P$7</definedName>
    <definedName name="XRefCopy84" hidden="1">#REF!</definedName>
    <definedName name="XRefCopy85" hidden="1">'[6]건물 (2)'!$X$7</definedName>
    <definedName name="XRefCopy86" hidden="1">#REF!</definedName>
    <definedName name="XRefCopy87" hidden="1">'[6]건물 (2)'!$V$7</definedName>
    <definedName name="XRefCopy88" hidden="1">#REF!</definedName>
    <definedName name="XRefCopy89" hidden="1">#REF!</definedName>
    <definedName name="XRefCopy8Row" hidden="1">#N/A</definedName>
    <definedName name="XRefCopy9" hidden="1">[7]F456!#REF!</definedName>
    <definedName name="XRefCopy90" hidden="1">'[6]유선방송설비 (2)'!$U$316</definedName>
    <definedName name="XRefCopy91" hidden="1">#REF!</definedName>
    <definedName name="XRefCopy92" hidden="1">#REF!</definedName>
    <definedName name="XRefCopy93" hidden="1">'[6]차량운반구 (2)'!$W$55</definedName>
    <definedName name="XRefCopy94" hidden="1">#REF!</definedName>
    <definedName name="XRefCopy95" hidden="1">#REF!</definedName>
    <definedName name="XRefCopy96" hidden="1">'[6]전송선로설비 (2)'!$W$44</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0Row" hidden="1">'[2]2600'!#REF!</definedName>
    <definedName name="XRefPaste101" hidden="1">'[2]2600'!#REF!</definedName>
    <definedName name="XRefPaste101Row" hidden="1">'[2]2600'!#REF!</definedName>
    <definedName name="XRefPaste102" hidden="1">'[2]2600'!#REF!</definedName>
    <definedName name="XRefPaste102Row" hidden="1">'[2]2600'!#REF!</definedName>
    <definedName name="XRefPaste104Row" hidden="1">'[2]2600'!#REF!</definedName>
    <definedName name="XRefPaste105" hidden="1">#REF!</definedName>
    <definedName name="XRefPaste105Row" hidden="1">'[2]2600'!#REF!</definedName>
    <definedName name="XRefPaste106" hidden="1">#REF!</definedName>
    <definedName name="XRefPaste106Row" hidden="1">'[2]2600'!#REF!</definedName>
    <definedName name="XRefPaste107" hidden="1">[1]IS!#REF!</definedName>
    <definedName name="XRefPaste107Row" hidden="1">'[2]2600'!#REF!</definedName>
    <definedName name="XRefPaste108" hidden="1">[1]IS!#REF!</definedName>
    <definedName name="XRefPaste108Row" hidden="1">'[2]2600'!#REF!</definedName>
    <definedName name="XRefPaste109" hidden="1">[1]IS!#REF!</definedName>
    <definedName name="XRefPaste10Row" hidden="1">[8]심리RN!#REF!</definedName>
    <definedName name="XRefPaste11" hidden="1">#N/A</definedName>
    <definedName name="XRefPaste110" hidden="1">[1]IS!#REF!</definedName>
    <definedName name="XRefPaste111" hidden="1">'[5]PAJE,PRJE'!#REF!</definedName>
    <definedName name="XRefPaste112" hidden="1">'[5]PAJE,PRJE'!#REF!</definedName>
    <definedName name="XRefPaste113" hidden="1">'[5]PAJE,PRJE'!#REF!</definedName>
    <definedName name="XRefPaste114" hidden="1">'[2]2500'!#REF!</definedName>
    <definedName name="XRefPaste115" hidden="1">'[2]2500'!#REF!</definedName>
    <definedName name="XRefPaste116" hidden="1">'[2]2500'!#REF!</definedName>
    <definedName name="XRefPaste117" hidden="1">'[2]2500'!#REF!</definedName>
    <definedName name="XRefPaste12" hidden="1">#REF!</definedName>
    <definedName name="XRefPaste120" hidden="1">'[2]2500'!#REF!</definedName>
    <definedName name="XRefPaste121" hidden="1">'[2]2500'!#REF!</definedName>
    <definedName name="XRefPaste124" hidden="1">'[2]2500'!#REF!</definedName>
    <definedName name="XRefPaste126" hidden="1">'[2]2500'!#REF!</definedName>
    <definedName name="XRefPaste129" hidden="1">'[2]2500'!#REF!</definedName>
    <definedName name="XRefPaste13" hidden="1">#REF!</definedName>
    <definedName name="XRefPaste130" hidden="1">'[2]2500'!#REF!</definedName>
    <definedName name="XRefPaste134" hidden="1">'[2]2500'!#REF!</definedName>
    <definedName name="XRefPaste135" hidden="1">'[2]2500'!#REF!</definedName>
    <definedName name="XRefPaste136" hidden="1">'[2]2500'!#REF!</definedName>
    <definedName name="XRefPaste138" hidden="1">'[2]2500'!#REF!</definedName>
    <definedName name="XRefPaste14" hidden="1">#REF!</definedName>
    <definedName name="XRefPaste140" hidden="1">'[2]2600'!#REF!</definedName>
    <definedName name="XRefPaste143" hidden="1">'[5]PAJE,PRJE'!#REF!</definedName>
    <definedName name="XRefPaste144" hidden="1">'[2]2600'!#REF!</definedName>
    <definedName name="XRefPaste145" hidden="1">'[2]2600'!#REF!</definedName>
    <definedName name="XRefPaste146" hidden="1">'[2]2600'!#REF!</definedName>
    <definedName name="XRefPaste146Row" hidden="1">#REF!</definedName>
    <definedName name="XRefPaste147" hidden="1">'[2]2600'!#REF!</definedName>
    <definedName name="XRefPaste147Row" hidden="1">#REF!</definedName>
    <definedName name="XRefPaste148" hidden="1">[1]IS!#REF!</definedName>
    <definedName name="XRefPaste149" hidden="1">[1]IS!#REF!</definedName>
    <definedName name="XRefPaste15" hidden="1">#REF!</definedName>
    <definedName name="XRefPaste150" hidden="1">[1]IS!#REF!</definedName>
    <definedName name="XRefPaste151" hidden="1">[1]IS!#REF!</definedName>
    <definedName name="XRefPaste152" hidden="1">[1]IS!#REF!</definedName>
    <definedName name="XRefPaste153" hidden="1">'[2]2600'!#REF!</definedName>
    <definedName name="XRefPaste154" hidden="1">'[2]2600'!#REF!</definedName>
    <definedName name="XRefPaste155" hidden="1">[1]IS!#REF!</definedName>
    <definedName name="XRefPaste156" hidden="1">[1]IS!#REF!</definedName>
    <definedName name="XRefPaste157" hidden="1">[1]IS!#REF!</definedName>
    <definedName name="XRefPaste158" hidden="1">[1]IS!#REF!</definedName>
    <definedName name="XRefPaste159" hidden="1">[1]IS!#REF!</definedName>
    <definedName name="XRefPaste15Row" hidden="1">'[2]1300'!#REF!</definedName>
    <definedName name="XRefPaste16" hidden="1">#N/A</definedName>
    <definedName name="XRefPaste160" hidden="1">[1]IS!#REF!</definedName>
    <definedName name="XRefPaste161" hidden="1">'[2]2600'!#REF!</definedName>
    <definedName name="XRefPaste162" hidden="1">'[2]2600'!#REF!</definedName>
    <definedName name="XRefPaste163" hidden="1">[1]IS!#REF!</definedName>
    <definedName name="XRefPaste164" hidden="1">[1]IS!#REF!</definedName>
    <definedName name="XRefPaste165" hidden="1">[1]IS!#REF!</definedName>
    <definedName name="XRefPaste166" hidden="1">[1]IS!#REF!</definedName>
    <definedName name="XRefPaste167" hidden="1">[1]IS!#REF!</definedName>
    <definedName name="XRefPaste168" hidden="1">[1]IS!#REF!</definedName>
    <definedName name="XRefPaste169" hidden="1">[1]IS!#REF!</definedName>
    <definedName name="XRefPaste16Row" hidden="1">'[2]1300'!#REF!</definedName>
    <definedName name="XRefPaste17" hidden="1">#N/A</definedName>
    <definedName name="XRefPaste170" hidden="1">[1]IS!#REF!</definedName>
    <definedName name="XRefPaste171" hidden="1">[1]IS!#REF!</definedName>
    <definedName name="XRefPaste172" hidden="1">[1]IS!#REF!</definedName>
    <definedName name="XRefPaste173" hidden="1">[1]IS!#REF!</definedName>
    <definedName name="XRefPaste174" hidden="1">[1]IS!#REF!</definedName>
    <definedName name="XRefPaste175" hidden="1">[1]IS!#REF!</definedName>
    <definedName name="XRefPaste179" hidden="1">[1]IS!#REF!</definedName>
    <definedName name="XRefPaste17Row" hidden="1">'[2]1300'!#REF!</definedName>
    <definedName name="XRefPaste18" hidden="1">#N/A</definedName>
    <definedName name="XRefPaste180" hidden="1">[1]IS!#REF!</definedName>
    <definedName name="XRefPaste180Row" hidden="1">[9]XREF!#REF!</definedName>
    <definedName name="XRefPaste181" hidden="1">[1]IS!#REF!</definedName>
    <definedName name="XRefPaste182" hidden="1">[1]IS!#REF!</definedName>
    <definedName name="XRefPaste183" hidden="1">[1]IS!#REF!</definedName>
    <definedName name="XRefPaste184" hidden="1">'[2]2600'!#REF!</definedName>
    <definedName name="XRefPaste185" hidden="1">'[2]2600'!#REF!</definedName>
    <definedName name="XRefPaste186" hidden="1">[1]IS!#REF!</definedName>
    <definedName name="XRefPaste187" hidden="1">[1]IS!#REF!</definedName>
    <definedName name="XRefPaste188" hidden="1">'[2]2600'!#REF!</definedName>
    <definedName name="XRefPaste189" hidden="1">'[2]2600'!#REF!</definedName>
    <definedName name="XRefPaste18Row" hidden="1">[10]XREF!#REF!</definedName>
    <definedName name="XRefPaste19" hidden="1">#N/A</definedName>
    <definedName name="XRefPaste190Row" hidden="1">'[2]3100'!#REF!</definedName>
    <definedName name="XRefPaste191Row" hidden="1">'[2]3100'!#REF!</definedName>
    <definedName name="XRefPaste192Row" hidden="1">'[2]3100'!#REF!</definedName>
    <definedName name="XRefPaste193Row" hidden="1">'[2]3100'!#REF!</definedName>
    <definedName name="XRefPaste194" hidden="1">'[2]2500'!#REF!</definedName>
    <definedName name="XRefPaste194Row" hidden="1">'[2]3100'!#REF!</definedName>
    <definedName name="XRefPaste195Row" hidden="1">'[2]3100'!#REF!</definedName>
    <definedName name="XRefPaste196Row" hidden="1">'[2]3100'!#REF!</definedName>
    <definedName name="XRefPaste197" hidden="1">'[2]2500'!#REF!</definedName>
    <definedName name="XRefPaste197Row" hidden="1">'[2]3100'!#REF!</definedName>
    <definedName name="XRefPaste198" hidden="1">'[5]PAJE,PRJE'!#REF!</definedName>
    <definedName name="XRefPaste198Row" hidden="1">'[2]3100'!#REF!</definedName>
    <definedName name="XRefPaste199" hidden="1">#REF!</definedName>
    <definedName name="XRefPaste199Row" hidden="1">'[2]3100'!#REF!</definedName>
    <definedName name="XRefPaste19Row" hidden="1">[10]XREF!#REF!</definedName>
    <definedName name="XRefPaste2" hidden="1">#N/A</definedName>
    <definedName name="XRefPaste20" hidden="1">'[2]1300'!#REF!</definedName>
    <definedName name="XRefPaste200" hidden="1">#REF!</definedName>
    <definedName name="XRefPaste200Row" hidden="1">'[2]3100'!#REF!</definedName>
    <definedName name="XRefPaste201" hidden="1">'[2]2500'!#REF!</definedName>
    <definedName name="XRefPaste201Row" hidden="1">'[2]3100'!#REF!</definedName>
    <definedName name="XRefPaste202" hidden="1">'[2]2500'!#REF!</definedName>
    <definedName name="XRefPaste202Row" hidden="1">'[2]3100'!#REF!</definedName>
    <definedName name="XRefPaste203" hidden="1">'[2]2500'!#REF!</definedName>
    <definedName name="XRefPaste203Row" hidden="1">'[2]3100'!#REF!</definedName>
    <definedName name="XRefPaste204" hidden="1">#REF!</definedName>
    <definedName name="XRefPaste204Row" hidden="1">'[2]3100'!#REF!</definedName>
    <definedName name="XRefPaste205" hidden="1">#REF!</definedName>
    <definedName name="XRefPaste205Row" hidden="1">'[2]3100'!#REF!</definedName>
    <definedName name="XRefPaste206" hidden="1">#REF!</definedName>
    <definedName name="XRefPaste206Row" hidden="1">'[2]3100'!#REF!</definedName>
    <definedName name="XRefPaste207" hidden="1">#REF!</definedName>
    <definedName name="XRefPaste207Row" hidden="1">'[2]3100'!#REF!</definedName>
    <definedName name="XRefPaste208" hidden="1">'[2]2500'!#REF!</definedName>
    <definedName name="XRefPaste208Row" hidden="1">'[2]3100'!#REF!</definedName>
    <definedName name="XRefPaste209" hidden="1">'[2]2500'!#REF!</definedName>
    <definedName name="XRefPaste209Row" hidden="1">'[2]3100'!#REF!</definedName>
    <definedName name="XRefPaste20Row" hidden="1">[10]XREF!#REF!</definedName>
    <definedName name="XRefPaste21" hidden="1">'[2]1300'!#REF!</definedName>
    <definedName name="XRefPaste210" hidden="1">#REF!</definedName>
    <definedName name="XRefPaste210Row" hidden="1">'[2]3100'!#REF!</definedName>
    <definedName name="XRefPaste211" hidden="1">#REF!</definedName>
    <definedName name="XRefPaste211Row" hidden="1">'[2]3100'!#REF!</definedName>
    <definedName name="XRefPaste212" hidden="1">#REF!</definedName>
    <definedName name="XRefPaste212Row" hidden="1">'[2]3100'!#REF!</definedName>
    <definedName name="XRefPaste213" hidden="1">#REF!</definedName>
    <definedName name="XRefPaste213Row" hidden="1">'[2]3100'!#REF!</definedName>
    <definedName name="XRefPaste214" hidden="1">#REF!</definedName>
    <definedName name="XRefPaste214Row" hidden="1">'[2]3100'!#REF!</definedName>
    <definedName name="XRefPaste215" hidden="1">'[2]2500'!#REF!</definedName>
    <definedName name="XRefPaste215Row" hidden="1">'[2]3100'!#REF!</definedName>
    <definedName name="XRefPaste216" hidden="1">#REF!</definedName>
    <definedName name="XRefPaste216Row" hidden="1">'[2]3100'!#REF!</definedName>
    <definedName name="XRefPaste217" hidden="1">#REF!</definedName>
    <definedName name="XRefPaste217Row" hidden="1">'[2]3100'!#REF!</definedName>
    <definedName name="XRefPaste218" hidden="1">#REF!</definedName>
    <definedName name="XRefPaste218Row" hidden="1">'[2]3100'!#REF!</definedName>
    <definedName name="XRefPaste219" hidden="1">#REF!</definedName>
    <definedName name="XRefPaste219Row" hidden="1">'[2]3100'!#REF!</definedName>
    <definedName name="XRefPaste21Row" hidden="1">[10]XREF!#REF!</definedName>
    <definedName name="XRefPaste22" hidden="1">'[2]1300'!#REF!</definedName>
    <definedName name="XRefPaste220" hidden="1">#REF!</definedName>
    <definedName name="XRefPaste220Row" hidden="1">'[2]3100'!#REF!</definedName>
    <definedName name="XRefPaste221" hidden="1">#REF!</definedName>
    <definedName name="XRefPaste221Row" hidden="1">'[2]3100'!#REF!</definedName>
    <definedName name="XRefPaste222" hidden="1">#REF!</definedName>
    <definedName name="XRefPaste222Row" hidden="1">'[2]3100'!#REF!</definedName>
    <definedName name="XRefPaste223" hidden="1">#REF!</definedName>
    <definedName name="XRefPaste223Row" hidden="1">'[2]3100'!#REF!</definedName>
    <definedName name="XRefPaste224" hidden="1">#REF!</definedName>
    <definedName name="XRefPaste224Row" hidden="1">'[2]3100'!#REF!</definedName>
    <definedName name="XRefPaste225" hidden="1">#REF!</definedName>
    <definedName name="XRefPaste225Row" hidden="1">'[2]3100'!#REF!</definedName>
    <definedName name="XRefPaste226" hidden="1">#REF!</definedName>
    <definedName name="XRefPaste226Row" hidden="1">'[2]3100'!#REF!</definedName>
    <definedName name="XRefPaste227" hidden="1">#REF!</definedName>
    <definedName name="XRefPaste227Row" hidden="1">'[2]3100'!#REF!</definedName>
    <definedName name="XRefPaste228" hidden="1">#REF!</definedName>
    <definedName name="XRefPaste228Row" hidden="1">'[2]3100'!#REF!</definedName>
    <definedName name="XRefPaste229" hidden="1">#REF!</definedName>
    <definedName name="XRefPaste229Row" hidden="1">'[2]3100'!#REF!</definedName>
    <definedName name="XRefPaste22Row" hidden="1">[10]XREF!#REF!</definedName>
    <definedName name="XRefPaste23" hidden="1">'[5]PAJE,PRJE'!#REF!</definedName>
    <definedName name="XRefPaste230" hidden="1">#REF!</definedName>
    <definedName name="XRefPaste230Row" hidden="1">'[2]3100'!#REF!</definedName>
    <definedName name="XRefPaste231" hidden="1">#REF!</definedName>
    <definedName name="XRefPaste231Row" hidden="1">'[2]3100'!#REF!</definedName>
    <definedName name="XRefPaste232" hidden="1">#REF!</definedName>
    <definedName name="XRefPaste232Row" hidden="1">'[2]3100'!#REF!</definedName>
    <definedName name="XRefPaste233Row" hidden="1">'[2]3100'!#REF!</definedName>
    <definedName name="XRefPaste234Row" hidden="1">'[2]3100'!#REF!</definedName>
    <definedName name="XRefPaste235" hidden="1">[5]WTB!#REF!</definedName>
    <definedName name="XRefPaste235Row" hidden="1">'[2]3100'!#REF!</definedName>
    <definedName name="XRefPaste236Row" hidden="1">'[2]3100'!#REF!</definedName>
    <definedName name="XRefPaste237Row" hidden="1">'[2]3100'!#REF!</definedName>
    <definedName name="XRefPaste238Row" hidden="1">'[2]3100'!#REF!</definedName>
    <definedName name="XRefPaste239Row" hidden="1">'[2]3100'!#REF!</definedName>
    <definedName name="XRefPaste23Row" hidden="1">[10]XREF!#REF!</definedName>
    <definedName name="XRefPaste24" hidden="1">#REF!</definedName>
    <definedName name="XRefPaste240" hidden="1">'[2]2600'!#REF!</definedName>
    <definedName name="XRefPaste240Row" hidden="1">'[2]3100'!#REF!</definedName>
    <definedName name="XRefPaste241" hidden="1">'[2]2600'!#REF!</definedName>
    <definedName name="XRefPaste241Row" hidden="1">'[2]3100'!#REF!</definedName>
    <definedName name="XRefPaste242" hidden="1">'[2]2600'!#REF!</definedName>
    <definedName name="XRefPaste242Row" hidden="1">'[2]3100'!#REF!</definedName>
    <definedName name="XRefPaste243" hidden="1">'[2]2600'!#REF!</definedName>
    <definedName name="XRefPaste243Row" hidden="1">'[2]3100'!#REF!</definedName>
    <definedName name="XRefPaste244" hidden="1">'[2]2600'!#REF!</definedName>
    <definedName name="XRefPaste244Row" hidden="1">'[2]3100'!#REF!</definedName>
    <definedName name="XRefPaste245Row" hidden="1">'[2]3100'!#REF!</definedName>
    <definedName name="XRefPaste246Row" hidden="1">'[2]3100'!#REF!</definedName>
    <definedName name="XRefPaste24Row" hidden="1">[10]XREF!#REF!</definedName>
    <definedName name="XRefPaste25" hidden="1">#REF!</definedName>
    <definedName name="XRefPaste25Row" hidden="1">[10]XREF!#REF!</definedName>
    <definedName name="XRefPaste26" hidden="1">#REF!</definedName>
    <definedName name="XRefPaste26Row" hidden="1">[10]XREF!#REF!</definedName>
    <definedName name="XRefPaste27" hidden="1">'[5]PAJE,PRJE'!#REF!</definedName>
    <definedName name="XRefPaste27Row" hidden="1">[10]XREF!#REF!</definedName>
    <definedName name="XRefPaste28" hidden="1">'[5]PAJE,PRJE'!#REF!</definedName>
    <definedName name="XRefPaste28Row" hidden="1">[10]XREF!#REF!</definedName>
    <definedName name="XRefPaste29" hidden="1">[2]INDEX!#REF!</definedName>
    <definedName name="XRefPaste29Row" hidden="1">[10]XREF!#REF!</definedName>
    <definedName name="XRefPaste2Row" hidden="1">#N/A</definedName>
    <definedName name="XRefPaste3" hidden="1">#REF!</definedName>
    <definedName name="XRefPaste30" hidden="1">'[5]PAJE,PRJE'!#REF!</definedName>
    <definedName name="XRefPaste30Row" hidden="1">'[2]1300'!#REF!</definedName>
    <definedName name="XRefPaste31" hidden="1">'[5]PAJE,PRJE'!#REF!</definedName>
    <definedName name="XRefPaste31Row" hidden="1">'[2]1300'!#REF!</definedName>
    <definedName name="XRefPaste32" hidden="1">[2]INDEX!#REF!</definedName>
    <definedName name="XRefPaste32Row" hidden="1">#N/A</definedName>
    <definedName name="XRefPaste33" hidden="1">[3]BS!#REF!</definedName>
    <definedName name="XRefPaste33Row" hidden="1">[10]XREF!#REF!</definedName>
    <definedName name="XRefPaste34" hidden="1">[3]BS!#REF!</definedName>
    <definedName name="XRefPaste34Row" hidden="1">#N/A</definedName>
    <definedName name="XRefPaste35" hidden="1">[3]BS!#REF!</definedName>
    <definedName name="XRefPaste35Row" hidden="1">#N/A</definedName>
    <definedName name="XRefPaste36" hidden="1">[3]BS!#REF!</definedName>
    <definedName name="XRefPaste36Row" hidden="1">#N/A</definedName>
    <definedName name="XRefPaste37" hidden="1">[3]BS!#REF!</definedName>
    <definedName name="XRefPaste37Row" hidden="1">#N/A</definedName>
    <definedName name="XRefPaste38" hidden="1">[3]BS!#REF!</definedName>
    <definedName name="XRefPaste38Row" hidden="1">#N/A</definedName>
    <definedName name="XRefPaste39" hidden="1">[3]BS!#REF!</definedName>
    <definedName name="XRefPaste39Row" hidden="1">#N/A</definedName>
    <definedName name="XRefPaste3Row" hidden="1">#N/A</definedName>
    <definedName name="XRefPaste4" hidden="1">#REF!</definedName>
    <definedName name="XRefPaste40" hidden="1">[3]BS!#REF!</definedName>
    <definedName name="XRefPaste40Row" hidden="1">#N/A</definedName>
    <definedName name="XRefPaste41" hidden="1">[3]BS!#REF!</definedName>
    <definedName name="XRefPaste41Row" hidden="1">#N/A</definedName>
    <definedName name="XRefPaste42" hidden="1">[3]BS!#REF!</definedName>
    <definedName name="XRefPaste42Row" hidden="1">#N/A</definedName>
    <definedName name="XRefPaste43" hidden="1">'[5]PAJE,PRJE'!#REF!</definedName>
    <definedName name="XRefPaste43Row" hidden="1">#N/A</definedName>
    <definedName name="XRefPaste44" hidden="1">'[5]PAJE,PRJE'!#REF!</definedName>
    <definedName name="XRefPaste44Row" hidden="1">#N/A</definedName>
    <definedName name="XRefPaste45" hidden="1">'[2]2600'!#REF!</definedName>
    <definedName name="XRefPaste45Row" hidden="1">#N/A</definedName>
    <definedName name="XRefPaste46" hidden="1">'[5]PAJE,PRJE'!#REF!</definedName>
    <definedName name="XRefPaste47" hidden="1">#REF!</definedName>
    <definedName name="XRefPaste48" hidden="1">#REF!</definedName>
    <definedName name="XRefPaste49" hidden="1">'[6]유선방송설비 (2)'!$H$316</definedName>
    <definedName name="XRefPaste4Row" hidden="1">#N/A</definedName>
    <definedName name="XRefPaste5" hidden="1">[3]BS!#REF!</definedName>
    <definedName name="XRefPaste50" hidden="1">'[6]차량운반구 (2)'!$H$55</definedName>
    <definedName name="XRefPaste51" hidden="1">'[6]전송선로설비 (2)'!$H$21</definedName>
    <definedName name="XRefPaste52" hidden="1">'[6]집기비품 (2)'!$H$94</definedName>
    <definedName name="XRefPaste53" hidden="1">'[6]공구기구 (2)'!$H$7</definedName>
    <definedName name="XRefPaste54" hidden="1">#REF!</definedName>
    <definedName name="XRefPaste55" hidden="1">'[6]구축물 (2)'!$L$12</definedName>
    <definedName name="XRefPaste56" hidden="1">#REF!</definedName>
    <definedName name="XRefPaste58" hidden="1">#REF!</definedName>
    <definedName name="XRefPaste59" hidden="1">'[6]전송선로설비 (2)'!$N$44</definedName>
    <definedName name="XRefPaste5Row" hidden="1">#N/A</definedName>
    <definedName name="XRefPaste6" hidden="1">[3]BS!#REF!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'[5]PAJE,PRJE'!#REF!</definedName>
    <definedName name="XRefPaste68" hidden="1">'[5]PAJE,PRJE'!#REF!</definedName>
    <definedName name="XRefPaste69" hidden="1">'[5]PAJE,PRJE'!#REF!</definedName>
    <definedName name="XRefPaste6Row" hidden="1">#N/A</definedName>
    <definedName name="XRefPaste7" hidden="1">[3]BS!#REF!</definedName>
    <definedName name="XRefPaste70" hidden="1">'[5]PAJE,PRJE'!#REF!</definedName>
    <definedName name="XRefPaste71" hidden="1">'[5]PAJE,PRJE'!#REF!</definedName>
    <definedName name="XRefPaste72" hidden="1">'[6]건물 (2)'!$Z$7</definedName>
    <definedName name="XRefPaste73" hidden="1">'[6]건물 (2)'!$X$7</definedName>
    <definedName name="XRefPaste74" hidden="1">#REF!</definedName>
    <definedName name="XRefPaste75" hidden="1">'[6]구축물 (2)'!$R$12</definedName>
    <definedName name="XRefPaste76" hidden="1">#REF!</definedName>
    <definedName name="XRefPaste77" hidden="1">#REF!</definedName>
    <definedName name="XRefPaste78" hidden="1">#REF!</definedName>
    <definedName name="XRefPaste79" hidden="1">'[6]차량운반구 (2)'!$Y$55</definedName>
    <definedName name="XRefPaste7Row" hidden="1">#N/A</definedName>
    <definedName name="XRefPaste8" hidden="1">[3]BS!#REF!</definedName>
    <definedName name="XRefPaste80" hidden="1">#REF!</definedName>
    <definedName name="XRefPaste81" hidden="1">'[6]차량운반구 (2)'!$U$55</definedName>
    <definedName name="XRefPaste82" hidden="1">'[6]전송선로설비 (2)'!$Y$21</definedName>
    <definedName name="XRefPaste83" hidden="1">#REF!</definedName>
    <definedName name="XRefPaste84" hidden="1">'[6]전송선로설비 (2)'!$U$21</definedName>
    <definedName name="XRefPaste85" hidden="1">'[6]컨버터 (2)'!$R$8</definedName>
    <definedName name="XRefPaste86" hidden="1">'[6]집기비품 (2)'!$Y$94</definedName>
    <definedName name="XRefPaste87" hidden="1">'[6]집기비품 (2)'!$U$94</definedName>
    <definedName name="XRefPaste88" hidden="1">'[6]집기비품 (2)'!$W$143</definedName>
    <definedName name="XRefPaste89" hidden="1">'[6]공구기구 (2)'!$W$7</definedName>
    <definedName name="XRefPaste89Row" hidden="1">'[2]2600'!#REF!</definedName>
    <definedName name="XRefPaste8Row" hidden="1">#N/A</definedName>
    <definedName name="XRefPaste9" hidden="1">[3]BS!#REF!</definedName>
    <definedName name="XRefPaste90" hidden="1">'[6]공구기구 (2)'!$S$7</definedName>
    <definedName name="XRefPaste90Row" hidden="1">'[2]2600'!#REF!</definedName>
    <definedName name="XRefPaste91" hidden="1">'[2]2500'!#REF!</definedName>
    <definedName name="XRefPaste91Row" hidden="1">'[2]2600'!#REF!</definedName>
    <definedName name="XRefPaste92" hidden="1">'[2]2500'!#REF!</definedName>
    <definedName name="XRefPaste92Row" hidden="1">'[2]2600'!#REF!</definedName>
    <definedName name="XRefPaste93" hidden="1">'[2]2500'!#REF!</definedName>
    <definedName name="XRefPaste93Row" hidden="1">'[2]2600'!#REF!</definedName>
    <definedName name="XRefPaste94Row" hidden="1">'[2]2600'!#REF!</definedName>
    <definedName name="XRefPaste95Row" hidden="1">'[2]2600'!#REF!</definedName>
    <definedName name="XRefPaste96" hidden="1">'[2]2500'!#REF!</definedName>
    <definedName name="XRefPaste96Row" hidden="1">'[2]2600'!#REF!</definedName>
    <definedName name="XRefPaste97" hidden="1">'[2]2500'!#REF!</definedName>
    <definedName name="XRefPaste97Row" hidden="1">'[2]2600'!#REF!</definedName>
    <definedName name="XRefPaste98" hidden="1">'[2]2500'!#REF!</definedName>
    <definedName name="XRefPaste98Row" hidden="1">'[2]2600'!#REF!</definedName>
    <definedName name="XRefPaste99" hidden="1">'[2]2500'!#REF!</definedName>
    <definedName name="XRefPaste99Row" hidden="1">'[2]2600'!#REF!</definedName>
    <definedName name="XRefPaste9Row" hidden="1">#N/A</definedName>
    <definedName name="XRefPasteRangeCount" hidden="1">2</definedName>
    <definedName name="XS" hidden="1">{#N/A,#N/A,FALSE,"을지 (4)";#N/A,#N/A,FALSE,"을지 (5)";#N/A,#N/A,FALSE,"을지 (6)"}</definedName>
    <definedName name="ZX" hidden="1">{#N/A,#N/A,FALSE,"초도품";#N/A,#N/A,FALSE,"초도품 (2)";#N/A,#N/A,FALSE,"초도품 (3)";#N/A,#N/A,FALSE,"초도품 (4)";#N/A,#N/A,FALSE,"초도품 (5)";#N/A,#N/A,FALSE,"초도품 (6)"}</definedName>
    <definedName name="ппп" hidden="1">#N/A</definedName>
    <definedName name="ㄱ" hidden="1">{#N/A,#N/A,FALSE,"BS";#N/A,#N/A,FALSE,"PL";#N/A,#N/A,FALSE,"처분";#N/A,#N/A,FALSE,"현금";#N/A,#N/A,FALSE,"매출";#N/A,#N/A,FALSE,"원가";#N/A,#N/A,FALSE,"경영"}</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{#N/A,#N/A,FALSE,"UNIT";#N/A,#N/A,FALSE,"UNIT";#N/A,#N/A,FALSE,"계정"}</definedName>
    <definedName name="ㄱㄱㄱㄱㄱ" hidden="1">{#N/A,#N/A,FALSE,"UNIT";#N/A,#N/A,FALSE,"UNIT";#N/A,#N/A,FALSE,"계정"}</definedName>
    <definedName name="ㄱㅇ" hidden="1">{#N/A,#N/A,FALSE,"단축1";#N/A,#N/A,FALSE,"단축2";#N/A,#N/A,FALSE,"단축3";#N/A,#N/A,FALSE,"장축";#N/A,#N/A,FALSE,"4WD"}</definedName>
    <definedName name="가" hidden="1">{#N/A,#N/A,FALSE,"BS";#N/A,#N/A,FALSE,"PL";#N/A,#N/A,FALSE,"처분";#N/A,#N/A,FALSE,"현금";#N/A,#N/A,FALSE,"매출";#N/A,#N/A,FALSE,"원가";#N/A,#N/A,FALSE,"경영"}</definedName>
    <definedName name="가나" hidden="1">[7]F456!#REF!</definedName>
    <definedName name="가아ㅓ라어" hidden="1">{#N/A,#N/A,FALSE,"초도품";#N/A,#N/A,FALSE,"초도품 (2)";#N/A,#N/A,FALSE,"초도품 (3)";#N/A,#N/A,FALSE,"초도품 (4)";#N/A,#N/A,FALSE,"초도품 (5)";#N/A,#N/A,FALSE,"초도품 (6)"}</definedName>
    <definedName name="간" hidden="1">{#N/A,#N/A,FALSE,"UNIT";#N/A,#N/A,FALSE,"UNIT";#N/A,#N/A,FALSE,"계정"}</definedName>
    <definedName name="거리도모" hidden="1">{#N/A,#N/A,FALSE,"BS";#N/A,#N/A,FALSE,"PL";#N/A,#N/A,FALSE,"처분";#N/A,#N/A,FALSE,"현금";#N/A,#N/A,FALSE,"매출";#N/A,#N/A,FALSE,"원가";#N/A,#N/A,FALSE,"경영"}</definedName>
    <definedName name="건물임." hidden="1">{"'손익현황'!$A$1:$J$29"}</definedName>
    <definedName name="경영지표2" hidden="1">#REF!</definedName>
    <definedName name="계량기재료비분석" hidden="1">{#N/A,#N/A,FALSE,"UNIT";#N/A,#N/A,FALSE,"UNIT";#N/A,#N/A,FALSE,"계정"}</definedName>
    <definedName name="계획1" hidden="1">{#N/A,#N/A,FALSE,"UNIT";#N/A,#N/A,FALSE,"UNIT";#N/A,#N/A,FALSE,"계정"}</definedName>
    <definedName name="공" hidden="1">{"'손익현황'!$A$1:$J$29"}</definedName>
    <definedName name="공구" hidden="1">{"'손익현황'!$A$1:$J$29"}</definedName>
    <definedName name="공구기구" hidden="1">{"'손익현황'!$A$1:$J$29"}</definedName>
    <definedName name="구" hidden="1">{#N/A,#N/A,FALSE,"BS";#N/A,#N/A,FALSE,"PL";#N/A,#N/A,FALSE,"처분";#N/A,#N/A,FALSE,"현금";#N/A,#N/A,FALSE,"매출";#N/A,#N/A,FALSE,"원가";#N/A,#N/A,FALSE,"경영"}</definedName>
    <definedName name="구축물임" hidden="1">{"'손익현황'!$A$1:$J$29"}</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hidden="1">{#N/A,#N/A,FALSE,"UNIT";#N/A,#N/A,FALSE,"UNIT";#N/A,#N/A,FALSE,"계정"}</definedName>
    <definedName name="기기투자리스트" hidden="1">{#N/A,#N/A,FALSE,"UNIT";#N/A,#N/A,FALSE,"UNIT";#N/A,#N/A,FALSE,"계정"}</definedName>
    <definedName name="기존" hidden="1">{#N/A,#N/A,FALSE,"UNIT";#N/A,#N/A,FALSE,"UNIT";#N/A,#N/A,FALSE,"계정"}</definedName>
    <definedName name="김대업" hidden="1">{#N/A,#N/A,FALSE,"기술료 비교"}</definedName>
    <definedName name="김종묵" hidden="1">{#N/A,#N/A,FALSE,"기술료 비교"}</definedName>
    <definedName name="ㄴ" hidden="1">{#N/A,#N/A,FALSE,"BS";#N/A,#N/A,FALSE,"PL";#N/A,#N/A,FALSE,"처분";#N/A,#N/A,FALSE,"현금";#N/A,#N/A,FALSE,"매출";#N/A,#N/A,FALSE,"원가";#N/A,#N/A,FALSE,"경영"}</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{#N/A,#N/A,FALSE,"BS";#N/A,#N/A,FALSE,"PL";#N/A,#N/A,FALSE,"처분";#N/A,#N/A,FALSE,"현금";#N/A,#N/A,FALSE,"매출";#N/A,#N/A,FALSE,"원가";#N/A,#N/A,FALSE,"경영"}</definedName>
    <definedName name="ㄴㄴㄴㄴ" hidden="1">{#N/A,#N/A,FALSE,"UNIT";#N/A,#N/A,FALSE,"UNIT";#N/A,#N/A,FALSE,"계정"}</definedName>
    <definedName name="ㄴㅇㄹ" hidden="1">{#N/A,#N/A,FALSE,"UNIT";#N/A,#N/A,FALSE,"UNIT";#N/A,#N/A,FALSE,"계정"}</definedName>
    <definedName name="나" hidden="1">{#N/A,#N/A,FALSE,"BS";#N/A,#N/A,FALSE,"PL";#N/A,#N/A,FALSE,"처분";#N/A,#N/A,FALSE,"현금";#N/A,#N/A,FALSE,"매출";#N/A,#N/A,FALSE,"원가";#N/A,#N/A,FALSE,"경영"}</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hidden="1">#REF!</definedName>
    <definedName name="다"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hidden="1">{#N/A,#N/A,FALSE,"BS";#N/A,#N/A,FALSE,"PL";#N/A,#N/A,FALSE,"처분";#N/A,#N/A,FALSE,"현금";#N/A,#N/A,FALSE,"매출";#N/A,#N/A,FALSE,"원가";#N/A,#N/A,FALSE,"경영"}</definedName>
    <definedName name="대" hidden="1">#REF!</definedName>
    <definedName name="대련" hidden="1">{#N/A,#N/A,FALSE,"UNIT";#N/A,#N/A,FALSE,"UNIT";#N/A,#N/A,FALSE,"계정"}</definedName>
    <definedName name="도"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hidden="1">{#N/A,#N/A,FALSE,"BS";#N/A,#N/A,FALSE,"PL";#N/A,#N/A,FALSE,"처분";#N/A,#N/A,FALSE,"현금";#N/A,#N/A,FALSE,"매출";#N/A,#N/A,FALSE,"원가";#N/A,#N/A,FALSE,"경영"}</definedName>
    <definedName name="두" hidden="1">{#N/A,#N/A,FALSE,"BS";#N/A,#N/A,FALSE,"PL";#N/A,#N/A,FALSE,"처분";#N/A,#N/A,FALSE,"현금";#N/A,#N/A,FALSE,"매출";#N/A,#N/A,FALSE,"원가";#N/A,#N/A,FALSE,"경영"}</definedName>
    <definedName name="두려" hidden="1">{#N/A,#N/A,FALSE,"BS";#N/A,#N/A,FALSE,"PL";#N/A,#N/A,FALSE,"처분";#N/A,#N/A,FALSE,"현금";#N/A,#N/A,FALSE,"매출";#N/A,#N/A,FALSE,"원가";#N/A,#N/A,FALSE,"경영"}</definedName>
    <definedName name="ㄹ" hidden="1">{#N/A,#N/A,FALSE,"BS";#N/A,#N/A,FALSE,"PL";#N/A,#N/A,FALSE,"처분";#N/A,#N/A,FALSE,"현금";#N/A,#N/A,FALSE,"매출";#N/A,#N/A,FALSE,"원가";#N/A,#N/A,FALSE,"경영"}</definedName>
    <definedName name="ㄹㄷㅈ" hidden="1">'[2]2500'!#REF!</definedName>
    <definedName name="ㄹㄷㅈㄹㄹㄹ" hidden="1">#N/A</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hidden="1">{#N/A,#N/A,FALSE,"UNIT";#N/A,#N/A,FALSE,"UNIT";#N/A,#N/A,FALSE,"계정"}</definedName>
    <definedName name="로커커버" hidden="1">{#N/A,#N/A,FALSE,"단축1";#N/A,#N/A,FALSE,"단축2";#N/A,#N/A,FALSE,"단축3";#N/A,#N/A,FALSE,"장축";#N/A,#N/A,FALSE,"4WD"}</definedName>
    <definedName name="ㄺㄹ" hidden="1">{#N/A,#N/A,FALSE,"UNIT";#N/A,#N/A,FALSE,"UNIT";#N/A,#N/A,FALSE,"계정"}</definedName>
    <definedName name="ㅀ미리밀ㅎ밈림" hidden="1">{#N/A,#N/A,FALSE,"을지 (4)";#N/A,#N/A,FALSE,"을지 (5)";#N/A,#N/A,FALSE,"을지 (6)"}</definedName>
    <definedName name="ㅀㅇㄹㄶㅀㄹ" hidden="1">{#N/A,#N/A,FALSE,"UNIT";#N/A,#N/A,FALSE,"UNIT";#N/A,#N/A,FALSE,"계정"}</definedName>
    <definedName name="ㅁ" hidden="1">{#N/A,#N/A,TRUE,"Summary";#N/A,#N/A,TRUE,"IS";#N/A,#N/A,TRUE,"Adj";#N/A,#N/A,TRUE,"BS";#N/A,#N/A,TRUE,"CF";#N/A,#N/A,TRUE,"Debt";#N/A,#N/A,TRUE,"IRR"}</definedName>
    <definedName name="ㅁㄴ" hidden="1">{#N/A,#N/A,FALSE,"UNIT";#N/A,#N/A,FALSE,"UNIT";#N/A,#N/A,FALSE,"계정"}</definedName>
    <definedName name="ㅁㄴㅇ"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hidden="1">{#N/A,#N/A,FALSE,"UNIT";#N/A,#N/A,FALSE,"UNIT";#N/A,#N/A,FALSE,"계정"}</definedName>
    <definedName name="마감" hidden="1">{#N/A,#N/A,FALSE,"기술료 비교"}</definedName>
    <definedName name="마케팅" hidden="1">{"'5국공정'!$A$1:$E$128"}</definedName>
    <definedName name="마케팅2" hidden="1">{"'5국공정'!$A$1:$E$128"}</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hidden="1">{#N/A,#N/A,FALSE,"UNIT";#N/A,#N/A,FALSE,"UNIT";#N/A,#N/A,FALSE,"계정"}</definedName>
    <definedName name="매출원가1" hidden="1">{#N/A,#N/A,FALSE,"Aging Summary";#N/A,#N/A,FALSE,"Ratio Analysis";#N/A,#N/A,FALSE,"Test 120 Day Accts";#N/A,#N/A,FALSE,"Tickmarks"}</definedName>
    <definedName name="모" hidden="1">{#N/A,#N/A,FALSE,"UNIT";#N/A,#N/A,FALSE,"UNIT";#N/A,#N/A,FALSE,"계정"}</definedName>
    <definedName name="뮤" hidden="1">{#N/A,#N/A,FALSE,"기술료 비교"}</definedName>
    <definedName name="미수수익" hidden="1">{"'보고양식'!$A$58:$K$111"}</definedName>
    <definedName name="미지급" hidden="1">{#N/A,#N/A,FALSE,"BS";#N/A,#N/A,FALSE,"PL";#N/A,#N/A,FALSE,"처분";#N/A,#N/A,FALSE,"현금";#N/A,#N/A,FALSE,"매출";#N/A,#N/A,FALSE,"원가";#N/A,#N/A,FALSE,"경영"}</definedName>
    <definedName name="미지급명세" hidden="1">{"'보고양식'!$A$58:$K$111"}</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ㅂ" hidden="1">{#N/A,#N/A,FALSE,"UNIT";#N/A,#N/A,FALSE,"UNIT";#N/A,#N/A,FALSE,"계정"}</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 hidden="1">'[2]2500'!#REF!</definedName>
    <definedName name="법인세비용_수정" hidden="1">{#N/A,#N/A,FALSE,"BS";#N/A,#N/A,FALSE,"PL";#N/A,#N/A,FALSE,"처분";#N/A,#N/A,FALSE,"현금";#N/A,#N/A,FALSE,"매출";#N/A,#N/A,FALSE,"원가";#N/A,#N/A,FALSE,"경영"}</definedName>
    <definedName name="보고" hidden="1">{#N/A,#N/A,FALSE,"UNIT";#N/A,#N/A,FALSE,"UNIT";#N/A,#N/A,FALSE,"계정"}</definedName>
    <definedName name="보고기준" hidden="1">{#N/A,#N/A,FALSE,"UNIT";#N/A,#N/A,FALSE,"UNIT";#N/A,#N/A,FALSE,"계정"}</definedName>
    <definedName name="볼트수정" hidden="1">{#N/A,#N/A,FALSE,"단축1";#N/A,#N/A,FALSE,"단축2";#N/A,#N/A,FALSE,"단축3";#N/A,#N/A,FALSE,"장축";#N/A,#N/A,FALSE,"4WD"}</definedName>
    <definedName name="부속" hidden="1">'[2]2200'!#REF!</definedName>
    <definedName name="ㅅㅅㅅ" hidden="1">{"'손익현황'!$A$1:$J$29"}</definedName>
    <definedName name="ㅅㅅㅅㅅ" hidden="1">{#N/A,#N/A,FALSE,"UNIT";#N/A,#N/A,FALSE,"UNIT";#N/A,#N/A,FALSE,"계정"}</definedName>
    <definedName name="ㅅㅅㅅㅅㅅㅅㅅ" hidden="1">{#N/A,#N/A,FALSE,"UNIT";#N/A,#N/A,FALSE,"UNIT";#N/A,#N/A,FALSE,"계정"}</definedName>
    <definedName name="사" hidden="1">{#N/A,#N/A,FALSE,"BS";#N/A,#N/A,FALSE,"PL";#N/A,#N/A,FALSE,"처분";#N/A,#N/A,FALSE,"현금";#N/A,#N/A,FALSE,"매출";#N/A,#N/A,FALSE,"원가";#N/A,#N/A,FALSE,"경영"}</definedName>
    <definedName name="사람" hidden="1">{#N/A,#N/A,FALSE,"BS";#N/A,#N/A,FALSE,"PL";#N/A,#N/A,FALSE,"처분";#N/A,#N/A,FALSE,"현금";#N/A,#N/A,FALSE,"매출";#N/A,#N/A,FALSE,"원가";#N/A,#N/A,FALSE,"경영"}</definedName>
    <definedName name="사소" hidden="1">{#N/A,#N/A,FALSE,"BS";#N/A,#N/A,FALSE,"PL";#N/A,#N/A,FALSE,"처분";#N/A,#N/A,FALSE,"현금";#N/A,#N/A,FALSE,"매출";#N/A,#N/A,FALSE,"원가";#N/A,#N/A,FALSE,"경영"}</definedName>
    <definedName name="사업" hidden="1">{#N/A,#N/A,FALSE,"UNIT";#N/A,#N/A,FALSE,"UNIT";#N/A,#N/A,FALSE,"계정"}</definedName>
    <definedName name="사업계획" hidden="1">{#N/A,#N/A,FALSE,"기술료 비교"}</definedName>
    <definedName name="사업활성" hidden="1">{#N/A,#N/A,FALSE,"UNIT";#N/A,#N/A,FALSE,"UNIT";#N/A,#N/A,FALSE,"계정"}</definedName>
    <definedName name="사진"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hidden="1">{#N/A,#N/A,FALSE,"UNIT";#N/A,#N/A,FALSE,"UNIT";#N/A,#N/A,FALSE,"계정"}</definedName>
    <definedName name="선수금" hidden="1">#REF!</definedName>
    <definedName name="설계2팀" hidden="1">{#N/A,#N/A,FALSE,"UNIT";#N/A,#N/A,FALSE,"UNIT";#N/A,#N/A,FALSE,"계정"}</definedName>
    <definedName name="성" hidden="1">{#N/A,#N/A,FALSE,"UNIT";#N/A,#N/A,FALSE,"UNIT";#N/A,#N/A,FALSE,"계정"}</definedName>
    <definedName name="손익3" hidden="1">{#N/A,#N/A,FALSE,"UNIT";#N/A,#N/A,FALSE,"UNIT";#N/A,#N/A,FALSE,"계정"}</definedName>
    <definedName name="손익예상" hidden="1">{#N/A,#N/A,FALSE,"UNIT";#N/A,#N/A,FALSE,"UNIT";#N/A,#N/A,FALSE,"계정"}</definedName>
    <definedName name="쇼바2" hidden="1">{#N/A,#N/A,FALSE,"단축1";#N/A,#N/A,FALSE,"단축2";#N/A,#N/A,FALSE,"단축3";#N/A,#N/A,FALSE,"장축";#N/A,#N/A,FALSE,"4WD"}</definedName>
    <definedName name="수정" hidden="1">{#N/A,#N/A,FALSE,"BS";#N/A,#N/A,FALSE,"PL";#N/A,#N/A,FALSE,"처분";#N/A,#N/A,FALSE,"현금";#N/A,#N/A,FALSE,"매출";#N/A,#N/A,FALSE,"원가";#N/A,#N/A,FALSE,"경영"}</definedName>
    <definedName name="수정CF" hidden="1">{#N/A,#N/A,TRUE,"Summary";#N/A,#N/A,TRUE,"IS";#N/A,#N/A,TRUE,"Adj";#N/A,#N/A,TRUE,"BS";#N/A,#N/A,TRUE,"CF";#N/A,#N/A,TRUE,"Debt";#N/A,#N/A,TRUE,"IRR"}</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시산표2" hidden="1">{#N/A,#N/A,FALSE,"BS";#N/A,#N/A,FALSE,"PL";#N/A,#N/A,FALSE,"처분";#N/A,#N/A,FALSE,"현금";#N/A,#N/A,FALSE,"매출";#N/A,#N/A,FALSE,"원가";#N/A,#N/A,FALSE,"경영"}</definedName>
    <definedName name="시설투자" hidden="1">{#N/A,#N/A,FALSE,"UNIT";#N/A,#N/A,FALSE,"UNIT";#N/A,#N/A,FALSE,"계정"}</definedName>
    <definedName name="시설투자계획_월별" hidden="1">{#N/A,#N/A,FALSE,"UNIT";#N/A,#N/A,FALSE,"UNIT";#N/A,#N/A,FALSE,"계정"}</definedName>
    <definedName name="시설투자총괄" hidden="1">{#N/A,#N/A,FALSE,"UNIT";#N/A,#N/A,FALSE,"UNIT";#N/A,#N/A,FALSE,"계정"}</definedName>
    <definedName name="시스템" hidden="1">{#N/A,#N/A,FALSE,"UNIT";#N/A,#N/A,FALSE,"UNIT";#N/A,#N/A,FALSE,"계정"}</definedName>
    <definedName name="신규" hidden="1">{#N/A,#N/A,FALSE,"UNIT";#N/A,#N/A,FALSE,"UNIT";#N/A,#N/A,FALSE,"계정"}</definedName>
    <definedName name="실적4월" hidden="1">{#N/A,#N/A,FALSE,"UNIT";#N/A,#N/A,FALSE,"UNIT";#N/A,#N/A,FALSE,"계정"}</definedName>
    <definedName name="실적6월" hidden="1">{#N/A,#N/A,FALSE,"UNIT";#N/A,#N/A,FALSE,"UNIT";#N/A,#N/A,FALSE,"계정"}</definedName>
    <definedName name="ㅇADKFJDA" hidden="1">{#N/A,#N/A,FALSE,"을지 (4)";#N/A,#N/A,FALSE,"을지 (5)";#N/A,#N/A,FALSE,"을지 (6)"}</definedName>
    <definedName name="ㅇㄴㅇㅇ" hidden="1">{#N/A,#N/A,FALSE,"UNIT";#N/A,#N/A,FALSE,"UNIT";#N/A,#N/A,FALSE,"계정"}</definedName>
    <definedName name="ㅇㄹㄴ"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[10]XREF!#REF!</definedName>
    <definedName name="ㅇㄹㅇㄹㅇㄹㅇ" hidden="1">{#N/A,#N/A,FALSE,"UNIT";#N/A,#N/A,FALSE,"UNIT";#N/A,#N/A,FALSE,"계정"}</definedName>
    <definedName name="ㅇㅇㅇ" hidden="1">{#N/A,#N/A,FALSE,"BS";#N/A,#N/A,FALSE,"PL";#N/A,#N/A,FALSE,"처분";#N/A,#N/A,FALSE,"현금";#N/A,#N/A,FALSE,"매출";#N/A,#N/A,FALSE,"원가";#N/A,#N/A,FALSE,"경영"}</definedName>
    <definedName name="ㅇㅇㅇㅇ" hidden="1">{#N/A,#N/A,FALSE,"UNIT";#N/A,#N/A,FALSE,"UNIT";#N/A,#N/A,FALSE,"계정"}</definedName>
    <definedName name="ㅇㅇㅇㅇㅇ" hidden="1">{#N/A,#N/A,FALSE,"UNIT";#N/A,#N/A,FALSE,"UNIT";#N/A,#N/A,FALSE,"계정"}</definedName>
    <definedName name="ㅇㅇㅇㅇㅇㅇ" hidden="1">{#N/A,#N/A,FALSE,"UNIT";#N/A,#N/A,FALSE,"UNIT";#N/A,#N/A,FALSE,"계정"}</definedName>
    <definedName name="아"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hidden="1">{#N/A,#N/A,FALSE,"UNIT";#N/A,#N/A,FALSE,"UNIT";#N/A,#N/A,FALSE,"계정"}</definedName>
    <definedName name="야" hidden="1">{#N/A,#N/A,FALSE,"UNIT";#N/A,#N/A,FALSE,"UNIT";#N/A,#N/A,FALSE,"계정"}</definedName>
    <definedName name="양" hidden="1">{#N/A,#N/A,FALSE,"UNIT";#N/A,#N/A,FALSE,"UNIT";#N/A,#N/A,FALSE,"계정"}</definedName>
    <definedName name="연간예상" hidden="1">{#N/A,#N/A,FALSE,"UNIT";#N/A,#N/A,FALSE,"UNIT";#N/A,#N/A,FALSE,"계정"}</definedName>
    <definedName name="연결정산표2" hidden="1">{#N/A,#N/A,FALSE,"Aging Summary";#N/A,#N/A,FALSE,"Ratio Analysis";#N/A,#N/A,FALSE,"Test 120 Day Accts";#N/A,#N/A,FALSE,"Tickmarks"}</definedName>
    <definedName name="연구소계" hidden="1">{"'5국공정'!$A$1:$E$128"}</definedName>
    <definedName name="연말손익" hidden="1">{#N/A,#N/A,FALSE,"UNIT";#N/A,#N/A,FALSE,"UNIT";#N/A,#N/A,FALSE,"계정"}</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hidden="1">{#N/A,#N/A,FALSE,"UNIT";#N/A,#N/A,FALSE,"UNIT";#N/A,#N/A,FALSE,"계정"}</definedName>
    <definedName name="오.." hidden="1">{#N/A,#N/A,FALSE,"UNIT";#N/A,#N/A,FALSE,"UNIT";#N/A,#N/A,FALSE,"계정"}</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hidden="1">{#N/A,#N/A,FALSE,"BS";#N/A,#N/A,FALSE,"PL";#N/A,#N/A,FALSE,"처분";#N/A,#N/A,FALSE,"현금";#N/A,#N/A,FALSE,"매출";#N/A,#N/A,FALSE,"원가";#N/A,#N/A,FALSE,"경영"}</definedName>
    <definedName name="요약" hidden="1">{#N/A,#N/A,FALSE,"BS";#N/A,#N/A,FALSE,"PL";#N/A,#N/A,FALSE,"처분";#N/A,#N/A,FALSE,"현금";#N/A,#N/A,FALSE,"매출";#N/A,#N/A,FALSE,"원가";#N/A,#N/A,FALSE,"경영"}</definedName>
    <definedName name="이" hidden="1">{#N/A,#N/A,FALSE,"BS";#N/A,#N/A,FALSE,"PL";#N/A,#N/A,FALSE,"처분";#N/A,#N/A,FALSE,"현금";#N/A,#N/A,FALSE,"매출";#N/A,#N/A,FALSE,"원가";#N/A,#N/A,FALSE,"경영"}</definedName>
    <definedName name="이동" hidden="1">{#N/A,#N/A,FALSE,"을지 (4)";#N/A,#N/A,FALSE,"을지 (5)";#N/A,#N/A,FALSE,"을지 (6)"}</definedName>
    <definedName name="이런" hidden="1">{"'보고양식'!$A$58:$K$111"}</definedName>
    <definedName name="이성일" hidden="1">{"'5국공정'!$A$1:$E$128"}</definedName>
    <definedName name="인니" hidden="1">{#N/A,#N/A,FALSE,"UNIT";#N/A,#N/A,FALSE,"UNIT";#N/A,#N/A,FALSE,"계정"}</definedName>
    <definedName name="인도네시아" hidden="1">{#N/A,#N/A,FALSE,"UNIT";#N/A,#N/A,FALSE,"UNIT";#N/A,#N/A,FALSE,"계정"}</definedName>
    <definedName name="일위" hidden="1">[2]INDEX!#REF!</definedName>
    <definedName name="ㅈㄷㄱ" hidden="1">{#N/A,#N/A,FALSE,"BS";#N/A,#N/A,FALSE,"PL";#N/A,#N/A,FALSE,"처분";#N/A,#N/A,FALSE,"현금";#N/A,#N/A,FALSE,"매출";#N/A,#N/A,FALSE,"원가";#N/A,#N/A,FALSE,"경영"}</definedName>
    <definedName name="ㅈㅈ" hidden="1">{#N/A,#N/A,FALSE,"을지 (4)";#N/A,#N/A,FALSE,"을지 (5)";#N/A,#N/A,FALSE,"을지 (6)"}</definedName>
    <definedName name="ㅈㅈㅈ" hidden="1">{#N/A,#N/A,FALSE,"BS";#N/A,#N/A,FALSE,"PL";#N/A,#N/A,FALSE,"처분";#N/A,#N/A,FALSE,"현금";#N/A,#N/A,FALSE,"매출";#N/A,#N/A,FALSE,"원가";#N/A,#N/A,FALSE,"경영"}</definedName>
    <definedName name="자" hidden="1">{#N/A,#N/A,FALSE,"BS";#N/A,#N/A,FALSE,"PL";#N/A,#N/A,FALSE,"처분";#N/A,#N/A,FALSE,"현금";#N/A,#N/A,FALSE,"매출";#N/A,#N/A,FALSE,"원가";#N/A,#N/A,FALSE,"경영"}</definedName>
    <definedName name="자." hidden="1">{#N/A,#N/A,FALSE,"UNIT";#N/A,#N/A,FALSE,"UNIT";#N/A,#N/A,FALSE,"계정"}</definedName>
    <definedName name="자.." hidden="1">{#N/A,#N/A,FALSE,"UNIT";#N/A,#N/A,FALSE,"UNIT";#N/A,#N/A,FALSE,"계정"}</definedName>
    <definedName name="자동화" hidden="1">{#N/A,#N/A,FALSE,"UNIT";#N/A,#N/A,FALSE,"UNIT";#N/A,#N/A,FALSE,"계정"}</definedName>
    <definedName name="자본변동표3" hidden="1">{#N/A,#N/A,FALSE,"Aging Summary";#N/A,#N/A,FALSE,"Ratio Analysis";#N/A,#N/A,FALSE,"Test 120 Day Accts";#N/A,#N/A,FALSE,"Tickmarks"}</definedName>
    <definedName name="장VP" hidden="1">{#N/A,#N/A,FALSE,"UNIT";#N/A,#N/A,FALSE,"UNIT";#N/A,#N/A,FALSE,"계정"}</definedName>
    <definedName name="장기미수금" hidden="1">{#N/A,#N/A,FALSE,"UNIT";#N/A,#N/A,FALSE,"UNIT";#N/A,#N/A,FALSE,"계정"}</definedName>
    <definedName name="재경" hidden="1">{#N/A,#N/A,FALSE,"UNIT";#N/A,#N/A,FALSE,"UNIT";#N/A,#N/A,FALSE,"계정"}</definedName>
    <definedName name="재료" hidden="1">{#N/A,#N/A,FALSE,"UNIT";#N/A,#N/A,FALSE,"UNIT";#N/A,#N/A,FALSE,"계정"}</definedName>
    <definedName name="저저" hidden="1">{#N/A,#N/A,FALSE,"UNIT";#N/A,#N/A,FALSE,"UNIT";#N/A,#N/A,FALSE,"계정"}</definedName>
    <definedName name="정" hidden="1">{#N/A,#N/A,FALSE,"UNIT";#N/A,#N/A,FALSE,"UNIT";#N/A,#N/A,FALSE,"계정"}</definedName>
    <definedName name="정문" hidden="1">{#N/A,#N/A,FALSE,"UNIT";#N/A,#N/A,FALSE,"UNIT";#N/A,#N/A,FALSE,"계정"}</definedName>
    <definedName name="정문식" hidden="1">{#N/A,#N/A,FALSE,"UNIT";#N/A,#N/A,FALSE,"UNIT";#N/A,#N/A,FALSE,"계정"}</definedName>
    <definedName name="제품별사업전략" hidden="1">{#N/A,#N/A,FALSE,"UNIT";#N/A,#N/A,FALSE,"UNIT";#N/A,#N/A,FALSE,"계정"}</definedName>
    <definedName name="조" hidden="1">{#N/A,#N/A,FALSE,"BS";#N/A,#N/A,FALSE,"PL";#N/A,#N/A,FALSE,"처분";#N/A,#N/A,FALSE,"현금";#N/A,#N/A,FALSE,"매출";#N/A,#N/A,FALSE,"원가";#N/A,#N/A,FALSE,"경영"}</definedName>
    <definedName name="조정" hidden="1">#REF!</definedName>
    <definedName name="주" hidden="1">{#N/A,#N/A,FALSE,"UNIT";#N/A,#N/A,FALSE,"UNIT";#N/A,#N/A,FALSE,"계정"}</definedName>
    <definedName name="주재원" hidden="1">#REF!</definedName>
    <definedName name="주차계획" hidden="1">{#N/A,#N/A,FALSE,"UNIT";#N/A,#N/A,FALSE,"UNIT";#N/A,#N/A,FALSE,"계정"}</definedName>
    <definedName name="중간요약" hidden="1">{#N/A,#N/A,FALSE,"BS";#N/A,#N/A,FALSE,"PL";#N/A,#N/A,FALSE,"처분";#N/A,#N/A,FALSE,"현금";#N/A,#N/A,FALSE,"매출";#N/A,#N/A,FALSE,"원가";#N/A,#N/A,FALSE,"경영"}</definedName>
    <definedName name="중앙" hidden="1">{#N/A,#N/A,FALSE,"단축1";#N/A,#N/A,FALSE,"단축2";#N/A,#N/A,FALSE,"단축3";#N/A,#N/A,FALSE,"장축";#N/A,#N/A,FALSE,"4WD"}</definedName>
    <definedName name="진" hidden="1">{#N/A,#N/A,FALSE,"UNIT";#N/A,#N/A,FALSE,"UNIT";#N/A,#N/A,FALSE,"계정"}</definedName>
    <definedName name="진짜현금작성조서" hidden="1">{#N/A,#N/A,FALSE,"BS";#N/A,#N/A,FALSE,"PL";#N/A,#N/A,FALSE,"처분";#N/A,#N/A,FALSE,"현금";#N/A,#N/A,FALSE,"매출";#N/A,#N/A,FALSE,"원가";#N/A,#N/A,FALSE,"경영"}</definedName>
    <definedName name="ㅊ" hidden="1">{#N/A,#N/A,FALSE,"BS";#N/A,#N/A,FALSE,"PL";#N/A,#N/A,FALSE,"처분";#N/A,#N/A,FALSE,"현금";#N/A,#N/A,FALSE,"매출";#N/A,#N/A,FALSE,"원가";#N/A,#N/A,FALSE,"경영"}</definedName>
    <definedName name="차." hidden="1">{#N/A,#N/A,FALSE,"UNIT";#N/A,#N/A,FALSE,"UNIT";#N/A,#N/A,FALSE,"계정"}</definedName>
    <definedName name="차량" hidden="1">{#N/A,#N/A,FALSE,"UNIT";#N/A,#N/A,FALSE,"UNIT";#N/A,#N/A,FALSE,"계정"}</definedName>
    <definedName name="차량SVC" hidden="1">{#N/A,#N/A,FALSE,"UNIT";#N/A,#N/A,FALSE,"UNIT";#N/A,#N/A,FALSE,"계정"}</definedName>
    <definedName name="차량운반구" hidden="1">{"'손익현황'!$A$1:$J$29"}</definedName>
    <definedName name="참고" hidden="1">{#N/A,#N/A,FALSE,"BS";#N/A,#N/A,FALSE,"PL";#N/A,#N/A,FALSE,"처분";#N/A,#N/A,FALSE,"현금";#N/A,#N/A,FALSE,"매출";#N/A,#N/A,FALSE,"원가";#N/A,#N/A,FALSE,"경영"}</definedName>
    <definedName name="초고압" hidden="1">{#N/A,#N/A,FALSE,"UNIT";#N/A,#N/A,FALSE,"UNIT";#N/A,#N/A,FALSE,"계정"}</definedName>
    <definedName name="총괄1" hidden="1">{#N/A,#N/A,FALSE,"UNIT";#N/A,#N/A,FALSE,"UNIT";#N/A,#N/A,FALSE,"계정"}</definedName>
    <definedName name="ㅋ" hidden="1">{#N/A,#N/A,FALSE,"UNIT";#N/A,#N/A,FALSE,"UNIT";#N/A,#N/A,FALSE,"계정"}</definedName>
    <definedName name="ㅋㅋㅋㅋ" hidden="1">'[2]2500'!#REF!</definedName>
    <definedName name="키프코" hidden="1">{#N/A,#N/A,FALSE,"을지 (4)";#N/A,#N/A,FALSE,"을지 (5)";#N/A,#N/A,FALSE,"을지 (6)"}</definedName>
    <definedName name="ㅌ" hidden="1">{#N/A,#N/A,FALSE,"UNIT";#N/A,#N/A,FALSE,"UNIT";#N/A,#N/A,FALSE,"계정"}</definedName>
    <definedName name="ㅌㅌㅌ" hidden="1">{#N/A,#N/A,FALSE,"BS";#N/A,#N/A,FALSE,"PL";#N/A,#N/A,FALSE,"처분";#N/A,#N/A,FALSE,"현금";#N/A,#N/A,FALSE,"매출";#N/A,#N/A,FALSE,"원가";#N/A,#N/A,FALSE,"경영"}</definedName>
    <definedName name="투자" hidden="1">{#N/A,#N/A,FALSE,"UNIT";#N/A,#N/A,FALSE,"UNIT";#N/A,#N/A,FALSE,"계정"}</definedName>
    <definedName name="투자계획" hidden="1">{#N/A,#N/A,FALSE,"UNIT";#N/A,#N/A,FALSE,"UNIT";#N/A,#N/A,FALSE,"계정"}</definedName>
    <definedName name="투자계획1" hidden="1">{#N/A,#N/A,FALSE,"UNIT";#N/A,#N/A,FALSE,"UNIT";#N/A,#N/A,FALSE,"계정"}</definedName>
    <definedName name="투자계획2" hidden="1">{#N/A,#N/A,FALSE,"UNIT";#N/A,#N/A,FALSE,"UNIT";#N/A,#N/A,FALSE,"계정"}</definedName>
    <definedName name="투자현황" hidden="1">{#N/A,#N/A,FALSE,"UNIT";#N/A,#N/A,FALSE,"UNIT";#N/A,#N/A,FALSE,"계정"}</definedName>
    <definedName name="팀별계획" hidden="1">{#N/A,#N/A,FALSE,"UNIT";#N/A,#N/A,FALSE,"UNIT";#N/A,#N/A,FALSE,"계정"}</definedName>
    <definedName name="ㅍ" hidden="1">{#N/A,#N/A,FALSE,"UNIT";#N/A,#N/A,FALSE,"UNIT";#N/A,#N/A,FALSE,"계정"}</definedName>
    <definedName name="ㅍㄹㄷㅁㅁ" hidden="1">[2]INDEX!#REF!</definedName>
    <definedName name="ㅍㅍㅍㅍ" hidden="1">{#N/A,#N/A,FALSE,"UNIT";#N/A,#N/A,FALSE,"UNIT";#N/A,#N/A,FALSE,"계정"}</definedName>
    <definedName name="ㅍㅍㅍㅍㅍㅍ" hidden="1">[2]INDEX!#REF!</definedName>
    <definedName name="포" hidden="1">{#N/A,#N/A,FALSE,"UNIT";#N/A,#N/A,FALSE,"UNIT";#N/A,#N/A,FALSE,"계정"}</definedName>
    <definedName name="ㅎ" hidden="1">{#N/A,#N/A,FALSE,"을지 (4)";#N/A,#N/A,FALSE,"을지 (5)";#N/A,#N/A,FALSE,"을지 (6)"}</definedName>
    <definedName name="ㅎㄽ" hidden="1">{#N/A,#N/A,FALSE,"UNIT";#N/A,#N/A,FALSE,"UNIT";#N/A,#N/A,FALSE,"계정"}</definedName>
    <definedName name="ㅎㅎ" hidden="1">{#N/A,#N/A,TRUE,"Summary";#N/A,#N/A,TRUE,"IS";#N/A,#N/A,TRUE,"Adj";#N/A,#N/A,TRUE,"BS";#N/A,#N/A,TRUE,"CF";#N/A,#N/A,TRUE,"Debt";#N/A,#N/A,TRUE,"IRR"}</definedName>
    <definedName name="ㅎㅎ2" hidden="1">{#N/A,#N/A,TRUE,"Summary";#N/A,#N/A,TRUE,"IS";#N/A,#N/A,TRUE,"Adj";#N/A,#N/A,TRUE,"BS";#N/A,#N/A,TRUE,"CF";#N/A,#N/A,TRUE,"Debt";#N/A,#N/A,TRUE,"IRR"}</definedName>
    <definedName name="하하" hidden="1">{#N/A,#N/A,FALSE,"BS";#N/A,#N/A,FALSE,"PL";#N/A,#N/A,FALSE,"처분";#N/A,#N/A,FALSE,"현금";#N/A,#N/A,FALSE,"매출";#N/A,#N/A,FALSE,"원가";#N/A,#N/A,FALSE,"경영"}</definedName>
    <definedName name="한총2" hidden="1">{#N/A,#N/A,FALSE,"을지 (4)";#N/A,#N/A,FALSE,"을지 (5)";#N/A,#N/A,FALSE,"을지 (6)"}</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hidden="1">{#N/A,#N/A,FALSE,"BS";#N/A,#N/A,FALSE,"PL";#N/A,#N/A,FALSE,"처분";#N/A,#N/A,FALSE,"현금";#N/A,#N/A,FALSE,"매출";#N/A,#N/A,FALSE,"원가";#N/A,#N/A,FALSE,"경영"}</definedName>
    <definedName name="호" hidden="1">{#N/A,#N/A,FALSE,"UNIT";#N/A,#N/A,FALSE,"UNIT";#N/A,#N/A,FALSE,"계정"}</definedName>
    <definedName name="확" hidden="1">{#N/A,#N/A,FALSE,"BS";#N/A,#N/A,FALSE,"PL";#N/A,#N/A,FALSE,"처분";#N/A,#N/A,FALSE,"현금";#N/A,#N/A,FALSE,"매출";#N/A,#N/A,FALSE,"원가";#N/A,#N/A,FALSE,"경영"}</definedName>
    <definedName name="확대3" hidden="1">{#N/A,#N/A,FALSE,"UNIT";#N/A,#N/A,FALSE,"UNIT";#N/A,#N/A,FALSE,"계정"}</definedName>
    <definedName name="환경" hidden="1">{#N/A,#N/A,FALSE,"UNIT";#N/A,#N/A,FALSE,"UNIT";#N/A,#N/A,FALSE,"계정"}</definedName>
    <definedName name="ㅏㅐㅏㅔㅐㅣ" hidden="1">{#N/A,#N/A,FALSE,"UNIT";#N/A,#N/A,FALSE,"UNIT";#N/A,#N/A,FALSE,"계정"}</definedName>
    <definedName name="ㅐㅐ" hidden="1">{#N/A,#N/A,FALSE,"을지 (4)";#N/A,#N/A,FALSE,"을지 (5)";#N/A,#N/A,FALSE,"을지 (6)"}</definedName>
    <definedName name="ㅑ" hidden="1">{#N/A,#N/A,FALSE,"Aging Summary";#N/A,#N/A,FALSE,"Ratio Analysis";#N/A,#N/A,FALSE,"Test 120 Day Accts";#N/A,#N/A,FALSE,"Tickmarks"}</definedName>
    <definedName name="ㅑㅑㅑ" hidden="1">{#N/A,#N/A,FALSE,"초도품";#N/A,#N/A,FALSE,"초도품 (2)";#N/A,#N/A,FALSE,"초도품 (3)";#N/A,#N/A,FALSE,"초도품 (4)";#N/A,#N/A,FALSE,"초도품 (5)";#N/A,#N/A,FALSE,"초도품 (6)"}</definedName>
    <definedName name="ㅓ" hidden="1">{#N/A,#N/A,FALSE,"BS";#N/A,#N/A,FALSE,"PL";#N/A,#N/A,FALSE,"처분";#N/A,#N/A,FALSE,"현금";#N/A,#N/A,FALSE,"매출";#N/A,#N/A,FALSE,"원가";#N/A,#N/A,FALSE,"경영"}</definedName>
    <definedName name="ㅓㅏ리앙" hidden="1">{#N/A,#N/A,FALSE,"UNIT";#N/A,#N/A,FALSE,"UNIT";#N/A,#N/A,FALSE,"계정"}</definedName>
    <definedName name="ㅔㅔ" hidden="1">{#N/A,#N/A,FALSE,"초도품";#N/A,#N/A,FALSE,"초도품 (2)";#N/A,#N/A,FALSE,"초도품 (3)";#N/A,#N/A,FALSE,"초도품 (4)";#N/A,#N/A,FALSE,"초도품 (5)";#N/A,#N/A,FALSE,"초도품 (6)"}</definedName>
    <definedName name="ㅕ" hidden="1">{#N/A,#N/A,FALSE,"BS";#N/A,#N/A,FALSE,"PL";#N/A,#N/A,FALSE,"처분";#N/A,#N/A,FALSE,"현금";#N/A,#N/A,FALSE,"매출";#N/A,#N/A,FALSE,"원가";#N/A,#N/A,FALSE,"경영"}</definedName>
    <definedName name="ㅕㅕㅕ" hidden="1">{#N/A,#N/A,FALSE,"을지 (4)";#N/A,#N/A,FALSE,"을지 (5)";#N/A,#N/A,FALSE,"을지 (6)"}</definedName>
    <definedName name="ㅗ" hidden="1">{#N/A,#N/A,FALSE,"BS";#N/A,#N/A,FALSE,"PL";#N/A,#N/A,FALSE,"처분";#N/A,#N/A,FALSE,"현금";#N/A,#N/A,FALSE,"매출";#N/A,#N/A,FALSE,"원가";#N/A,#N/A,FALSE,"경영"}</definedName>
    <definedName name="ㅗㅗ" hidden="1">{#N/A,#N/A,FALSE,"초도품";#N/A,#N/A,FALSE,"초도품 (2)";#N/A,#N/A,FALSE,"초도품 (3)";#N/A,#N/A,FALSE,"초도품 (4)";#N/A,#N/A,FALSE,"초도품 (5)";#N/A,#N/A,FALSE,"초도품 (6)"}</definedName>
    <definedName name="ㅛ" hidden="1">{#N/A,#N/A,FALSE,"BS";#N/A,#N/A,FALSE,"PL";#N/A,#N/A,FALSE,"처분";#N/A,#N/A,FALSE,"현금";#N/A,#N/A,FALSE,"매출";#N/A,#N/A,FALSE,"원가";#N/A,#N/A,FALSE,"경영"}</definedName>
    <definedName name="ㅛㅛㅛ" hidden="1">{#N/A,#N/A,FALSE,"초도품";#N/A,#N/A,FALSE,"초도품 (2)";#N/A,#N/A,FALSE,"초도품 (3)";#N/A,#N/A,FALSE,"초도품 (4)";#N/A,#N/A,FALSE,"초도품 (5)";#N/A,#N/A,FALSE,"초도품 (6)"}</definedName>
    <definedName name="ㅠ" hidden="1">{#N/A,#N/A,FALSE,"UNIT";#N/A,#N/A,FALSE,"UNIT";#N/A,#N/A,FALSE,"계정"}</definedName>
    <definedName name="ㅣㅣ" hidden="1">{#N/A,#N/A,FALSE,"을지 (4)";#N/A,#N/A,FALSE,"을지 (5)";#N/A,#N/A,FALSE,"을지 (6)"}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7" i="1" l="1"/>
  <c r="C9" i="1"/>
  <c r="G243" i="1"/>
  <c r="A235" i="1"/>
  <c r="G225" i="1"/>
  <c r="G198" i="1"/>
  <c r="A115" i="1"/>
  <c r="B114" i="1"/>
  <c r="B112" i="1"/>
  <c r="I117" i="1"/>
  <c r="B109" i="1"/>
  <c r="B108" i="1"/>
  <c r="B106" i="1"/>
  <c r="A103" i="1"/>
  <c r="A101" i="1"/>
  <c r="D72" i="1"/>
  <c r="A81" i="1" s="1"/>
  <c r="H71" i="1"/>
  <c r="H70" i="1"/>
  <c r="D66" i="1"/>
  <c r="D63" i="1"/>
  <c r="D51" i="1"/>
  <c r="A37" i="1"/>
  <c r="A17" i="1"/>
  <c r="A13" i="1"/>
  <c r="A15" i="1"/>
  <c r="A12" i="1"/>
  <c r="C8" i="1"/>
</calcChain>
</file>

<file path=xl/sharedStrings.xml><?xml version="1.0" encoding="utf-8"?>
<sst xmlns="http://schemas.openxmlformats.org/spreadsheetml/2006/main" count="224" uniqueCount="169">
  <si>
    <t>Provide details</t>
  </si>
  <si>
    <t>As a result, the following items requiring your attention are as follows:</t>
  </si>
  <si>
    <t>□</t>
  </si>
  <si>
    <t>As a result, no items are identified.</t>
  </si>
  <si>
    <t>Review for Subsequent Events Procedures</t>
  </si>
  <si>
    <t>[APPENDIX 5]</t>
  </si>
  <si>
    <t>Date of the auditors' report</t>
  </si>
  <si>
    <t>Auditor's signature</t>
  </si>
  <si>
    <t>Auditor's address</t>
  </si>
  <si>
    <t>[If applicable, to be included for exception of accounting policies or violations of audit instruction]</t>
  </si>
  <si>
    <t xml:space="preserve">We believe that the audit evidence we have obtained is sufficient and appropriate to provide a basis for our audit opinion. </t>
  </si>
  <si>
    <t>Independent auditor's report on special purpose financial information prepared for consolidation purposes</t>
  </si>
  <si>
    <t>[Appendix 4]</t>
  </si>
  <si>
    <t>Reporting Package prepared by the component</t>
  </si>
  <si>
    <t>[Appendix 3]</t>
  </si>
  <si>
    <t>We confirm that we have complied with all your requirements above.</t>
  </si>
  <si>
    <t>[Date]</t>
  </si>
  <si>
    <t>A disclaimer of opinion</t>
  </si>
  <si>
    <t>An adverse opinion.</t>
  </si>
  <si>
    <t>A qualified opinion</t>
  </si>
  <si>
    <t>Unmodified opinion</t>
  </si>
  <si>
    <t>Is your audit opinion unmodified in accordance with your audit procedures? Please let us know the reason if there was adverse or disclaimer opinion.</t>
  </si>
  <si>
    <t>Overall conclusion</t>
  </si>
  <si>
    <t>There are other matters as follows:</t>
  </si>
  <si>
    <t>Not Applicable</t>
  </si>
  <si>
    <t>Please let us know other matters were identified by you that require communication for drawing to our attention and related with group audit. Those matters include exceptions on management representation of component or affiliates.</t>
  </si>
  <si>
    <t>Other Matters To Be Communicated</t>
  </si>
  <si>
    <t>There are significant matters which were communicated with board of directors are as follows;</t>
  </si>
  <si>
    <t xml:space="preserve">Please let us know significant matters which were discussed or will be communicated with board of directors(or those Charged With Governance) of component or affiliates. Those matters include fraud related with management or important employees. </t>
  </si>
  <si>
    <t>Significant matters to be communicated to board of directors of component</t>
  </si>
  <si>
    <t>Identified significant deficiencies are as follows;</t>
  </si>
  <si>
    <t>Please let us know significant deficiencies when you conducted audit procedures.</t>
  </si>
  <si>
    <t>Summary Of Significant Deficiencies At The Component Level</t>
  </si>
  <si>
    <t>Related parties identified by us additionally were as follows;</t>
  </si>
  <si>
    <t>Please let us know identified related parties by you in addition to the names communicated by us in our Instructions</t>
  </si>
  <si>
    <t>Related parties</t>
  </si>
  <si>
    <t>Identified significant risks and audit procedures for response are as follows;</t>
  </si>
  <si>
    <t>If you identify any significant risks of material misstatement of the group financial statements, due to fraud or error, you are required to communicate to us identified risks and your audit procedures.</t>
  </si>
  <si>
    <t>Significant Risks and your Responses</t>
  </si>
  <si>
    <t>There are violation cases and Indicators Of Management Bias as follows;</t>
  </si>
  <si>
    <t>Not Applicable.</t>
  </si>
  <si>
    <t>If you detect or become aware of information indicating that a violation (whether or not perceived to have a material effect on the client's financial statements) has or may have occurred, report the matter to the group engagement team on a timely basis. Also, please let us know if you detect or become aware of information indicating management bias in estimation of accounting estimates.</t>
  </si>
  <si>
    <t>Violation and Indicators Of Management Bias</t>
  </si>
  <si>
    <t>Amount</t>
  </si>
  <si>
    <t>Account name</t>
  </si>
  <si>
    <t>Cr</t>
  </si>
  <si>
    <t>Dr</t>
  </si>
  <si>
    <t>Description</t>
  </si>
  <si>
    <t>Summary of unadjusted misstatements</t>
  </si>
  <si>
    <t>Summaries of unadjusted misstatements exceeded certain level are as follows;</t>
  </si>
  <si>
    <t>(*) Refer to General Instruction for the stated amount</t>
  </si>
  <si>
    <t>Please let us know if summary of unadjusted misstatement of component’s(or affiliates’) financial statements exceeds amount below which misstatements would be clearly trivial(*), individually or aggregately.</t>
  </si>
  <si>
    <t>2-2</t>
    <phoneticPr fontId="5" type="noConversion"/>
  </si>
  <si>
    <t>We performed differently as follows;</t>
  </si>
  <si>
    <t>Confirmed.</t>
  </si>
  <si>
    <t>Please let us know the agreed upon materiality levels established on the instruction are to be used for purposes of planning and executing the work we have requested you perform at your component.</t>
  </si>
  <si>
    <t>2-1</t>
    <phoneticPr fontId="5" type="noConversion"/>
  </si>
  <si>
    <t>Materiality</t>
  </si>
  <si>
    <t>Compliance with audit instruction</t>
  </si>
  <si>
    <t>Review Result</t>
  </si>
  <si>
    <t>Question</t>
  </si>
  <si>
    <t>NO.</t>
  </si>
  <si>
    <t>Questionnaire of audit work for component auditor and result table</t>
  </si>
  <si>
    <t>[Appendix 2]</t>
  </si>
  <si>
    <t>We follow the IESBA Code of Ethics.</t>
  </si>
  <si>
    <t>We confirm that we will cooperate with you and provide you with access to relevant audit documentation.</t>
  </si>
  <si>
    <t>We confirm that the instructions are clear and we understand them. We will be able to comply with your instructions.</t>
  </si>
  <si>
    <t>Acknowledgement of Receipt and Independence confirmation</t>
  </si>
  <si>
    <t>[Appendix 1]</t>
  </si>
  <si>
    <t>부문재무제표에 대한 감사수행시 중요성 기준이 그룹 중요성기준 충족 (부문중요성은 그룹의 전체 중요성보다 낮아야 한다.)</t>
  </si>
  <si>
    <t>그룹감사보고서 일자 이내에 부문감사보고서 완료</t>
  </si>
  <si>
    <t>그룹재무제표에 대한 감사와 동일한 재무보고체계, 회계감사기준 사용</t>
  </si>
  <si>
    <t>특정 감사절차 (Specified procedures)</t>
  </si>
  <si>
    <t>특정 계정잔액, 거래유형 또는 공시에 대한 감사 (An audit of one or more account balances, classes of transactions or disclosures)</t>
  </si>
  <si>
    <t>Appendix 5</t>
  </si>
  <si>
    <t>Appendix 4</t>
  </si>
  <si>
    <t>Independent auditor's report on special purpose financial information prepared for consolidation purposes(*2)</t>
  </si>
  <si>
    <t>Appendix 3</t>
  </si>
  <si>
    <t>Reporting Package prepared by the component(*2)</t>
  </si>
  <si>
    <t>Appendix 2</t>
  </si>
  <si>
    <t>Appendix 1</t>
  </si>
  <si>
    <t xml:space="preserve">Immediately after receipt </t>
  </si>
  <si>
    <t>Acknowledgement of receipt and Independence confirmation</t>
  </si>
  <si>
    <t>Reference</t>
  </si>
  <si>
    <t>Due date</t>
  </si>
  <si>
    <t>Deliverable and Event</t>
  </si>
  <si>
    <t>(3) Deliverable and due dates</t>
  </si>
  <si>
    <t>Amount below which misstatements would be clearly trivial</t>
  </si>
  <si>
    <t>Overall Materiality</t>
  </si>
  <si>
    <t>□ An audit of the reporting package for the group  □ An statutory audit of the financial information of the component  □ Others( )</t>
    <phoneticPr fontId="5" type="noConversion"/>
  </si>
  <si>
    <t>Scope detailed</t>
  </si>
  <si>
    <t>Audit (*1)</t>
  </si>
  <si>
    <t>Scope</t>
  </si>
  <si>
    <t>Fiscal Year</t>
  </si>
  <si>
    <t>□ K-GAAS □ Others( )</t>
    <phoneticPr fontId="5" type="noConversion"/>
  </si>
  <si>
    <t>Auditing Standards</t>
  </si>
  <si>
    <t>□ K-IFRS □ K-GAAP  □ Group Accounting Manual  □ Others( )</t>
    <phoneticPr fontId="5" type="noConversion"/>
  </si>
  <si>
    <t>Financial Reporting Framework</t>
  </si>
  <si>
    <t>Component name</t>
  </si>
  <si>
    <t xml:space="preserve">(2) Audit scoping </t>
  </si>
  <si>
    <t>(Others:　Significant change in business compared with prior year, etc.)</t>
  </si>
  <si>
    <t xml:space="preserve">Names of related parties </t>
  </si>
  <si>
    <t>Business operations</t>
  </si>
  <si>
    <t>Group Name</t>
  </si>
  <si>
    <t>(1) Group Information</t>
  </si>
  <si>
    <t>General Instruction</t>
  </si>
  <si>
    <t xml:space="preserve">[Name of Group Engagement Leader] </t>
  </si>
  <si>
    <t xml:space="preserve">Yours faithfully, </t>
  </si>
  <si>
    <t>Address</t>
  </si>
  <si>
    <t>E-mail</t>
  </si>
  <si>
    <t>Fax number</t>
  </si>
  <si>
    <t>Telephone</t>
  </si>
  <si>
    <t>Name</t>
  </si>
  <si>
    <t>Circumstances arise that may result in an opinion other than one of those presented in the appendices (including a modification for a scope limitation or qualification),</t>
  </si>
  <si>
    <t xml:space="preserve">You become aware of events, transactions that may have a significant impact on the component or other members of the affiliated group (e.g., instances of fraud, significant changes to the level of control reliance, illegal acts, etc). </t>
  </si>
  <si>
    <t>It is necessary to vary procedures from those specified,</t>
  </si>
  <si>
    <t>Timing of the work creates an irresolvable problem,</t>
  </si>
  <si>
    <t>Instructions are not fully understood,</t>
  </si>
  <si>
    <t>During planning, performance or completion of the audit, please communicate with us immediately if:</t>
  </si>
  <si>
    <t>Parent Entity Name:</t>
  </si>
  <si>
    <t>부문 회계연도 개시일</t>
    <phoneticPr fontId="3" type="noConversion"/>
  </si>
  <si>
    <t>부문 회계연도 종료일</t>
    <phoneticPr fontId="3" type="noConversion"/>
  </si>
  <si>
    <t>기본입력내용(국문)</t>
    <phoneticPr fontId="3" type="noConversion"/>
  </si>
  <si>
    <t>기본입력내용(영문)</t>
    <phoneticPr fontId="3" type="noConversion"/>
  </si>
  <si>
    <t>후속사건검토요청일</t>
    <phoneticPr fontId="3" type="noConversion"/>
  </si>
  <si>
    <t>기본입력항목</t>
    <phoneticPr fontId="3" type="noConversion"/>
  </si>
  <si>
    <t>ABC주식회사</t>
    <phoneticPr fontId="3" type="noConversion"/>
  </si>
  <si>
    <t>ABC Compony</t>
    <phoneticPr fontId="3" type="noConversion"/>
  </si>
  <si>
    <t>지배기업 회계연도 개시일</t>
    <phoneticPr fontId="3" type="noConversion"/>
  </si>
  <si>
    <t>지배기업 회계연도 종료일</t>
    <phoneticPr fontId="3" type="noConversion"/>
  </si>
  <si>
    <t>부문감사인명</t>
    <phoneticPr fontId="3" type="noConversion"/>
  </si>
  <si>
    <t>XX회계법인</t>
    <phoneticPr fontId="3" type="noConversion"/>
  </si>
  <si>
    <t>XX accounting corporation</t>
    <phoneticPr fontId="3" type="noConversion"/>
  </si>
  <si>
    <t>감사지침서일</t>
    <phoneticPr fontId="3" type="noConversion"/>
  </si>
  <si>
    <t>가나다주식회사</t>
    <phoneticPr fontId="3" type="noConversion"/>
  </si>
  <si>
    <t>GANADA compony</t>
    <phoneticPr fontId="3" type="noConversion"/>
  </si>
  <si>
    <t>Fiscal Year :</t>
    <phoneticPr fontId="3" type="noConversion"/>
  </si>
  <si>
    <t xml:space="preserve"> The group audit instructions set forth the procedures that we, the group engagement team, require you, the component auditor, to perform on the financial information of the component for which you are responsible.</t>
    <phoneticPr fontId="3" type="noConversion"/>
  </si>
  <si>
    <t>Materiality(Korean Won in millions)</t>
    <phoneticPr fontId="3" type="noConversion"/>
  </si>
  <si>
    <t>*1. 부문재무제표에 대한 감사 이외에 다음의 절차가 수행될 수 있습니다. 단, 이때는 업무범위에 대한 명확한 서술이 필요합니다.</t>
    <phoneticPr fontId="3" type="noConversion"/>
  </si>
  <si>
    <t>*2. 감사계획시에 다음을 충족하여 부문감사인의 업무를 부문재무제표에 대한 법정감사로 대체하기로 결정한 경우에는 생략할 수 있습니다.</t>
    <phoneticPr fontId="3" type="noConversion"/>
  </si>
  <si>
    <t>*3. 후속사건의 검토가 필요한 기간을 지정하여야 합니다. 요청자료 5 참조</t>
    <phoneticPr fontId="3" type="noConversion"/>
  </si>
  <si>
    <t>Subsequnt Events Review date</t>
    <phoneticPr fontId="3" type="noConversion"/>
  </si>
  <si>
    <t>부문명(name of component)</t>
    <phoneticPr fontId="3" type="noConversion"/>
  </si>
  <si>
    <t>해당부문 전체중요성(백만원)</t>
    <phoneticPr fontId="3" type="noConversion"/>
  </si>
  <si>
    <t>해당부문 경미한왜곡표시사항에 대한 기준치(백만원)</t>
    <phoneticPr fontId="3" type="noConversion"/>
  </si>
  <si>
    <t>(using the group reporting package that consists of standard templates for data which is consolidated into financial statements fo the group.)</t>
    <phoneticPr fontId="3" type="noConversion"/>
  </si>
  <si>
    <t>지배기업명(name of parent entity)</t>
    <phoneticPr fontId="3" type="noConversion"/>
  </si>
  <si>
    <t>YY Accounting Corporation</t>
    <phoneticPr fontId="3" type="noConversion"/>
  </si>
  <si>
    <t>To: YY accounting corporation</t>
    <phoneticPr fontId="3" type="noConversion"/>
  </si>
  <si>
    <t>To: YY accounting corporation</t>
    <phoneticPr fontId="3" type="noConversion"/>
  </si>
  <si>
    <t>* 본 시트는 기본입력사항을 입력하는 시트로서 출력하여 조서화하는 시트가 아닙니다.</t>
    <phoneticPr fontId="3" type="noConversion"/>
  </si>
  <si>
    <r>
      <t xml:space="preserve">Please refer to the attached </t>
    </r>
    <r>
      <rPr>
        <sz val="12"/>
        <color rgb="FF0000FF"/>
        <rFont val="HY신명조"/>
        <family val="1"/>
        <charset val="129"/>
      </rPr>
      <t>group audit</t>
    </r>
    <r>
      <rPr>
        <sz val="12"/>
        <color rgb="FF000000"/>
        <rFont val="HY신명조"/>
        <family val="1"/>
        <charset val="129"/>
      </rPr>
      <t xml:space="preserve"> instructions and the related appendices for details on the nature, timing and extent of the work requested of your office. We would be grateful if you provide us with responses as requested in this letter on a timely basis.</t>
    </r>
  </si>
  <si>
    <r>
      <t xml:space="preserve">Services have been performed without the appropriate pre-approvals or consideration of the independence matters discussed in the </t>
    </r>
    <r>
      <rPr>
        <sz val="12"/>
        <color rgb="FF0000FF"/>
        <rFont val="HY신명조"/>
        <family val="1"/>
        <charset val="129"/>
      </rPr>
      <t>group audit</t>
    </r>
    <r>
      <rPr>
        <sz val="12"/>
        <color rgb="FF000000"/>
        <rFont val="HY신명조"/>
        <family val="1"/>
        <charset val="129"/>
      </rPr>
      <t xml:space="preserve"> instructions,</t>
    </r>
  </si>
  <si>
    <r>
      <t xml:space="preserve">Please contact the </t>
    </r>
    <r>
      <rPr>
        <b/>
        <sz val="12"/>
        <rFont val="HY신명조"/>
        <family val="1"/>
        <charset val="129"/>
      </rPr>
      <t>Group Engagement Team</t>
    </r>
    <r>
      <rPr>
        <sz val="12"/>
        <rFont val="HY신명조"/>
        <family val="1"/>
        <charset val="129"/>
      </rPr>
      <t xml:space="preserve"> before any additional procedures on intercompany are performed locally. </t>
    </r>
    <phoneticPr fontId="3" type="noConversion"/>
  </si>
  <si>
    <r>
      <t xml:space="preserve">According to above instruction, deliverable and due dates are as follows. Please refer to the attached </t>
    </r>
    <r>
      <rPr>
        <sz val="12"/>
        <color rgb="FF0000FF"/>
        <rFont val="HY신명조"/>
        <family val="1"/>
        <charset val="129"/>
      </rPr>
      <t>group audit</t>
    </r>
    <r>
      <rPr>
        <sz val="12"/>
        <color rgb="FF000000"/>
        <rFont val="HY신명조"/>
        <family val="1"/>
        <charset val="129"/>
      </rPr>
      <t xml:space="preserve"> instructions and the related appendices for details.</t>
    </r>
  </si>
  <si>
    <r>
      <t xml:space="preserve">※ 작성요령 </t>
    </r>
    <r>
      <rPr>
        <sz val="12"/>
        <color rgb="FF002060"/>
        <rFont val="HY신명조"/>
        <family val="1"/>
        <charset val="129"/>
      </rPr>
      <t>:</t>
    </r>
  </si>
  <si>
    <r>
      <t xml:space="preserve">We have an understanding of </t>
    </r>
    <r>
      <rPr>
        <b/>
        <sz val="12"/>
        <color rgb="FFBD3D3D"/>
        <rFont val="HY신명조"/>
        <family val="1"/>
        <charset val="129"/>
      </rPr>
      <t>International Standards on Auditing</t>
    </r>
    <r>
      <rPr>
        <sz val="12"/>
        <color rgb="FF000000"/>
        <rFont val="HY신명조"/>
        <family val="1"/>
        <charset val="129"/>
      </rPr>
      <t xml:space="preserve"> and [i</t>
    </r>
    <r>
      <rPr>
        <b/>
        <sz val="12"/>
        <color rgb="FFBD3D3D"/>
        <rFont val="HY신명조"/>
        <family val="1"/>
        <charset val="129"/>
      </rPr>
      <t>ndicate other national standards applicable to the audit of the group financial statements]</t>
    </r>
    <r>
      <rPr>
        <sz val="12"/>
        <color rgb="FF000000"/>
        <rFont val="HY신명조"/>
        <family val="1"/>
        <charset val="129"/>
      </rPr>
      <t xml:space="preserve"> that is sufficient to fulfill our responsibilities in the audit of the group financial statements and will conduct our work on the financial information of </t>
    </r>
    <phoneticPr fontId="3" type="noConversion"/>
  </si>
  <si>
    <r>
      <t xml:space="preserve">We {have an understanding of </t>
    </r>
    <r>
      <rPr>
        <b/>
        <sz val="12"/>
        <color rgb="FFBD3D3D"/>
        <rFont val="HY신명조"/>
        <family val="1"/>
        <charset val="129"/>
      </rPr>
      <t>[identify applicable financial reporting framework or group accounting manual applicable to group financial statements]</t>
    </r>
    <r>
      <rPr>
        <sz val="12"/>
        <color rgb="FF000000"/>
        <rFont val="HY신명조"/>
        <family val="1"/>
        <charset val="129"/>
      </rPr>
      <t xml:space="preserve"> that is sufficient to fulfill our responsibilities in the audit of the group financial statements} Or {will report on</t>
    </r>
    <phoneticPr fontId="3" type="noConversion"/>
  </si>
  <si>
    <r>
      <t xml:space="preserve">Please let us know you were able to comply with our instructions when you conducted audit procedures for </t>
    </r>
    <r>
      <rPr>
        <b/>
        <sz val="12"/>
        <color rgb="FFBD3D3D"/>
        <rFont val="HY신명조"/>
        <family val="1"/>
        <charset val="129"/>
      </rPr>
      <t>[Name of component]</t>
    </r>
    <r>
      <rPr>
        <sz val="12"/>
        <color rgb="FF000000"/>
        <rFont val="HY신명조"/>
        <family val="1"/>
        <charset val="129"/>
      </rPr>
      <t>’s financial statements.</t>
    </r>
  </si>
  <si>
    <r>
      <t>Component Auditor's</t>
    </r>
    <r>
      <rPr>
        <b/>
        <sz val="12"/>
        <color rgb="FF000000"/>
        <rFont val="HY신명조"/>
        <family val="1"/>
        <charset val="129"/>
      </rPr>
      <t xml:space="preserve"> report </t>
    </r>
  </si>
  <si>
    <r>
      <t xml:space="preserve">As requested in your instructions </t>
    </r>
    <r>
      <rPr>
        <b/>
        <sz val="12"/>
        <color rgb="FFBD3D3D"/>
        <rFont val="HY신명조"/>
        <family val="1"/>
        <charset val="129"/>
      </rPr>
      <t>[name of instructions and date]</t>
    </r>
    <r>
      <rPr>
        <sz val="12"/>
        <color rgb="FF000000"/>
        <rFont val="HY신명조"/>
        <family val="1"/>
        <charset val="129"/>
      </rPr>
      <t xml:space="preserve">, we have audited, for purposes of your audit of the consolidated financial statements of </t>
    </r>
    <r>
      <rPr>
        <b/>
        <sz val="12"/>
        <color rgb="FFBD3D3D"/>
        <rFont val="HY신명조"/>
        <family val="1"/>
        <charset val="129"/>
      </rPr>
      <t>[name of group]</t>
    </r>
    <r>
      <rPr>
        <sz val="12"/>
        <color rgb="FF000000"/>
        <rFont val="HY신명조"/>
        <family val="1"/>
        <charset val="129"/>
      </rPr>
      <t xml:space="preserve">, the accompanying special purpose financial information of </t>
    </r>
    <r>
      <rPr>
        <b/>
        <sz val="12"/>
        <color rgb="FFBD3D3D"/>
        <rFont val="HY신명조"/>
        <family val="1"/>
        <charset val="129"/>
      </rPr>
      <t>[name of component]</t>
    </r>
    <r>
      <rPr>
        <sz val="12"/>
        <color rgb="FF000000"/>
        <rFont val="HY신명조"/>
        <family val="1"/>
        <charset val="129"/>
      </rPr>
      <t xml:space="preserve"> as of </t>
    </r>
    <r>
      <rPr>
        <b/>
        <sz val="12"/>
        <color rgb="FFBD3D3D"/>
        <rFont val="HY신명조"/>
        <family val="1"/>
        <charset val="129"/>
      </rPr>
      <t>[balance sheet date]</t>
    </r>
    <r>
      <rPr>
        <sz val="12"/>
        <color rgb="FF000000"/>
        <rFont val="HY신명조"/>
        <family val="1"/>
        <charset val="129"/>
      </rPr>
      <t xml:space="preserve"> and for the year then ended of the accompanying financial reporting package of</t>
    </r>
    <r>
      <rPr>
        <b/>
        <sz val="12"/>
        <color rgb="FFBD3D3D"/>
        <rFont val="HY신명조"/>
        <family val="1"/>
        <charset val="129"/>
      </rPr>
      <t xml:space="preserve"> [name of group]</t>
    </r>
    <r>
      <rPr>
        <sz val="12"/>
        <color rgb="FF000000"/>
        <rFont val="HY신명조"/>
        <family val="1"/>
        <charset val="129"/>
      </rPr>
      <t xml:space="preserve">. Management is responsible for the preparation of this special purpose financial information in accordance with policies and instructions contained in </t>
    </r>
    <r>
      <rPr>
        <b/>
        <sz val="12"/>
        <color rgb="FFBD3D3D"/>
        <rFont val="HY신명조"/>
        <family val="1"/>
        <charset val="129"/>
      </rPr>
      <t>[name of group]</t>
    </r>
    <r>
      <rPr>
        <sz val="12"/>
        <color rgb="FF000000"/>
        <rFont val="HY신명조"/>
        <family val="1"/>
        <charset val="129"/>
      </rPr>
      <t xml:space="preserve">'s accounting manual dated </t>
    </r>
    <r>
      <rPr>
        <b/>
        <sz val="12"/>
        <color rgb="FFBD3D3D"/>
        <rFont val="HY신명조"/>
        <family val="1"/>
        <charset val="129"/>
      </rPr>
      <t xml:space="preserve">[date] </t>
    </r>
    <r>
      <rPr>
        <sz val="12"/>
        <color rgb="FF000000"/>
        <rFont val="HY신명조"/>
        <family val="1"/>
        <charset val="129"/>
      </rPr>
      <t>/</t>
    </r>
    <r>
      <rPr>
        <b/>
        <sz val="12"/>
        <color rgb="FFBD3D3D"/>
        <rFont val="HY신명조"/>
        <family val="1"/>
        <charset val="129"/>
      </rPr>
      <t>[or …with the instructions issued by [name of group]'s management on [date] and the policies contained in [name of group]'s [accounting manual / disclosed accounting policies].</t>
    </r>
    <r>
      <rPr>
        <sz val="12"/>
        <color rgb="FF000000"/>
        <rFont val="HY신명조"/>
        <family val="1"/>
        <charset val="129"/>
      </rPr>
      <t xml:space="preserve"> Our responsibility is to express an opinion on this special purpose financial information based on our audit.</t>
    </r>
  </si>
  <si>
    <r>
      <t xml:space="preserve">We conducted our audit in accordance with </t>
    </r>
    <r>
      <rPr>
        <b/>
        <sz val="12"/>
        <color rgb="FFBD3D3D"/>
        <rFont val="HY신명조"/>
        <family val="1"/>
        <charset val="129"/>
      </rPr>
      <t>[International Standards on Auditing]</t>
    </r>
    <r>
      <rPr>
        <sz val="12"/>
        <color rgb="FF000000"/>
        <rFont val="HY신명조"/>
        <family val="1"/>
        <charset val="129"/>
      </rPr>
      <t xml:space="preserve">. </t>
    </r>
    <r>
      <rPr>
        <b/>
        <sz val="12"/>
        <color rgb="FFBD3D3D"/>
        <rFont val="HY신명조"/>
        <family val="1"/>
        <charset val="129"/>
      </rPr>
      <t>[Those standards / International Standards on Auditing]</t>
    </r>
    <r>
      <rPr>
        <sz val="12"/>
        <color rgb="FF000000"/>
        <rFont val="HY신명조"/>
        <family val="1"/>
        <charset val="129"/>
      </rPr>
      <t xml:space="preserve"> require that we comply with ethical requirements and plan and perform the audit to obtain reasonable assurance whether the special purpose financial information is free from material misstatement. An audit involves performing procedures to obtain audit evidence about the amounts and disclosures in the financial information. The procedures selected depend on the auditor's judgment, including the assessment of the risks of material misstatement of the special purpose financial information, whether due to fraud or error. In making those risk assessments, the auditor considers internal control relevant to the entity's preparation of the special purpose financial information in order to design audit procedures that are appropriate in the circumstances, but not for the purpose of expressing an opinion on the effectiveness of the entity's internal control. An audit also includes evaluating the appropriateness of accounting policies used and the reasonableness of accounting estimates, made by management, as well as evaluating the overall presentation of the special purpose financial information.</t>
    </r>
  </si>
  <si>
    <r>
      <t xml:space="preserve">This special purpose financial information has been prepared for purposes of providing information to </t>
    </r>
    <r>
      <rPr>
        <b/>
        <sz val="12"/>
        <color rgb="FFBD3D3D"/>
        <rFont val="HY신명조"/>
        <family val="1"/>
        <charset val="129"/>
      </rPr>
      <t xml:space="preserve">[name of parent company] </t>
    </r>
    <r>
      <rPr>
        <sz val="12"/>
        <color rgb="FF000000"/>
        <rFont val="HY신명조"/>
        <family val="1"/>
        <charset val="129"/>
      </rPr>
      <t xml:space="preserve">to enable it to prepare the consolidated financial statements of the group. As a result, the special purpose financial information is not a complete set of financial statements of </t>
    </r>
    <r>
      <rPr>
        <b/>
        <sz val="12"/>
        <color rgb="FFBD3D3D"/>
        <rFont val="HY신명조"/>
        <family val="1"/>
        <charset val="129"/>
      </rPr>
      <t>[name of component]</t>
    </r>
    <r>
      <rPr>
        <sz val="12"/>
        <color rgb="FF000000"/>
        <rFont val="HY신명조"/>
        <family val="1"/>
        <charset val="129"/>
      </rPr>
      <t xml:space="preserve"> in accordance with </t>
    </r>
    <r>
      <rPr>
        <b/>
        <sz val="12"/>
        <color rgb="FFBD3D3D"/>
        <rFont val="HY신명조"/>
        <family val="1"/>
        <charset val="129"/>
      </rPr>
      <t xml:space="preserve">[applicable financial reporting framework underlying the group's accounting policies] </t>
    </r>
    <r>
      <rPr>
        <sz val="12"/>
        <color rgb="FF000000"/>
        <rFont val="HY신명조"/>
        <family val="1"/>
        <charset val="129"/>
      </rPr>
      <t xml:space="preserve">and is not intended to </t>
    </r>
    <r>
      <rPr>
        <b/>
        <sz val="12"/>
        <color rgb="FFBD3D3D"/>
        <rFont val="HY신명조"/>
        <family val="1"/>
        <charset val="129"/>
      </rPr>
      <t>[give a true and fair view of / present fairly, in all material respects,]</t>
    </r>
    <r>
      <rPr>
        <sz val="12"/>
        <color rgb="FF000000"/>
        <rFont val="HY신명조"/>
        <family val="1"/>
        <charset val="129"/>
      </rPr>
      <t xml:space="preserve"> the financial position of </t>
    </r>
    <r>
      <rPr>
        <b/>
        <sz val="12"/>
        <color rgb="FFBD3D3D"/>
        <rFont val="HY신명조"/>
        <family val="1"/>
        <charset val="129"/>
      </rPr>
      <t>[name of component]</t>
    </r>
    <r>
      <rPr>
        <sz val="12"/>
        <color rgb="FF000000"/>
        <rFont val="HY신명조"/>
        <family val="1"/>
        <charset val="129"/>
      </rPr>
      <t xml:space="preserve"> as of </t>
    </r>
    <r>
      <rPr>
        <b/>
        <sz val="12"/>
        <color rgb="FFBD3D3D"/>
        <rFont val="HY신명조"/>
        <family val="1"/>
        <charset val="129"/>
      </rPr>
      <t>[date]</t>
    </r>
    <r>
      <rPr>
        <sz val="12"/>
        <color rgb="FF000000"/>
        <rFont val="HY신명조"/>
        <family val="1"/>
        <charset val="129"/>
      </rPr>
      <t xml:space="preserve">, and </t>
    </r>
    <r>
      <rPr>
        <b/>
        <sz val="12"/>
        <color rgb="FFBD3D3D"/>
        <rFont val="HY신명조"/>
        <family val="1"/>
        <charset val="129"/>
      </rPr>
      <t>[of]</t>
    </r>
    <r>
      <rPr>
        <sz val="12"/>
        <color rgb="FF000000"/>
        <rFont val="HY신명조"/>
        <family val="1"/>
        <charset val="129"/>
      </rPr>
      <t xml:space="preserve"> its financial performance, and its cash flows for the year then ended in accordance with </t>
    </r>
    <r>
      <rPr>
        <b/>
        <sz val="12"/>
        <color rgb="FFBD3D3D"/>
        <rFont val="HY신명조"/>
        <family val="1"/>
        <charset val="129"/>
      </rPr>
      <t>[applicable financial reporting framework underlying the group's accounting policies]</t>
    </r>
    <r>
      <rPr>
        <sz val="12"/>
        <color rgb="FF000000"/>
        <rFont val="HY신명조"/>
        <family val="1"/>
        <charset val="129"/>
      </rPr>
      <t xml:space="preserve">. </t>
    </r>
  </si>
  <si>
    <r>
      <t xml:space="preserve">In our opinion, </t>
    </r>
    <r>
      <rPr>
        <b/>
        <sz val="12"/>
        <color rgb="FFBD3D3D"/>
        <rFont val="HY신명조"/>
        <family val="1"/>
        <charset val="129"/>
      </rPr>
      <t>[except for the possible effects of adjustments, if any, as might have been determined to be necessary had we performed all audit procedures required by ISAs,]</t>
    </r>
    <r>
      <rPr>
        <sz val="12"/>
        <color rgb="FF000000"/>
        <rFont val="HY신명조"/>
        <family val="1"/>
        <charset val="129"/>
      </rPr>
      <t xml:space="preserve"> the accompanying special purpose financial information for </t>
    </r>
    <r>
      <rPr>
        <b/>
        <sz val="12"/>
        <color rgb="FFBD3D3D"/>
        <rFont val="HY신명조"/>
        <family val="1"/>
        <charset val="129"/>
      </rPr>
      <t>[name of component]</t>
    </r>
    <r>
      <rPr>
        <sz val="12"/>
        <color rgb="FF000000"/>
        <rFont val="HY신명조"/>
        <family val="1"/>
        <charset val="129"/>
      </rPr>
      <t xml:space="preserve"> as of </t>
    </r>
    <r>
      <rPr>
        <b/>
        <sz val="12"/>
        <color rgb="FFBD3D3D"/>
        <rFont val="HY신명조"/>
        <family val="1"/>
        <charset val="129"/>
      </rPr>
      <t>[date]</t>
    </r>
    <r>
      <rPr>
        <sz val="12"/>
        <color rgb="FF000000"/>
        <rFont val="HY신명조"/>
        <family val="1"/>
        <charset val="129"/>
      </rPr>
      <t xml:space="preserve"> and for the year then ended has been prepared, in all material respects in accordance with the policies and instructions contained in </t>
    </r>
    <r>
      <rPr>
        <b/>
        <sz val="12"/>
        <color rgb="FFBD3D3D"/>
        <rFont val="HY신명조"/>
        <family val="1"/>
        <charset val="129"/>
      </rPr>
      <t>[name of group]</t>
    </r>
    <r>
      <rPr>
        <sz val="12"/>
        <color rgb="FF000000"/>
        <rFont val="HY신명조"/>
        <family val="1"/>
        <charset val="129"/>
      </rPr>
      <t xml:space="preserve">'s accounting manual dated </t>
    </r>
    <r>
      <rPr>
        <b/>
        <sz val="12"/>
        <color rgb="FFBD3D3D"/>
        <rFont val="HY신명조"/>
        <family val="1"/>
        <charset val="129"/>
      </rPr>
      <t>[date]</t>
    </r>
    <r>
      <rPr>
        <sz val="12"/>
        <color rgb="FF000000"/>
        <rFont val="HY신명조"/>
        <family val="1"/>
        <charset val="129"/>
      </rPr>
      <t xml:space="preserve"> /</t>
    </r>
    <r>
      <rPr>
        <b/>
        <sz val="12"/>
        <color rgb="FFBD3D3D"/>
        <rFont val="HY신명조"/>
        <family val="1"/>
        <charset val="129"/>
      </rPr>
      <t>[or …with the instructions issued by [name of group]'s management on [date] and the policies contained in [name of group]'s [accounting manual / disclosed accounting policies].</t>
    </r>
  </si>
  <si>
    <r>
      <t xml:space="preserve">This special purpose financial information has been prepared for purposes of providing information to </t>
    </r>
    <r>
      <rPr>
        <b/>
        <sz val="12"/>
        <color rgb="FFBD3D3D"/>
        <rFont val="HY신명조"/>
        <family val="1"/>
        <charset val="129"/>
      </rPr>
      <t>[name of parent company]</t>
    </r>
    <r>
      <rPr>
        <b/>
        <sz val="12"/>
        <color rgb="FF000000"/>
        <rFont val="HY신명조"/>
        <family val="1"/>
        <charset val="129"/>
      </rPr>
      <t xml:space="preserve"> </t>
    </r>
    <r>
      <rPr>
        <sz val="12"/>
        <color rgb="FF000000"/>
        <rFont val="HY신명조"/>
        <family val="1"/>
        <charset val="129"/>
      </rPr>
      <t xml:space="preserve">to enable it to prepare the consolidated financial statements of the group. As a result, this report is intended solely for </t>
    </r>
    <r>
      <rPr>
        <b/>
        <sz val="12"/>
        <color rgb="FFBD3D3D"/>
        <rFont val="HY신명조"/>
        <family val="1"/>
        <charset val="129"/>
      </rPr>
      <t>[name of group Audit Firm]</t>
    </r>
    <r>
      <rPr>
        <sz val="12"/>
        <color rgb="FF000000"/>
        <rFont val="HY신명조"/>
        <family val="1"/>
        <charset val="129"/>
      </rPr>
      <t xml:space="preserve"> and should not be used by </t>
    </r>
    <r>
      <rPr>
        <b/>
        <sz val="12"/>
        <color rgb="FFBD3D3D"/>
        <rFont val="HY신명조"/>
        <family val="1"/>
        <charset val="129"/>
      </rPr>
      <t>[or distributed to]</t>
    </r>
    <r>
      <rPr>
        <sz val="12"/>
        <color rgb="FF000000"/>
        <rFont val="HY신명조"/>
        <family val="1"/>
        <charset val="129"/>
      </rPr>
      <t xml:space="preserve"> other parties or for another purpose.</t>
    </r>
  </si>
  <si>
    <r>
      <t>To: YY</t>
    </r>
    <r>
      <rPr>
        <b/>
        <sz val="12"/>
        <rFont val="HY신명조"/>
        <family val="1"/>
        <charset val="129"/>
      </rPr>
      <t xml:space="preserve"> accounting corporation</t>
    </r>
    <phoneticPr fontId="3" type="noConversion"/>
  </si>
  <si>
    <t>7410E 부문감사인 그룹감사지침서(영문)의 기본입력사항</t>
    <phoneticPr fontId="3" type="noConversion"/>
  </si>
  <si>
    <r>
      <t>7410E Group Audit</t>
    </r>
    <r>
      <rPr>
        <b/>
        <sz val="12"/>
        <color rgb="FF000000"/>
        <rFont val="HY신명조"/>
        <family val="1"/>
        <charset val="129"/>
      </rPr>
      <t xml:space="preserve"> Letter of Instruction</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</si>
</sst>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_-;\-* #,##0_-;_-* &quot;-&quot;_-;_-@_-"/>
    <numFmt numFmtId="177" formatCode="mm&quot;월&quot;\ dd&quot;일&quot;"/>
  </numFmts>
  <fonts count="28">
    <font>
      <sz val="11"/>
      <color theme="1"/>
      <name val="맑은 고딕"/>
      <family val="2"/>
      <charset val="129"/>
      <scheme val="minor"/>
    </font>
    <font>
      <sz val="11"/>
      <color theme="1"/>
      <name val="맑은 고딕"/>
      <family val="2"/>
      <charset val="129"/>
      <scheme val="minor"/>
    </font>
    <font>
      <sz val="11"/>
      <name val="돋움"/>
      <family val="3"/>
      <charset val="129"/>
    </font>
    <font>
      <sz val="8"/>
      <name val="맑은 고딕"/>
      <family val="2"/>
      <charset val="129"/>
      <scheme val="minor"/>
    </font>
    <font>
      <sz val="10"/>
      <name val="맑은 고딕"/>
      <family val="3"/>
      <charset val="129"/>
      <scheme val="minor"/>
    </font>
    <font>
      <sz val="8"/>
      <name val="돋움"/>
      <family val="3"/>
      <charset val="129"/>
    </font>
    <font>
      <sz val="10"/>
      <color theme="1"/>
      <name val="맑은 고딕"/>
      <family val="2"/>
      <charset val="129"/>
    </font>
    <font>
      <sz val="10"/>
      <name val="Arial"/>
      <family val="2"/>
    </font>
    <font>
      <sz val="11"/>
      <color theme="1"/>
      <name val="맑은 고딕"/>
      <family val="2"/>
      <scheme val="minor"/>
    </font>
    <font>
      <sz val="11"/>
      <color theme="1"/>
      <name val="맑은 고딕"/>
      <family val="3"/>
      <charset val="129"/>
      <scheme val="minor"/>
    </font>
    <font>
      <u/>
      <sz val="10"/>
      <color theme="10"/>
      <name val="맑은 고딕"/>
      <family val="2"/>
      <charset val="129"/>
    </font>
    <font>
      <u/>
      <sz val="11"/>
      <color theme="10"/>
      <name val="맑은 고딕"/>
      <family val="2"/>
      <charset val="129"/>
      <scheme val="minor"/>
    </font>
    <font>
      <u/>
      <sz val="9"/>
      <color theme="10"/>
      <name val="Arial"/>
      <family val="2"/>
    </font>
    <font>
      <b/>
      <sz val="11"/>
      <color theme="1"/>
      <name val="맑은 고딕"/>
      <family val="3"/>
      <charset val="129"/>
      <scheme val="minor"/>
    </font>
    <font>
      <sz val="11"/>
      <color rgb="FFFF0000"/>
      <name val="맑은 고딕"/>
      <family val="2"/>
      <charset val="129"/>
      <scheme val="minor"/>
    </font>
    <font>
      <sz val="10"/>
      <color rgb="FF000000"/>
      <name val="HY신명조"/>
      <family val="1"/>
      <charset val="129"/>
    </font>
    <font>
      <b/>
      <sz val="12"/>
      <color rgb="FF000000"/>
      <name val="HY신명조"/>
      <family val="1"/>
      <charset val="129"/>
    </font>
    <font>
      <b/>
      <sz val="12"/>
      <color rgb="FF0000FF"/>
      <name val="HY신명조"/>
      <family val="1"/>
      <charset val="129"/>
    </font>
    <font>
      <sz val="12"/>
      <name val="HY신명조"/>
      <family val="1"/>
      <charset val="129"/>
    </font>
    <font>
      <sz val="12"/>
      <color rgb="FF000000"/>
      <name val="HY신명조"/>
      <family val="1"/>
      <charset val="129"/>
    </font>
    <font>
      <sz val="12"/>
      <color rgb="FF0000FF"/>
      <name val="HY신명조"/>
      <family val="1"/>
      <charset val="129"/>
    </font>
    <font>
      <b/>
      <sz val="12"/>
      <name val="HY신명조"/>
      <family val="1"/>
      <charset val="129"/>
    </font>
    <font>
      <b/>
      <sz val="12"/>
      <color rgb="FFBD3D3D"/>
      <name val="HY신명조"/>
      <family val="1"/>
      <charset val="129"/>
    </font>
    <font>
      <u/>
      <sz val="12"/>
      <color rgb="FF002060"/>
      <name val="HY신명조"/>
      <family val="1"/>
      <charset val="129"/>
    </font>
    <font>
      <sz val="12"/>
      <color rgb="FF002060"/>
      <name val="HY신명조"/>
      <family val="1"/>
      <charset val="129"/>
    </font>
    <font>
      <sz val="12"/>
      <color rgb="FF7F7F7F"/>
      <name val="HY신명조"/>
      <family val="1"/>
      <charset val="129"/>
    </font>
    <font>
      <i/>
      <sz val="12"/>
      <color rgb="FF000000"/>
      <name val="HY신명조"/>
      <family val="1"/>
      <charset val="129"/>
    </font>
    <font>
      <i/>
      <sz val="12"/>
      <color rgb="FF0070C0"/>
      <name val="HY신명조"/>
      <family val="1"/>
      <charset val="129"/>
    </font>
  </fonts>
  <fills count="6">
    <fill>
      <patternFill patternType="none"/>
    </fill>
    <fill>
      <patternFill patternType="gray125"/>
    </fill>
    <fill>
      <patternFill patternType="solid">
        <fgColor rgb="FFE5E5E5"/>
        <bgColor indexed="64"/>
      </patternFill>
    </fill>
    <fill>
      <patternFill patternType="solid">
        <fgColor rgb="FFFFFF99"/>
        <bgColor indexed="64"/>
      </patternFill>
    </fill>
    <fill>
      <patternFill patternType="solid">
        <fgColor theme="0" tint="-0.499984740745262"/>
        <bgColor indexed="64"/>
      </patternFill>
    </fill>
    <fill>
      <patternFill patternType="solid">
        <fgColor theme="8" tint="0.79998168889431442"/>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right/>
      <top/>
      <bottom style="thin">
        <color indexed="64"/>
      </bottom>
      <diagonal/>
    </border>
    <border>
      <left style="thin">
        <color indexed="64"/>
      </left>
      <right style="thin">
        <color rgb="FF000000"/>
      </right>
      <top/>
      <bottom style="thin">
        <color indexed="64"/>
      </bottom>
      <diagonal/>
    </border>
    <border>
      <left/>
      <right style="thin">
        <color auto="1"/>
      </right>
      <top/>
      <bottom/>
      <diagonal/>
    </border>
    <border>
      <left style="thin">
        <color rgb="FF000000"/>
      </left>
      <right/>
      <top/>
      <bottom/>
      <diagonal/>
    </border>
    <border>
      <left/>
      <right style="thin">
        <color rgb="FF000000"/>
      </right>
      <top/>
      <bottom/>
      <diagonal/>
    </border>
    <border>
      <left style="thin">
        <color auto="1"/>
      </left>
      <right style="thin">
        <color rgb="FF000000"/>
      </right>
      <top/>
      <bottom/>
      <diagonal/>
    </border>
    <border>
      <left/>
      <right style="thin">
        <color indexed="64"/>
      </right>
      <top style="thin">
        <color rgb="FF000000"/>
      </top>
      <bottom/>
      <diagonal/>
    </border>
    <border>
      <left style="thin">
        <color rgb="FF000000"/>
      </left>
      <right/>
      <top style="thin">
        <color rgb="FF000000"/>
      </top>
      <bottom/>
      <diagonal/>
    </border>
    <border>
      <left style="thin">
        <color indexed="64"/>
      </left>
      <right style="thin">
        <color rgb="FF000000"/>
      </right>
      <top style="thin">
        <color rgb="FF000000"/>
      </top>
      <bottom/>
      <diagonal/>
    </border>
    <border>
      <left/>
      <right style="thin">
        <color indexed="64"/>
      </right>
      <top/>
      <bottom style="thin">
        <color rgb="FF000000"/>
      </bottom>
      <diagonal/>
    </border>
    <border>
      <left style="thin">
        <color rgb="FF000000"/>
      </left>
      <right/>
      <top/>
      <bottom style="thin">
        <color rgb="FF000000"/>
      </bottom>
      <diagonal/>
    </border>
    <border>
      <left style="thin">
        <color indexed="64"/>
      </left>
      <right style="thin">
        <color rgb="FF000000"/>
      </right>
      <top/>
      <bottom style="thin">
        <color rgb="FF000000"/>
      </bottom>
      <diagonal/>
    </border>
    <border>
      <left/>
      <right style="thin">
        <color rgb="FF000000"/>
      </right>
      <top style="thin">
        <color rgb="FF000000"/>
      </top>
      <bottom style="thin">
        <color indexed="64"/>
      </bottom>
      <diagonal/>
    </border>
    <border>
      <left/>
      <right/>
      <top style="thin">
        <color rgb="FF000000"/>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indexed="64"/>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indexed="64"/>
      </bottom>
      <diagonal/>
    </border>
    <border>
      <left style="thin">
        <color auto="1"/>
      </left>
      <right style="thin">
        <color rgb="FF000000"/>
      </right>
      <top style="thin">
        <color auto="1"/>
      </top>
      <bottom/>
      <diagonal/>
    </border>
    <border>
      <left style="thin">
        <color rgb="FF000000"/>
      </left>
      <right/>
      <top style="thin">
        <color auto="1"/>
      </top>
      <bottom/>
      <diagonal/>
    </border>
    <border>
      <left style="thin">
        <color rgb="FF000000"/>
      </left>
      <right style="thin">
        <color indexed="64"/>
      </right>
      <top/>
      <bottom style="thin">
        <color indexed="64"/>
      </bottom>
      <diagonal/>
    </border>
    <border>
      <left/>
      <right style="thin">
        <color rgb="FF000000"/>
      </right>
      <top style="thin">
        <color indexed="64"/>
      </top>
      <bottom/>
      <diagonal/>
    </border>
    <border>
      <left style="thin">
        <color rgb="FF000000"/>
      </left>
      <right style="thin">
        <color indexed="64"/>
      </right>
      <top style="thin">
        <color indexed="64"/>
      </top>
      <bottom/>
      <diagonal/>
    </border>
  </borders>
  <cellStyleXfs count="22">
    <xf numFmtId="0" fontId="0" fillId="0" borderId="0">
      <alignment vertical="center"/>
    </xf>
    <xf numFmtId="0" fontId="2" fillId="0" borderId="0">
      <alignment vertical="center"/>
    </xf>
    <xf numFmtId="0" fontId="6" fillId="0" borderId="0">
      <alignment vertical="center"/>
    </xf>
    <xf numFmtId="9" fontId="7" fillId="0" borderId="0" applyFont="0" applyFill="0" applyBorder="0" applyAlignment="0" applyProtection="0"/>
    <xf numFmtId="9" fontId="8" fillId="0" borderId="0" applyFont="0" applyFill="0" applyBorder="0" applyAlignment="0" applyProtection="0">
      <alignment vertical="center"/>
    </xf>
    <xf numFmtId="176" fontId="2" fillId="0" borderId="0" applyFont="0" applyFill="0" applyBorder="0" applyAlignment="0" applyProtection="0">
      <alignment vertical="center"/>
    </xf>
    <xf numFmtId="176" fontId="2" fillId="0" borderId="0" applyFont="0" applyFill="0" applyBorder="0" applyAlignment="0" applyProtection="0">
      <alignment vertical="center"/>
    </xf>
    <xf numFmtId="176" fontId="8" fillId="0" borderId="0" applyFont="0" applyFill="0" applyBorder="0" applyAlignment="0" applyProtection="0">
      <alignment vertical="center"/>
    </xf>
    <xf numFmtId="176" fontId="8" fillId="0" borderId="0" applyFont="0" applyFill="0" applyBorder="0" applyAlignment="0" applyProtection="0">
      <alignment vertical="center"/>
    </xf>
    <xf numFmtId="0" fontId="1" fillId="0" borderId="0">
      <alignment vertical="center"/>
    </xf>
    <xf numFmtId="0" fontId="2" fillId="0" borderId="0">
      <alignment vertical="center"/>
    </xf>
    <xf numFmtId="0" fontId="9" fillId="0" borderId="0">
      <alignment vertical="center"/>
    </xf>
    <xf numFmtId="0" fontId="7" fillId="0" borderId="0"/>
    <xf numFmtId="0" fontId="2" fillId="0" borderId="0">
      <alignment vertical="center"/>
    </xf>
    <xf numFmtId="0" fontId="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top"/>
      <protection locked="0"/>
    </xf>
  </cellStyleXfs>
  <cellXfs count="184">
    <xf numFmtId="0" fontId="0" fillId="0" borderId="0" xfId="0">
      <alignment vertical="center"/>
    </xf>
    <xf numFmtId="0" fontId="2" fillId="0" borderId="0" xfId="1">
      <alignment vertical="center"/>
    </xf>
    <xf numFmtId="0" fontId="4" fillId="0" borderId="0" xfId="1" applyFont="1">
      <alignment vertical="center"/>
    </xf>
    <xf numFmtId="0" fontId="2" fillId="0" borderId="0" xfId="1" applyAlignment="1">
      <alignment horizontal="left" vertical="center"/>
    </xf>
    <xf numFmtId="0" fontId="4" fillId="0" borderId="0" xfId="1" applyFont="1" applyAlignment="1">
      <alignment horizontal="left" vertical="center"/>
    </xf>
    <xf numFmtId="0" fontId="2" fillId="0" borderId="0" xfId="1" applyAlignment="1">
      <alignment horizontal="left" vertical="center" wrapText="1"/>
    </xf>
    <xf numFmtId="0" fontId="4" fillId="0" borderId="0" xfId="1" applyFont="1" applyAlignment="1">
      <alignment horizontal="left" vertical="center" wrapText="1"/>
    </xf>
    <xf numFmtId="0" fontId="2" fillId="0" borderId="0" xfId="1" applyAlignment="1">
      <alignment vertical="center" wrapText="1"/>
    </xf>
    <xf numFmtId="0" fontId="4" fillId="0" borderId="0" xfId="1" applyFont="1" applyAlignment="1">
      <alignment vertical="center" wrapText="1"/>
    </xf>
    <xf numFmtId="0" fontId="13" fillId="0" borderId="0" xfId="0" applyFont="1">
      <alignment vertical="center"/>
    </xf>
    <xf numFmtId="0" fontId="0" fillId="0" borderId="1" xfId="0" applyBorder="1">
      <alignment vertical="center"/>
    </xf>
    <xf numFmtId="0" fontId="0" fillId="4" borderId="1" xfId="0" applyFill="1" applyBorder="1">
      <alignment vertical="center"/>
    </xf>
    <xf numFmtId="0" fontId="0" fillId="5" borderId="1" xfId="0" applyFill="1" applyBorder="1" applyAlignment="1">
      <alignment horizontal="center" vertical="center"/>
    </xf>
    <xf numFmtId="0" fontId="0" fillId="3" borderId="1" xfId="0" applyFill="1" applyBorder="1">
      <alignment vertical="center"/>
    </xf>
    <xf numFmtId="14" fontId="0" fillId="3" borderId="1" xfId="0" applyNumberFormat="1" applyFill="1" applyBorder="1">
      <alignment vertical="center"/>
    </xf>
    <xf numFmtId="0" fontId="14" fillId="0" borderId="0" xfId="0" applyFont="1">
      <alignment vertical="center"/>
    </xf>
    <xf numFmtId="0" fontId="15" fillId="0" borderId="22" xfId="1" applyFont="1" applyBorder="1" applyAlignment="1">
      <alignment horizontal="center" vertical="center" wrapText="1"/>
    </xf>
    <xf numFmtId="0" fontId="16" fillId="0" borderId="0" xfId="2" applyFont="1" applyAlignment="1">
      <alignment horizontal="center" vertical="center" wrapText="1"/>
    </xf>
    <xf numFmtId="0" fontId="18" fillId="0" borderId="0" xfId="1" applyFont="1" applyBorder="1" applyAlignment="1">
      <alignment horizontal="left" vertical="center"/>
    </xf>
    <xf numFmtId="0" fontId="18" fillId="0" borderId="0" xfId="1" applyFont="1" applyBorder="1" applyAlignment="1">
      <alignment vertical="center" wrapText="1"/>
    </xf>
    <xf numFmtId="0" fontId="18" fillId="0" borderId="0" xfId="1" applyFont="1" applyBorder="1" applyAlignment="1">
      <alignment vertical="center"/>
    </xf>
    <xf numFmtId="0" fontId="19" fillId="0" borderId="0" xfId="1" applyFont="1" applyAlignment="1">
      <alignment horizontal="justify" vertical="center"/>
    </xf>
    <xf numFmtId="0" fontId="18" fillId="0" borderId="0" xfId="1" applyFont="1">
      <alignment vertical="center"/>
    </xf>
    <xf numFmtId="0" fontId="19" fillId="0" borderId="0" xfId="1" applyFont="1" applyAlignment="1">
      <alignment horizontal="left" vertical="center" indent="5"/>
    </xf>
    <xf numFmtId="0" fontId="19" fillId="0" borderId="22" xfId="1" applyFont="1" applyBorder="1" applyAlignment="1">
      <alignment horizontal="center" vertical="center" wrapText="1"/>
    </xf>
    <xf numFmtId="0" fontId="19" fillId="3" borderId="22" xfId="1" applyFont="1" applyFill="1" applyBorder="1" applyAlignment="1">
      <alignment horizontal="center" vertical="center" wrapText="1"/>
    </xf>
    <xf numFmtId="0" fontId="19" fillId="0" borderId="0" xfId="1" applyFont="1" applyBorder="1" applyAlignment="1">
      <alignment horizontal="right" vertical="center"/>
    </xf>
    <xf numFmtId="0" fontId="18" fillId="0" borderId="0" xfId="1" applyFont="1" applyBorder="1" applyAlignment="1">
      <alignment horizontal="right" vertical="center"/>
    </xf>
    <xf numFmtId="0" fontId="22" fillId="0" borderId="0" xfId="1" applyFont="1" applyBorder="1" applyAlignment="1">
      <alignment vertical="center" wrapText="1"/>
    </xf>
    <xf numFmtId="0" fontId="21" fillId="0" borderId="0" xfId="1" applyFont="1" applyBorder="1" applyAlignment="1">
      <alignment vertical="center"/>
    </xf>
    <xf numFmtId="0" fontId="22" fillId="0" borderId="0" xfId="1" applyFont="1" applyBorder="1" applyAlignment="1">
      <alignment vertical="center"/>
    </xf>
    <xf numFmtId="0" fontId="22" fillId="0" borderId="0" xfId="1" applyFont="1" applyFill="1" applyBorder="1" applyAlignment="1">
      <alignment vertical="center" wrapText="1"/>
    </xf>
    <xf numFmtId="0" fontId="22" fillId="3" borderId="0" xfId="1" applyFont="1" applyFill="1" applyBorder="1" applyAlignment="1">
      <alignment vertical="center"/>
    </xf>
    <xf numFmtId="0" fontId="22" fillId="3" borderId="0" xfId="1" applyFont="1" applyFill="1" applyBorder="1" applyAlignment="1">
      <alignment vertical="center" wrapText="1"/>
    </xf>
    <xf numFmtId="0" fontId="22" fillId="0" borderId="0" xfId="1" applyFont="1" applyBorder="1" applyAlignment="1">
      <alignment horizontal="right" vertical="center" wrapText="1"/>
    </xf>
    <xf numFmtId="0" fontId="19" fillId="0" borderId="0" xfId="1" applyFont="1" applyAlignment="1">
      <alignment horizontal="left" vertical="center" wrapText="1"/>
    </xf>
    <xf numFmtId="0" fontId="19" fillId="0" borderId="20" xfId="1" applyFont="1" applyBorder="1" applyAlignment="1">
      <alignment horizontal="center" vertical="center" wrapText="1"/>
    </xf>
    <xf numFmtId="0" fontId="22" fillId="3" borderId="20" xfId="1" applyFont="1" applyFill="1" applyBorder="1" applyAlignment="1">
      <alignment horizontal="center" vertical="center" wrapText="1"/>
    </xf>
    <xf numFmtId="0" fontId="22" fillId="5" borderId="0" xfId="1" applyFont="1" applyFill="1" applyAlignment="1">
      <alignment vertical="center" wrapText="1"/>
    </xf>
    <xf numFmtId="0" fontId="22" fillId="0" borderId="0" xfId="1" applyFont="1" applyFill="1" applyAlignment="1">
      <alignment vertical="center" wrapText="1"/>
    </xf>
    <xf numFmtId="0" fontId="19" fillId="0" borderId="0" xfId="1" applyFont="1" applyAlignment="1">
      <alignment horizontal="left" vertical="center"/>
    </xf>
    <xf numFmtId="0" fontId="19" fillId="0" borderId="21" xfId="1" applyFont="1" applyBorder="1" applyAlignment="1">
      <alignment horizontal="center" vertical="center" wrapText="1"/>
    </xf>
    <xf numFmtId="0" fontId="18" fillId="0" borderId="0" xfId="1" applyFont="1" applyAlignment="1">
      <alignment horizontal="left" vertical="center"/>
    </xf>
    <xf numFmtId="0" fontId="19" fillId="5" borderId="1" xfId="1" applyFont="1" applyFill="1" applyBorder="1" applyAlignment="1">
      <alignment horizontal="left" vertical="center" wrapText="1"/>
    </xf>
    <xf numFmtId="0" fontId="16" fillId="0" borderId="0" xfId="1" applyFont="1" applyAlignment="1">
      <alignment horizontal="left" vertical="center"/>
    </xf>
    <xf numFmtId="0" fontId="19" fillId="0" borderId="30" xfId="1" applyFont="1" applyBorder="1" applyAlignment="1">
      <alignment horizontal="center" vertical="center" wrapText="1"/>
    </xf>
    <xf numFmtId="0" fontId="19" fillId="0" borderId="12" xfId="1" applyFont="1" applyBorder="1" applyAlignment="1">
      <alignment horizontal="justify" vertical="center" wrapText="1"/>
    </xf>
    <xf numFmtId="0" fontId="19" fillId="0" borderId="11" xfId="1" applyFont="1" applyBorder="1" applyAlignment="1">
      <alignment horizontal="justify" vertical="center" wrapText="1"/>
    </xf>
    <xf numFmtId="0" fontId="19" fillId="0" borderId="8" xfId="1" applyFont="1" applyBorder="1" applyAlignment="1">
      <alignment horizontal="justify" vertical="center" wrapText="1"/>
    </xf>
    <xf numFmtId="0" fontId="19" fillId="0" borderId="7" xfId="1" applyFont="1" applyBorder="1" applyAlignment="1">
      <alignment horizontal="justify" vertical="center" wrapText="1"/>
    </xf>
    <xf numFmtId="0" fontId="18" fillId="0" borderId="8" xfId="1" applyFont="1" applyBorder="1" applyAlignment="1">
      <alignment vertical="top" wrapText="1"/>
    </xf>
    <xf numFmtId="0" fontId="18" fillId="0" borderId="15" xfId="1" applyFont="1" applyBorder="1" applyAlignment="1">
      <alignment vertical="top" wrapText="1"/>
    </xf>
    <xf numFmtId="0" fontId="19" fillId="0" borderId="13" xfId="1" applyFont="1" applyBorder="1" applyAlignment="1">
      <alignment horizontal="center" vertical="center" wrapText="1"/>
    </xf>
    <xf numFmtId="177" fontId="19" fillId="0" borderId="10" xfId="1" applyNumberFormat="1" applyFont="1" applyBorder="1" applyAlignment="1">
      <alignment horizontal="center" vertical="center" wrapText="1"/>
    </xf>
    <xf numFmtId="0" fontId="26" fillId="0" borderId="0" xfId="1" applyFont="1" applyBorder="1" applyAlignment="1">
      <alignment horizontal="left" vertical="center" wrapText="1"/>
    </xf>
    <xf numFmtId="0" fontId="19" fillId="0" borderId="0" xfId="1" applyFont="1" applyBorder="1" applyAlignment="1">
      <alignment horizontal="justify" vertical="center" wrapText="1"/>
    </xf>
    <xf numFmtId="0" fontId="18" fillId="0" borderId="0" xfId="1" applyFont="1" applyBorder="1">
      <alignment vertical="center"/>
    </xf>
    <xf numFmtId="0" fontId="18" fillId="0" borderId="7" xfId="1" applyFont="1" applyBorder="1">
      <alignment vertical="center"/>
    </xf>
    <xf numFmtId="0" fontId="19" fillId="5" borderId="22" xfId="1" applyFont="1" applyFill="1" applyBorder="1" applyAlignment="1">
      <alignment horizontal="justify" vertical="center" wrapText="1"/>
    </xf>
    <xf numFmtId="0" fontId="25" fillId="5" borderId="21" xfId="1" applyFont="1" applyFill="1" applyBorder="1" applyAlignment="1">
      <alignment horizontal="justify" vertical="center" wrapText="1"/>
    </xf>
    <xf numFmtId="0" fontId="25" fillId="5" borderId="20" xfId="1" applyFont="1" applyFill="1" applyBorder="1" applyAlignment="1">
      <alignment horizontal="right" vertical="center" wrapText="1"/>
    </xf>
    <xf numFmtId="0" fontId="19" fillId="5" borderId="21" xfId="1" applyFont="1" applyFill="1" applyBorder="1" applyAlignment="1">
      <alignment horizontal="justify" vertical="center" wrapText="1"/>
    </xf>
    <xf numFmtId="0" fontId="19" fillId="5" borderId="20" xfId="1" applyFont="1" applyFill="1" applyBorder="1" applyAlignment="1">
      <alignment horizontal="right" vertical="center" wrapText="1"/>
    </xf>
    <xf numFmtId="0" fontId="18" fillId="0" borderId="5" xfId="1" applyFont="1" applyBorder="1">
      <alignment vertical="center"/>
    </xf>
    <xf numFmtId="0" fontId="18" fillId="0" borderId="2" xfId="1" applyFont="1" applyBorder="1">
      <alignment vertical="center"/>
    </xf>
    <xf numFmtId="0" fontId="19" fillId="0" borderId="8" xfId="1" applyFont="1" applyBorder="1" applyAlignment="1">
      <alignment horizontal="left" vertical="center" wrapText="1"/>
    </xf>
    <xf numFmtId="0" fontId="18" fillId="0" borderId="7" xfId="1" applyFont="1" applyBorder="1" applyAlignment="1">
      <alignment vertical="top" wrapText="1"/>
    </xf>
    <xf numFmtId="0" fontId="18" fillId="0" borderId="3" xfId="1" applyFont="1" applyBorder="1" applyAlignment="1">
      <alignment vertical="top" wrapText="1"/>
    </xf>
    <xf numFmtId="0" fontId="19" fillId="0" borderId="7" xfId="1" applyFont="1" applyBorder="1" applyAlignment="1">
      <alignment horizontal="left" vertical="center" wrapText="1"/>
    </xf>
    <xf numFmtId="0" fontId="19" fillId="0" borderId="12" xfId="1" applyFont="1" applyBorder="1" applyAlignment="1">
      <alignment horizontal="left" vertical="center" wrapText="1"/>
    </xf>
    <xf numFmtId="0" fontId="18" fillId="5" borderId="1" xfId="1" applyFont="1" applyFill="1" applyBorder="1">
      <alignment vertical="center"/>
    </xf>
    <xf numFmtId="0" fontId="27" fillId="0" borderId="0" xfId="1" applyFont="1" applyAlignment="1">
      <alignment horizontal="left" vertical="center"/>
    </xf>
    <xf numFmtId="0" fontId="19" fillId="0" borderId="0" xfId="1" applyFont="1" applyAlignment="1">
      <alignment horizontal="right" vertical="center"/>
    </xf>
    <xf numFmtId="0" fontId="18" fillId="0" borderId="35" xfId="1" applyFont="1" applyBorder="1">
      <alignment vertical="center"/>
    </xf>
    <xf numFmtId="0" fontId="18" fillId="0" borderId="34" xfId="1" applyFont="1" applyBorder="1">
      <alignment vertical="center"/>
    </xf>
    <xf numFmtId="0" fontId="19" fillId="0" borderId="42" xfId="1" applyFont="1" applyBorder="1" applyAlignment="1">
      <alignment horizontal="left" vertical="center" wrapText="1"/>
    </xf>
    <xf numFmtId="0" fontId="19" fillId="0" borderId="34" xfId="1" applyFont="1" applyBorder="1" applyAlignment="1">
      <alignment horizontal="justify" vertical="center" wrapText="1"/>
    </xf>
    <xf numFmtId="0" fontId="16" fillId="0" borderId="0" xfId="2" applyFont="1" applyAlignment="1">
      <alignment horizontal="center" vertical="center" wrapText="1"/>
    </xf>
    <xf numFmtId="0" fontId="17" fillId="0" borderId="0" xfId="1" applyFont="1" applyAlignment="1">
      <alignment horizontal="center" vertical="center"/>
    </xf>
    <xf numFmtId="0" fontId="19" fillId="0" borderId="0" xfId="1" applyFont="1" applyAlignment="1">
      <alignment horizontal="left" vertical="center"/>
    </xf>
    <xf numFmtId="14" fontId="18" fillId="0" borderId="0" xfId="1" applyNumberFormat="1" applyFont="1" applyAlignment="1">
      <alignment horizontal="left" vertical="center"/>
    </xf>
    <xf numFmtId="0" fontId="18" fillId="0" borderId="0" xfId="1" applyFont="1" applyAlignment="1">
      <alignment horizontal="left" vertical="center"/>
    </xf>
    <xf numFmtId="0" fontId="19" fillId="0" borderId="0" xfId="1" applyFont="1" applyAlignment="1">
      <alignment horizontal="left" vertical="center" wrapText="1"/>
    </xf>
    <xf numFmtId="0" fontId="19" fillId="0" borderId="1" xfId="1" applyFont="1" applyBorder="1" applyAlignment="1">
      <alignment horizontal="left" vertical="center" wrapText="1"/>
    </xf>
    <xf numFmtId="14" fontId="18" fillId="0" borderId="31" xfId="1" applyNumberFormat="1" applyFont="1" applyBorder="1" applyAlignment="1">
      <alignment horizontal="left" vertical="center" wrapText="1"/>
    </xf>
    <xf numFmtId="0" fontId="18" fillId="0" borderId="28" xfId="1" applyFont="1" applyBorder="1" applyAlignment="1">
      <alignment horizontal="left" vertical="center" wrapText="1"/>
    </xf>
    <xf numFmtId="0" fontId="18" fillId="0" borderId="27" xfId="1" applyFont="1" applyBorder="1" applyAlignment="1">
      <alignment horizontal="left" vertical="center" wrapText="1"/>
    </xf>
    <xf numFmtId="0" fontId="16" fillId="0" borderId="0" xfId="1" applyFont="1" applyAlignment="1">
      <alignment horizontal="left" vertical="center" wrapText="1"/>
    </xf>
    <xf numFmtId="0" fontId="18" fillId="0" borderId="0" xfId="1" applyFont="1" applyAlignment="1">
      <alignment horizontal="left" vertical="center" wrapText="1"/>
    </xf>
    <xf numFmtId="0" fontId="19" fillId="3" borderId="21" xfId="1" applyFont="1" applyFill="1" applyBorder="1" applyAlignment="1">
      <alignment horizontal="center" vertical="center" wrapText="1"/>
    </xf>
    <xf numFmtId="0" fontId="19" fillId="3" borderId="24" xfId="1" applyFont="1" applyFill="1" applyBorder="1" applyAlignment="1">
      <alignment horizontal="center" vertical="center" wrapText="1"/>
    </xf>
    <xf numFmtId="0" fontId="19" fillId="3" borderId="20" xfId="1" applyFont="1" applyFill="1" applyBorder="1" applyAlignment="1">
      <alignment horizontal="center" vertical="center" wrapText="1"/>
    </xf>
    <xf numFmtId="0" fontId="19" fillId="0" borderId="0" xfId="1" applyFont="1" applyBorder="1" applyAlignment="1">
      <alignment horizontal="right" vertical="center"/>
    </xf>
    <xf numFmtId="0" fontId="19" fillId="3" borderId="36" xfId="1" applyFont="1" applyFill="1" applyBorder="1" applyAlignment="1">
      <alignment horizontal="center" vertical="center" wrapText="1"/>
    </xf>
    <xf numFmtId="0" fontId="19" fillId="3" borderId="35" xfId="1" applyFont="1" applyFill="1" applyBorder="1" applyAlignment="1">
      <alignment horizontal="center" vertical="center" wrapText="1"/>
    </xf>
    <xf numFmtId="0" fontId="19" fillId="3" borderId="34" xfId="1" applyFont="1" applyFill="1" applyBorder="1" applyAlignment="1">
      <alignment horizontal="center" vertical="center" wrapText="1"/>
    </xf>
    <xf numFmtId="0" fontId="19" fillId="3" borderId="33" xfId="1" applyFont="1" applyFill="1" applyBorder="1" applyAlignment="1">
      <alignment horizontal="center" vertical="center" wrapText="1"/>
    </xf>
    <xf numFmtId="0" fontId="19" fillId="3" borderId="0" xfId="1" applyFont="1" applyFill="1" applyBorder="1" applyAlignment="1">
      <alignment horizontal="center" vertical="center" wrapText="1"/>
    </xf>
    <xf numFmtId="0" fontId="19" fillId="3" borderId="7" xfId="1" applyFont="1" applyFill="1" applyBorder="1" applyAlignment="1">
      <alignment horizontal="center" vertical="center" wrapText="1"/>
    </xf>
    <xf numFmtId="0" fontId="19" fillId="3" borderId="32" xfId="1" applyFont="1" applyFill="1" applyBorder="1" applyAlignment="1">
      <alignment horizontal="center" vertical="center" wrapText="1"/>
    </xf>
    <xf numFmtId="0" fontId="19" fillId="3" borderId="5" xfId="1" applyFont="1" applyFill="1" applyBorder="1" applyAlignment="1">
      <alignment horizontal="center" vertical="center" wrapText="1"/>
    </xf>
    <xf numFmtId="0" fontId="19" fillId="3" borderId="2" xfId="1" applyFont="1" applyFill="1" applyBorder="1" applyAlignment="1">
      <alignment horizontal="center" vertical="center" wrapText="1"/>
    </xf>
    <xf numFmtId="0" fontId="19" fillId="0" borderId="31" xfId="1" applyFont="1" applyBorder="1" applyAlignment="1">
      <alignment horizontal="left" vertical="center" wrapText="1"/>
    </xf>
    <xf numFmtId="0" fontId="19" fillId="0" borderId="28" xfId="1" applyFont="1" applyBorder="1" applyAlignment="1">
      <alignment horizontal="left" vertical="center" wrapText="1"/>
    </xf>
    <xf numFmtId="0" fontId="19" fillId="0" borderId="27" xfId="1" applyFont="1" applyBorder="1" applyAlignment="1">
      <alignment horizontal="left" vertical="center" wrapText="1"/>
    </xf>
    <xf numFmtId="0" fontId="19" fillId="3" borderId="1" xfId="1" applyFont="1" applyFill="1" applyBorder="1" applyAlignment="1">
      <alignment horizontal="center" vertical="center" wrapText="1"/>
    </xf>
    <xf numFmtId="0" fontId="19" fillId="3" borderId="1" xfId="1" applyFont="1" applyFill="1" applyBorder="1" applyAlignment="1">
      <alignment horizontal="left" vertical="center" wrapText="1"/>
    </xf>
    <xf numFmtId="0" fontId="19" fillId="0" borderId="5" xfId="1" applyFont="1" applyBorder="1" applyAlignment="1">
      <alignment horizontal="left" vertical="center"/>
    </xf>
    <xf numFmtId="0" fontId="18" fillId="0" borderId="31" xfId="1" applyFont="1" applyBorder="1" applyAlignment="1">
      <alignment horizontal="left" vertical="center" wrapText="1"/>
    </xf>
    <xf numFmtId="0" fontId="19" fillId="0" borderId="31" xfId="1" applyFont="1" applyBorder="1" applyAlignment="1">
      <alignment horizontal="center" vertical="center" wrapText="1"/>
    </xf>
    <xf numFmtId="0" fontId="19" fillId="0" borderId="28" xfId="1" applyFont="1" applyBorder="1" applyAlignment="1">
      <alignment horizontal="center" vertical="center" wrapText="1"/>
    </xf>
    <xf numFmtId="0" fontId="19" fillId="0" borderId="27" xfId="1" applyFont="1" applyBorder="1" applyAlignment="1">
      <alignment horizontal="center" vertical="center" wrapText="1"/>
    </xf>
    <xf numFmtId="0" fontId="19" fillId="0" borderId="31" xfId="1" applyFont="1" applyFill="1" applyBorder="1" applyAlignment="1">
      <alignment horizontal="center" vertical="center" wrapText="1"/>
    </xf>
    <xf numFmtId="0" fontId="19" fillId="0" borderId="28" xfId="1" applyFont="1" applyFill="1" applyBorder="1" applyAlignment="1">
      <alignment horizontal="center" vertical="center" wrapText="1"/>
    </xf>
    <xf numFmtId="0" fontId="19" fillId="0" borderId="27" xfId="1" applyFont="1" applyFill="1" applyBorder="1" applyAlignment="1">
      <alignment horizontal="center" vertical="center" wrapText="1"/>
    </xf>
    <xf numFmtId="0" fontId="23" fillId="0" borderId="0" xfId="1" applyFont="1" applyAlignment="1">
      <alignment horizontal="left" vertical="center" wrapText="1"/>
    </xf>
    <xf numFmtId="0" fontId="24" fillId="0" borderId="0" xfId="1" applyFont="1" applyAlignment="1">
      <alignment horizontal="left" vertical="center" wrapText="1"/>
    </xf>
    <xf numFmtId="0" fontId="16" fillId="0" borderId="0" xfId="1" applyFont="1" applyAlignment="1">
      <alignment horizontal="left" vertical="center"/>
    </xf>
    <xf numFmtId="0" fontId="16" fillId="0" borderId="0" xfId="1" applyFont="1" applyAlignment="1">
      <alignment horizontal="center" vertical="center"/>
    </xf>
    <xf numFmtId="0" fontId="19" fillId="0" borderId="29" xfId="1" applyFont="1" applyBorder="1" applyAlignment="1">
      <alignment horizontal="left" vertical="center" wrapText="1"/>
    </xf>
    <xf numFmtId="0" fontId="19" fillId="0" borderId="26"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32" xfId="1" applyFont="1" applyBorder="1" applyAlignment="1">
      <alignment horizontal="left" vertical="center" wrapText="1"/>
    </xf>
    <xf numFmtId="0" fontId="19" fillId="0" borderId="5" xfId="1" applyFont="1" applyBorder="1" applyAlignment="1">
      <alignment horizontal="left" vertical="center" wrapText="1"/>
    </xf>
    <xf numFmtId="0" fontId="19" fillId="0" borderId="2" xfId="1" applyFont="1" applyBorder="1" applyAlignment="1">
      <alignment horizontal="left" vertical="center" wrapText="1"/>
    </xf>
    <xf numFmtId="0" fontId="19" fillId="0" borderId="38"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40" xfId="1" applyFont="1" applyBorder="1" applyAlignment="1">
      <alignment horizontal="left" vertical="center" wrapText="1"/>
    </xf>
    <xf numFmtId="0" fontId="19" fillId="0" borderId="45" xfId="1" applyFont="1" applyBorder="1" applyAlignment="1">
      <alignment horizontal="center" vertical="center" wrapText="1"/>
    </xf>
    <xf numFmtId="0" fontId="19" fillId="0" borderId="39" xfId="1" applyFont="1" applyBorder="1" applyAlignment="1">
      <alignment horizontal="center" vertical="center" wrapText="1"/>
    </xf>
    <xf numFmtId="0" fontId="19" fillId="0" borderId="37" xfId="1" applyFont="1" applyBorder="1" applyAlignment="1">
      <alignment horizontal="left" vertical="center" wrapText="1"/>
    </xf>
    <xf numFmtId="0" fontId="24" fillId="0" borderId="1" xfId="1" applyFont="1" applyBorder="1" applyAlignment="1">
      <alignment horizontal="left" vertical="center" wrapText="1"/>
    </xf>
    <xf numFmtId="0" fontId="16" fillId="0" borderId="8" xfId="1" applyFont="1" applyBorder="1" applyAlignment="1">
      <alignment horizontal="left" vertical="center" wrapText="1"/>
    </xf>
    <xf numFmtId="0" fontId="16" fillId="0" borderId="0" xfId="1" applyFont="1" applyBorder="1" applyAlignment="1">
      <alignment horizontal="left" vertical="center" wrapText="1"/>
    </xf>
    <xf numFmtId="0" fontId="16" fillId="0" borderId="9" xfId="1" applyFont="1" applyBorder="1" applyAlignment="1">
      <alignment horizontal="left" vertical="center" wrapText="1"/>
    </xf>
    <xf numFmtId="0" fontId="25" fillId="2" borderId="11" xfId="1" applyFont="1" applyFill="1" applyBorder="1" applyAlignment="1">
      <alignment horizontal="justify" vertical="center" wrapText="1"/>
    </xf>
    <xf numFmtId="0" fontId="25" fillId="2" borderId="7" xfId="1" applyFont="1" applyFill="1" applyBorder="1" applyAlignment="1">
      <alignment horizontal="justify" vertical="center" wrapText="1"/>
    </xf>
    <xf numFmtId="177" fontId="19" fillId="0" borderId="10" xfId="1" quotePrefix="1" applyNumberFormat="1" applyFont="1" applyBorder="1" applyAlignment="1">
      <alignment horizontal="center" vertical="center" wrapText="1"/>
    </xf>
    <xf numFmtId="177" fontId="19" fillId="0" borderId="10" xfId="1" applyNumberFormat="1" applyFont="1" applyBorder="1" applyAlignment="1">
      <alignment horizontal="center" vertical="center" wrapText="1"/>
    </xf>
    <xf numFmtId="0" fontId="19" fillId="0" borderId="8" xfId="1" applyFont="1" applyBorder="1" applyAlignment="1">
      <alignment horizontal="left" vertical="center" wrapText="1"/>
    </xf>
    <xf numFmtId="0" fontId="19" fillId="0" borderId="0" xfId="1" applyFont="1" applyBorder="1" applyAlignment="1">
      <alignment horizontal="left" vertical="center" wrapText="1"/>
    </xf>
    <xf numFmtId="0" fontId="19" fillId="0" borderId="9" xfId="1" applyFont="1" applyBorder="1" applyAlignment="1">
      <alignment horizontal="left" vertical="center" wrapText="1"/>
    </xf>
    <xf numFmtId="0" fontId="26" fillId="0" borderId="8" xfId="1" applyFont="1" applyBorder="1" applyAlignment="1">
      <alignment horizontal="left" vertical="center" wrapText="1"/>
    </xf>
    <xf numFmtId="0" fontId="26" fillId="0" borderId="0" xfId="1" applyFont="1" applyBorder="1" applyAlignment="1">
      <alignment horizontal="left" vertical="center" wrapText="1"/>
    </xf>
    <xf numFmtId="0" fontId="26" fillId="0" borderId="9" xfId="1" applyFont="1" applyBorder="1" applyAlignment="1">
      <alignment horizontal="left" vertical="center" wrapText="1"/>
    </xf>
    <xf numFmtId="0" fontId="19" fillId="0" borderId="10" xfId="1" applyFont="1" applyBorder="1" applyAlignment="1">
      <alignment horizontal="center" vertical="center" wrapText="1"/>
    </xf>
    <xf numFmtId="0" fontId="19" fillId="0" borderId="16" xfId="1" applyFont="1" applyBorder="1" applyAlignment="1">
      <alignment horizontal="center" vertical="center" wrapText="1"/>
    </xf>
    <xf numFmtId="0" fontId="18" fillId="0" borderId="8" xfId="1" applyFont="1" applyBorder="1" applyAlignment="1">
      <alignment horizontal="center" vertical="top" wrapText="1"/>
    </xf>
    <xf numFmtId="0" fontId="18" fillId="0" borderId="0" xfId="1" applyFont="1" applyBorder="1" applyAlignment="1">
      <alignment horizontal="center" vertical="top" wrapText="1"/>
    </xf>
    <xf numFmtId="0" fontId="18" fillId="0" borderId="9" xfId="1" applyFont="1" applyBorder="1" applyAlignment="1">
      <alignment horizontal="center" vertical="top" wrapText="1"/>
    </xf>
    <xf numFmtId="0" fontId="18" fillId="0" borderId="3" xfId="1" applyFont="1" applyBorder="1" applyAlignment="1">
      <alignment horizontal="center" vertical="top" wrapText="1"/>
    </xf>
    <xf numFmtId="0" fontId="18" fillId="0" borderId="5" xfId="1" applyFont="1" applyBorder="1" applyAlignment="1">
      <alignment horizontal="center" vertical="top" wrapText="1"/>
    </xf>
    <xf numFmtId="0" fontId="18" fillId="0" borderId="4" xfId="1" applyFont="1" applyBorder="1" applyAlignment="1">
      <alignment horizontal="center" vertical="top" wrapText="1"/>
    </xf>
    <xf numFmtId="0" fontId="25" fillId="2" borderId="14" xfId="1" applyFont="1" applyFill="1" applyBorder="1" applyAlignment="1">
      <alignment horizontal="justify" vertical="center" wrapText="1"/>
    </xf>
    <xf numFmtId="0" fontId="19" fillId="0" borderId="41" xfId="1" applyFont="1" applyBorder="1" applyAlignment="1">
      <alignment horizontal="center" vertical="center" wrapText="1"/>
    </xf>
    <xf numFmtId="0" fontId="16" fillId="0" borderId="42" xfId="1" applyFont="1" applyBorder="1" applyAlignment="1">
      <alignment horizontal="left" vertical="center" wrapText="1"/>
    </xf>
    <xf numFmtId="0" fontId="16" fillId="0" borderId="35" xfId="1" applyFont="1" applyBorder="1" applyAlignment="1">
      <alignment horizontal="left" vertical="center" wrapText="1"/>
    </xf>
    <xf numFmtId="0" fontId="16" fillId="0" borderId="44" xfId="1" applyFont="1" applyBorder="1" applyAlignment="1">
      <alignment horizontal="left" vertical="center" wrapText="1"/>
    </xf>
    <xf numFmtId="0" fontId="19" fillId="0" borderId="13" xfId="1" applyFont="1" applyBorder="1" applyAlignment="1">
      <alignment horizontal="center" vertical="center" wrapText="1"/>
    </xf>
    <xf numFmtId="0" fontId="18" fillId="0" borderId="21" xfId="1" applyFont="1" applyBorder="1" applyAlignment="1">
      <alignment vertical="top" wrapText="1"/>
    </xf>
    <xf numFmtId="0" fontId="18" fillId="0" borderId="24" xfId="1" applyFont="1" applyBorder="1" applyAlignment="1">
      <alignment vertical="top" wrapText="1"/>
    </xf>
    <xf numFmtId="0" fontId="18" fillId="0" borderId="20" xfId="1" applyFont="1" applyBorder="1" applyAlignment="1">
      <alignment vertical="top" wrapText="1"/>
    </xf>
    <xf numFmtId="0" fontId="19" fillId="0" borderId="6" xfId="1" applyFont="1" applyBorder="1" applyAlignment="1">
      <alignment horizontal="center" vertical="center" wrapText="1"/>
    </xf>
    <xf numFmtId="0" fontId="19" fillId="0" borderId="15" xfId="1" applyFont="1" applyBorder="1" applyAlignment="1">
      <alignment horizontal="center" vertical="center" wrapText="1"/>
    </xf>
    <xf numFmtId="0" fontId="19" fillId="0" borderId="23" xfId="1" applyFont="1" applyBorder="1" applyAlignment="1">
      <alignment horizontal="center" vertical="center" wrapText="1"/>
    </xf>
    <xf numFmtId="0" fontId="18" fillId="0" borderId="19" xfId="1" applyFont="1" applyBorder="1" applyAlignment="1">
      <alignment vertical="top" wrapText="1"/>
    </xf>
    <xf numFmtId="0" fontId="18" fillId="0" borderId="18" xfId="1" applyFont="1" applyBorder="1" applyAlignment="1">
      <alignment vertical="top" wrapText="1"/>
    </xf>
    <xf numFmtId="0" fontId="18" fillId="0" borderId="17" xfId="1" applyFont="1" applyBorder="1" applyAlignment="1">
      <alignment vertical="top" wrapText="1"/>
    </xf>
    <xf numFmtId="0" fontId="25" fillId="2" borderId="2" xfId="1" applyFont="1" applyFill="1" applyBorder="1" applyAlignment="1">
      <alignment horizontal="justify" vertical="center" wrapText="1"/>
    </xf>
    <xf numFmtId="0" fontId="19" fillId="0" borderId="8" xfId="1" applyFont="1" applyBorder="1" applyAlignment="1">
      <alignment horizontal="center" vertical="center" wrapText="1"/>
    </xf>
    <xf numFmtId="0" fontId="19" fillId="0" borderId="0" xfId="1" applyFont="1" applyBorder="1" applyAlignment="1">
      <alignment horizontal="center" vertical="center" wrapText="1"/>
    </xf>
    <xf numFmtId="0" fontId="19" fillId="0" borderId="9" xfId="1" applyFont="1" applyBorder="1" applyAlignment="1">
      <alignment horizontal="center" vertical="center" wrapText="1"/>
    </xf>
    <xf numFmtId="0" fontId="19" fillId="0" borderId="3" xfId="1" applyFont="1" applyBorder="1" applyAlignment="1">
      <alignment horizontal="center" vertical="center" wrapText="1"/>
    </xf>
    <xf numFmtId="0" fontId="19" fillId="0" borderId="5" xfId="1" applyFont="1" applyBorder="1" applyAlignment="1">
      <alignment horizontal="center" vertical="center" wrapText="1"/>
    </xf>
    <xf numFmtId="0" fontId="19" fillId="0" borderId="4" xfId="1" applyFont="1" applyBorder="1" applyAlignment="1">
      <alignment horizontal="center" vertical="center" wrapText="1"/>
    </xf>
    <xf numFmtId="0" fontId="19" fillId="0" borderId="7" xfId="1" applyFont="1" applyBorder="1" applyAlignment="1">
      <alignment horizontal="center" vertical="center" wrapText="1"/>
    </xf>
    <xf numFmtId="0" fontId="18" fillId="0" borderId="0" xfId="1" applyFont="1" applyBorder="1" applyAlignment="1">
      <alignment horizontal="center" vertical="center"/>
    </xf>
    <xf numFmtId="0" fontId="27" fillId="0" borderId="0" xfId="1" applyFont="1" applyAlignment="1">
      <alignment horizontal="left" vertical="center" wrapText="1"/>
    </xf>
    <xf numFmtId="0" fontId="19" fillId="0" borderId="0" xfId="1" applyFont="1" applyAlignment="1">
      <alignment horizontal="center" vertical="center"/>
    </xf>
    <xf numFmtId="0" fontId="18" fillId="0" borderId="0" xfId="1" applyFont="1" applyBorder="1" applyAlignment="1">
      <alignment horizontal="center" vertical="center" wrapText="1"/>
    </xf>
    <xf numFmtId="0" fontId="22" fillId="0" borderId="0" xfId="1" applyFont="1" applyAlignment="1">
      <alignment horizontal="left" vertical="center" wrapText="1"/>
    </xf>
    <xf numFmtId="0" fontId="19" fillId="0" borderId="0" xfId="1" applyFont="1" applyBorder="1" applyAlignment="1">
      <alignment horizontal="justify" vertical="center" wrapText="1"/>
    </xf>
    <xf numFmtId="0" fontId="25" fillId="2" borderId="0" xfId="1" applyFont="1" applyFill="1" applyBorder="1" applyAlignment="1">
      <alignment horizontal="left" vertical="center"/>
    </xf>
    <xf numFmtId="0" fontId="19" fillId="0" borderId="0" xfId="1" applyFont="1" applyBorder="1" applyAlignment="1">
      <alignment horizontal="left" vertical="center"/>
    </xf>
  </cellXfs>
  <cellStyles count="22">
    <cellStyle name="Normal" xfId="0" builtinId="0"/>
    <cellStyle name="백분율 2" xfId="3" xr:uid="{00000000-0005-0000-0000-000000000000}"/>
    <cellStyle name="백분율 3" xfId="4" xr:uid="{00000000-0005-0000-0000-000001000000}"/>
    <cellStyle name="쉼표 [0] 2" xfId="5" xr:uid="{00000000-0005-0000-0000-000002000000}"/>
    <cellStyle name="쉼표 [0] 2 2" xfId="6" xr:uid="{00000000-0005-0000-0000-000003000000}"/>
    <cellStyle name="쉼표 [0] 3" xfId="7" xr:uid="{00000000-0005-0000-0000-000004000000}"/>
    <cellStyle name="쉼표 [0] 3 2" xfId="8" xr:uid="{00000000-0005-0000-0000-000005000000}"/>
    <cellStyle name="표준 2" xfId="1" xr:uid="{00000000-0005-0000-0000-000007000000}"/>
    <cellStyle name="표준 2 2" xfId="9" xr:uid="{00000000-0005-0000-0000-000008000000}"/>
    <cellStyle name="표준 2 2 3" xfId="10" xr:uid="{00000000-0005-0000-0000-000009000000}"/>
    <cellStyle name="표준 2 3" xfId="11" xr:uid="{00000000-0005-0000-0000-00000A000000}"/>
    <cellStyle name="표준 3" xfId="12" xr:uid="{00000000-0005-0000-0000-00000B000000}"/>
    <cellStyle name="표준 3 3" xfId="13" xr:uid="{00000000-0005-0000-0000-00000C000000}"/>
    <cellStyle name="표준 4" xfId="14" xr:uid="{00000000-0005-0000-0000-00000D000000}"/>
    <cellStyle name="표준 5" xfId="15" xr:uid="{00000000-0005-0000-0000-00000E000000}"/>
    <cellStyle name="표준 6" xfId="16" xr:uid="{00000000-0005-0000-0000-00000F000000}"/>
    <cellStyle name="표준 7" xfId="2" xr:uid="{00000000-0005-0000-0000-000010000000}"/>
    <cellStyle name="표준 8" xfId="17" xr:uid="{00000000-0005-0000-0000-000011000000}"/>
    <cellStyle name="표준 8 2" xfId="18" xr:uid="{00000000-0005-0000-0000-000012000000}"/>
    <cellStyle name="하이퍼링크 2" xfId="19" xr:uid="{00000000-0005-0000-0000-000013000000}"/>
    <cellStyle name="하이퍼링크 3" xfId="20" xr:uid="{00000000-0005-0000-0000-000014000000}"/>
    <cellStyle name="하이퍼링크 4" xfId="21" xr:uid="{00000000-0005-0000-0000-000015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20&#51221;&#49328;&#54364;_20120130_v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51473;&#50836;&#49457;&#44592;&#51456;(new)%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Temp\_AZTMP14_\Exec\&#48176;&#49457;&#54984;CPA\&#44608;&#54252;&#51221;&#49328;FS_1102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2380;&#50504;&#48169;&#49569;&#50976;&#54805;&#51088;&#49328;&#47560;&#51648;&#4756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8372;&#44256;&#49436;/2262%20WTB,&#51064;&#49604;&#50857;&#51116;&#47924;&#51228;&#54364;(&#51652;&#51676;&#52572;&#5133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0976;&#54805;&#51088;&#4932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cuments%20and%20Settings/aduser/Desktop/2009_Audit/7-&#54185;&#53944;&#47200;/2-&#54924;&#49324;&#51228;&#49884;&#51088;&#47308;_2009&#44592;&#47568;&#44048;&#49324;/&#52572;&#51333;DCS%20WTB%200111-jjw.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51068;&#48152;&#51312;&#49436;_3.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2261%20&#49884;&#49328;&#54364;(2321Financial%20Statement%20Review%20&#48143;%202233&#51116;&#47924;&#51228;&#54364;%20&#54252;&#54632;)&#51032;%20&#50892;&#53356;&#49884;&#53944;"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C)%205631%20&#50976;&#54805;&#51088;&#49328;&#51032;%20&#50892;&#53356;&#49884;&#5394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회사제시)"/>
      <sheetName val="IS(회사제시)"/>
      <sheetName val="정산표"/>
      <sheetName val="BS"/>
      <sheetName val="IS"/>
      <sheetName val="CF"/>
      <sheetName val="자본변동표"/>
      <sheetName val="현금흐름표정산표"/>
      <sheetName val="pending"/>
      <sheetName val="A"/>
      <sheetName val="D"/>
      <sheetName val="D100"/>
      <sheetName val="유동자산(원장)"/>
      <sheetName val="G"/>
      <sheetName val="G100"/>
      <sheetName val="유형자산(원장)"/>
      <sheetName val="H"/>
      <sheetName val="무형자산(원장)"/>
      <sheetName val="CC"/>
      <sheetName val="CC100"/>
      <sheetName val="기타유동부채(원장)"/>
      <sheetName val="DD"/>
      <sheetName val="장기차입금(원장)"/>
      <sheetName val="R"/>
      <sheetName val="판관비(원장)"/>
      <sheetName val="S"/>
      <sheetName val="영업외손익(원장)"/>
    </sheetNames>
    <sheetDataSet>
      <sheetData sheetId="0"/>
      <sheetData sheetId="1"/>
      <sheetData sheetId="2"/>
      <sheetData sheetId="3">
        <row r="14">
          <cell r="C14">
            <v>0</v>
          </cell>
        </row>
      </sheetData>
      <sheetData sheetId="4">
        <row r="9">
          <cell r="C9">
            <v>2567172909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사"/>
      <sheetName val="INPUT"/>
      <sheetName val="INDEX"/>
      <sheetName val="1100"/>
      <sheetName val="1200"/>
      <sheetName val="1300"/>
      <sheetName val="1320사전중요성"/>
      <sheetName val="1400"/>
      <sheetName val="1600"/>
      <sheetName val="2100"/>
      <sheetName val="2200"/>
      <sheetName val="2300"/>
      <sheetName val="2400"/>
      <sheetName val="2410"/>
      <sheetName val="2500"/>
      <sheetName val="2600"/>
      <sheetName val="3100"/>
      <sheetName val="3120사후중요성"/>
      <sheetName val="3150"/>
      <sheetName val="3200"/>
      <sheetName val="3250"/>
      <sheetName val="3300"/>
      <sheetName val="3400"/>
      <sheetName val="3700"/>
      <sheetName val="3710"/>
      <sheetName val="3720"/>
      <sheetName val="3727"/>
      <sheetName val="3730"/>
      <sheetName val="3740"/>
      <sheetName val="3800"/>
      <sheetName val="310,320"/>
      <sheetName val="심리RN"/>
      <sheetName val="RCS"/>
      <sheetName val="사후심리"/>
      <sheetName val="조서대장 "/>
    </sheetNames>
    <sheetDataSet>
      <sheetData sheetId="0" refreshError="1"/>
      <sheetData sheetId="1"/>
      <sheetData sheetId="2">
        <row r="1">
          <cell r="A1" t="str">
            <v>일반조서목록(General File Index)</v>
          </cell>
        </row>
      </sheetData>
      <sheetData sheetId="3"/>
      <sheetData sheetId="4" refreshError="1"/>
      <sheetData sheetId="5"/>
      <sheetData sheetId="6" refreshError="1"/>
      <sheetData sheetId="7"/>
      <sheetData sheetId="8" refreshError="1"/>
      <sheetData sheetId="9" refreshError="1"/>
      <sheetData sheetId="10"/>
      <sheetData sheetId="11"/>
      <sheetData sheetId="12" refreshError="1"/>
      <sheetData sheetId="13" refreshError="1"/>
      <sheetData sheetId="14"/>
      <sheetData sheetId="15"/>
      <sheetData sheetId="16"/>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dit finding"/>
      <sheetName val="정산표"/>
      <sheetName val="BS"/>
      <sheetName val="PL"/>
      <sheetName val="RE"/>
      <sheetName val="자본변동표"/>
      <sheetName val="CF"/>
      <sheetName val="현금흐름검증"/>
      <sheetName val="주요경영지표 (검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
      <sheetName val="감가상각LS"/>
      <sheetName val="주석사항"/>
      <sheetName val="건설중인자산대체 "/>
      <sheetName val="건물 "/>
      <sheetName val="구축물"/>
      <sheetName val="유선방송설비"/>
      <sheetName val="차량운반구 "/>
      <sheetName val="컨버터 "/>
      <sheetName val="전송선로설비"/>
      <sheetName val="집기비품"/>
      <sheetName val="공구기구 "/>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 및 손익(A.R)"/>
      <sheetName val="PAJE,PRJE"/>
      <sheetName val="WTB"/>
      <sheetName val="인쇄용BSPLRE"/>
      <sheetName val="인쇄용CF"/>
      <sheetName val="7기현금정산"/>
      <sheetName val="7기현금정산보조"/>
      <sheetName val="8기현금정산"/>
      <sheetName val="8기현금정산보조"/>
      <sheetName val="전기인쇄용재무제표"/>
      <sheetName val="재무비율(Analytical)"/>
      <sheetName val="인쇄용재무비율"/>
      <sheetName val="주석사항"/>
      <sheetName val="XREF"/>
      <sheetName val="Tickmarks"/>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2)"/>
      <sheetName val="감가상각LS (2)"/>
      <sheetName val="건설중인자산대체 (2)"/>
      <sheetName val="건물 (2)"/>
      <sheetName val="구축물 (2)"/>
      <sheetName val="유선방송설비 (2)"/>
      <sheetName val="차량운반구 (2)"/>
      <sheetName val="컨버터 (2)"/>
      <sheetName val="전송선로설비 (2)"/>
      <sheetName val="집기비품 (2)"/>
      <sheetName val="공구기구 (2)"/>
      <sheetName val="LS"/>
      <sheetName val="감가상각LS"/>
      <sheetName val="주석사항"/>
      <sheetName val="건설중인자산대체"/>
      <sheetName val="건물"/>
      <sheetName val="구축물"/>
      <sheetName val="유선방송설비"/>
      <sheetName val="차량운반구"/>
      <sheetName val="컨버터"/>
      <sheetName val="전송선로설비"/>
      <sheetName val="집기비품"/>
      <sheetName val="공구기구"/>
      <sheetName val="Tickmarks"/>
    </sheetNames>
    <sheetDataSet>
      <sheetData sheetId="0">
        <row r="10">
          <cell r="C10">
            <v>10349340</v>
          </cell>
          <cell r="D10">
            <v>0</v>
          </cell>
        </row>
        <row r="12">
          <cell r="D12">
            <v>0</v>
          </cell>
        </row>
        <row r="13">
          <cell r="D13">
            <v>0</v>
          </cell>
        </row>
        <row r="14">
          <cell r="D14">
            <v>0</v>
          </cell>
        </row>
        <row r="16">
          <cell r="D16">
            <v>0</v>
          </cell>
        </row>
        <row r="17">
          <cell r="D17">
            <v>0</v>
          </cell>
        </row>
        <row r="24">
          <cell r="D24">
            <v>0</v>
          </cell>
        </row>
        <row r="26">
          <cell r="C26">
            <v>1032722480</v>
          </cell>
          <cell r="D26">
            <v>0</v>
          </cell>
        </row>
        <row r="27">
          <cell r="D27">
            <v>0</v>
          </cell>
        </row>
        <row r="28">
          <cell r="C28">
            <v>436460885</v>
          </cell>
          <cell r="D28">
            <v>0</v>
          </cell>
        </row>
        <row r="30">
          <cell r="D30">
            <v>0</v>
          </cell>
        </row>
        <row r="31">
          <cell r="D31">
            <v>0</v>
          </cell>
        </row>
      </sheetData>
      <sheetData sheetId="1"/>
      <sheetData sheetId="2"/>
      <sheetData sheetId="3">
        <row r="5">
          <cell r="D5">
            <v>0</v>
          </cell>
        </row>
        <row r="7">
          <cell r="I7">
            <v>0</v>
          </cell>
          <cell r="K7">
            <v>0</v>
          </cell>
          <cell r="Q7">
            <v>576535</v>
          </cell>
          <cell r="R7">
            <v>0</v>
          </cell>
          <cell r="V7">
            <v>1768012.25</v>
          </cell>
          <cell r="W7">
            <v>0</v>
          </cell>
          <cell r="X7">
            <v>303034.38750000001</v>
          </cell>
          <cell r="Y7">
            <v>0</v>
          </cell>
          <cell r="Z7">
            <v>258733.5</v>
          </cell>
          <cell r="AA7">
            <v>0</v>
          </cell>
        </row>
      </sheetData>
      <sheetData sheetId="4">
        <row r="12">
          <cell r="L12">
            <v>3809133</v>
          </cell>
          <cell r="M12">
            <v>0</v>
          </cell>
          <cell r="N12">
            <v>3809133</v>
          </cell>
          <cell r="O12">
            <v>0</v>
          </cell>
          <cell r="R12">
            <v>4379133.333333333</v>
          </cell>
          <cell r="S12">
            <v>0</v>
          </cell>
        </row>
      </sheetData>
      <sheetData sheetId="5">
        <row r="316">
          <cell r="D316">
            <v>0</v>
          </cell>
          <cell r="H316">
            <v>1032722480</v>
          </cell>
          <cell r="I316">
            <v>0</v>
          </cell>
          <cell r="U316">
            <v>1099102129.9333332</v>
          </cell>
          <cell r="V316">
            <v>0</v>
          </cell>
          <cell r="Z316">
            <v>0</v>
          </cell>
        </row>
        <row r="341">
          <cell r="O341">
            <v>0</v>
          </cell>
          <cell r="Q341">
            <v>0</v>
          </cell>
          <cell r="X341">
            <v>0</v>
          </cell>
        </row>
      </sheetData>
      <sheetData sheetId="6">
        <row r="55">
          <cell r="D55">
            <v>0</v>
          </cell>
          <cell r="H55">
            <v>74137880</v>
          </cell>
          <cell r="O55">
            <v>0</v>
          </cell>
          <cell r="P55">
            <v>102044593</v>
          </cell>
          <cell r="Q55">
            <v>0</v>
          </cell>
          <cell r="U55">
            <v>62704895.616666645</v>
          </cell>
          <cell r="V55">
            <v>0</v>
          </cell>
          <cell r="W55">
            <v>36011637.200000003</v>
          </cell>
          <cell r="X55">
            <v>0</v>
          </cell>
          <cell r="Y55">
            <v>3197386.7166666663</v>
          </cell>
          <cell r="Z55">
            <v>0</v>
          </cell>
        </row>
      </sheetData>
      <sheetData sheetId="7">
        <row r="8">
          <cell r="L8">
            <v>5375333</v>
          </cell>
          <cell r="M8">
            <v>0</v>
          </cell>
          <cell r="N8">
            <v>5375333</v>
          </cell>
          <cell r="O8">
            <v>0</v>
          </cell>
          <cell r="R8">
            <v>5375333.333333333</v>
          </cell>
          <cell r="S8">
            <v>0</v>
          </cell>
        </row>
      </sheetData>
      <sheetData sheetId="8">
        <row r="21">
          <cell r="D21">
            <v>0</v>
          </cell>
          <cell r="H21">
            <v>436460885</v>
          </cell>
          <cell r="I21">
            <v>0</v>
          </cell>
          <cell r="U21">
            <v>193552502.7833333</v>
          </cell>
          <cell r="V21">
            <v>0</v>
          </cell>
          <cell r="Y21">
            <v>193552502.7833333</v>
          </cell>
          <cell r="Z21">
            <v>0</v>
          </cell>
        </row>
        <row r="44">
          <cell r="N44">
            <v>2615612267</v>
          </cell>
          <cell r="O44">
            <v>0</v>
          </cell>
          <cell r="Q44">
            <v>0</v>
          </cell>
          <cell r="W44">
            <v>2702904443.6833334</v>
          </cell>
          <cell r="X44">
            <v>0</v>
          </cell>
        </row>
      </sheetData>
      <sheetData sheetId="9">
        <row r="94">
          <cell r="D94">
            <v>0</v>
          </cell>
          <cell r="H94">
            <v>64698881</v>
          </cell>
          <cell r="U94">
            <v>51218078.466666684</v>
          </cell>
          <cell r="V94">
            <v>0</v>
          </cell>
          <cell r="Y94">
            <v>4721143.916666666</v>
          </cell>
          <cell r="Z94">
            <v>0</v>
          </cell>
        </row>
        <row r="143">
          <cell r="O143">
            <v>0</v>
          </cell>
          <cell r="P143">
            <v>102389012</v>
          </cell>
          <cell r="Q143">
            <v>0</v>
          </cell>
          <cell r="W143">
            <v>43933706.899999999</v>
          </cell>
          <cell r="X143">
            <v>0</v>
          </cell>
        </row>
      </sheetData>
      <sheetData sheetId="10">
        <row r="7">
          <cell r="C7">
            <v>38984000</v>
          </cell>
          <cell r="D7">
            <v>0</v>
          </cell>
          <cell r="H7">
            <v>1465148</v>
          </cell>
          <cell r="I7">
            <v>0</v>
          </cell>
          <cell r="O7">
            <v>0</v>
          </cell>
          <cell r="P7">
            <v>8968918</v>
          </cell>
          <cell r="Q7">
            <v>0</v>
          </cell>
          <cell r="S7">
            <v>649733.33333333326</v>
          </cell>
          <cell r="T7">
            <v>0</v>
          </cell>
          <cell r="V7">
            <v>0</v>
          </cell>
          <cell r="W7">
            <v>649733.33333333326</v>
          </cell>
          <cell r="X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
      <sheetName val="F123"/>
      <sheetName val="F456"/>
      <sheetName val="BS"/>
      <sheetName val="PL"/>
      <sheetName val="RE"/>
      <sheetName val="CF"/>
      <sheetName val="cf 정산표"/>
      <sheetName val="Ratio"/>
      <sheetName val="비율"/>
      <sheetName val="REVIEW"/>
      <sheetName val="REVIEW (2)"/>
      <sheetName val="REVIEW(3)"/>
      <sheetName val="Sheet1"/>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30"/>
      <sheetName val="3727"/>
      <sheetName val="3730"/>
      <sheetName val="3740"/>
      <sheetName val="3800"/>
      <sheetName val="310,320"/>
      <sheetName val="심리RN"/>
      <sheetName val="RCS"/>
      <sheetName val="사후심리"/>
      <sheetName val="조서대장 "/>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amp;중요성금액"/>
      <sheetName val="Financial Statement Review"/>
      <sheetName val="PAJE(CAJE)"/>
      <sheetName val="PRJE(CRJE)"/>
      <sheetName val="TB"/>
      <sheetName val="ratio"/>
      <sheetName val="인쇄용재무제표"/>
      <sheetName val="인쇄용재무비율"/>
      <sheetName val="XREF"/>
      <sheetName val="Tickmarks"/>
    </sheetNames>
    <sheetDataSet>
      <sheetData sheetId="0" refreshError="1"/>
      <sheetData sheetId="1"/>
      <sheetData sheetId="2"/>
      <sheetData sheetId="3"/>
      <sheetData sheetId="4"/>
      <sheetData sheetId="5" refreshError="1"/>
      <sheetData sheetId="6"/>
      <sheetData sheetId="7" refreshError="1"/>
      <sheetData sheetId="8"/>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sheetName val="건설중인자산대체"/>
      <sheetName val="감가상각LS"/>
      <sheetName val="건물"/>
      <sheetName val="구축물"/>
      <sheetName val="유선방송설비"/>
      <sheetName val="차량운반구"/>
      <sheetName val="컨버터"/>
      <sheetName val="전송선로설비"/>
      <sheetName val="집기비품"/>
      <sheetName val="공구기구"/>
      <sheetName val="XREF"/>
      <sheetName val="Tickmarks"/>
      <sheetName val="LS "/>
      <sheetName val="주석사항"/>
      <sheetName val="건설중인자산대체 "/>
      <sheetName val="건물 "/>
      <sheetName val="차량운반구 "/>
      <sheetName val="컨버터 "/>
      <sheetName val="공구기구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6"/>
  <sheetViews>
    <sheetView workbookViewId="0">
      <selection activeCell="A2" sqref="A2"/>
    </sheetView>
  </sheetViews>
  <sheetFormatPr defaultRowHeight="17"/>
  <cols>
    <col min="1" max="1" width="46.4140625" customWidth="1"/>
    <col min="2" max="2" width="23.6640625" customWidth="1"/>
    <col min="3" max="3" width="26.6640625" customWidth="1"/>
  </cols>
  <sheetData>
    <row r="1" spans="1:3">
      <c r="A1" s="9" t="s">
        <v>167</v>
      </c>
    </row>
    <row r="3" spans="1:3">
      <c r="A3" s="12" t="s">
        <v>125</v>
      </c>
      <c r="B3" s="12" t="s">
        <v>122</v>
      </c>
      <c r="C3" s="12" t="s">
        <v>123</v>
      </c>
    </row>
    <row r="4" spans="1:3">
      <c r="A4" s="10" t="s">
        <v>147</v>
      </c>
      <c r="B4" s="13" t="s">
        <v>126</v>
      </c>
      <c r="C4" s="13" t="s">
        <v>127</v>
      </c>
    </row>
    <row r="5" spans="1:3">
      <c r="A5" s="10" t="s">
        <v>128</v>
      </c>
      <c r="B5" s="14">
        <v>43101</v>
      </c>
      <c r="C5" s="11"/>
    </row>
    <row r="6" spans="1:3">
      <c r="A6" s="10" t="s">
        <v>129</v>
      </c>
      <c r="B6" s="14">
        <v>43465</v>
      </c>
      <c r="C6" s="11"/>
    </row>
    <row r="7" spans="1:3">
      <c r="A7" s="10" t="s">
        <v>130</v>
      </c>
      <c r="B7" s="13" t="s">
        <v>131</v>
      </c>
      <c r="C7" s="13" t="s">
        <v>132</v>
      </c>
    </row>
    <row r="8" spans="1:3">
      <c r="A8" s="10" t="s">
        <v>133</v>
      </c>
      <c r="B8" s="14">
        <v>43342</v>
      </c>
      <c r="C8" s="11"/>
    </row>
    <row r="9" spans="1:3">
      <c r="A9" s="10" t="s">
        <v>143</v>
      </c>
      <c r="B9" s="13" t="s">
        <v>134</v>
      </c>
      <c r="C9" s="13" t="s">
        <v>135</v>
      </c>
    </row>
    <row r="10" spans="1:3">
      <c r="A10" s="10" t="s">
        <v>120</v>
      </c>
      <c r="B10" s="14">
        <v>43101</v>
      </c>
      <c r="C10" s="11"/>
    </row>
    <row r="11" spans="1:3">
      <c r="A11" s="10" t="s">
        <v>121</v>
      </c>
      <c r="B11" s="14">
        <v>43465</v>
      </c>
      <c r="C11" s="11"/>
    </row>
    <row r="12" spans="1:3">
      <c r="A12" s="10" t="s">
        <v>144</v>
      </c>
      <c r="B12" s="13">
        <v>400</v>
      </c>
      <c r="C12" s="11"/>
    </row>
    <row r="13" spans="1:3">
      <c r="A13" s="10" t="s">
        <v>145</v>
      </c>
      <c r="B13" s="13">
        <v>5</v>
      </c>
      <c r="C13" s="11"/>
    </row>
    <row r="14" spans="1:3">
      <c r="A14" s="10" t="s">
        <v>124</v>
      </c>
      <c r="B14" s="14">
        <v>43524</v>
      </c>
      <c r="C14" s="11"/>
    </row>
    <row r="16" spans="1:3">
      <c r="A16" s="15" t="s">
        <v>151</v>
      </c>
    </row>
  </sheetData>
  <phoneticPr fontId="3" type="noConversion"/>
  <pageMargins left="0.70866141732283472" right="0.70866141732283472" top="0.74803149606299213" bottom="0.74803149606299213" header="0.31496062992125984" footer="0.31496062992125984"/>
  <pageSetup paperSize="9" scale="8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6"/>
  <sheetViews>
    <sheetView tabSelected="1" view="pageBreakPreview" topLeftCell="A104" zoomScaleNormal="100" zoomScaleSheetLayoutView="100" workbookViewId="0">
      <selection activeCell="J9" sqref="J9"/>
    </sheetView>
  </sheetViews>
  <sheetFormatPr defaultColWidth="9" defaultRowHeight="16"/>
  <cols>
    <col min="1" max="3" width="9" style="22"/>
    <col min="4" max="5" width="6" style="22" customWidth="1"/>
    <col min="6" max="6" width="9" style="22"/>
    <col min="7" max="7" width="6.9140625" style="22" customWidth="1"/>
    <col min="8" max="8" width="2.58203125" style="22" customWidth="1"/>
    <col min="9" max="9" width="2.1640625" style="22" customWidth="1"/>
    <col min="10" max="10" width="12.1640625" style="22" customWidth="1"/>
    <col min="11" max="11" width="7.6640625" style="22" customWidth="1"/>
    <col min="12" max="12" width="9" style="2"/>
    <col min="13" max="16384" width="9" style="1"/>
  </cols>
  <sheetData>
    <row r="1" spans="1:12" ht="14">
      <c r="A1" s="77"/>
      <c r="B1" s="77"/>
      <c r="C1" s="77"/>
      <c r="D1" s="77"/>
      <c r="E1" s="77"/>
      <c r="F1" s="77"/>
      <c r="G1" s="77"/>
      <c r="H1" s="77"/>
      <c r="I1" s="77"/>
      <c r="J1" s="77"/>
      <c r="K1" s="77"/>
      <c r="L1" s="1"/>
    </row>
    <row r="2" spans="1:12" ht="14">
      <c r="A2" s="77"/>
      <c r="B2" s="77"/>
      <c r="C2" s="77"/>
      <c r="D2" s="77"/>
      <c r="E2" s="77"/>
      <c r="F2" s="77"/>
      <c r="G2" s="77"/>
      <c r="H2" s="77"/>
      <c r="I2" s="77"/>
      <c r="J2" s="77"/>
      <c r="K2" s="77"/>
      <c r="L2" s="1"/>
    </row>
    <row r="3" spans="1:12" ht="15">
      <c r="A3" s="17"/>
      <c r="B3" s="17"/>
      <c r="C3" s="17"/>
      <c r="D3" s="17"/>
      <c r="E3" s="17"/>
      <c r="F3" s="17"/>
      <c r="G3" s="17"/>
      <c r="H3" s="17"/>
      <c r="I3" s="17"/>
      <c r="J3" s="17"/>
      <c r="K3" s="17"/>
      <c r="L3" s="1"/>
    </row>
    <row r="4" spans="1:12" ht="20.149999999999999" customHeight="1">
      <c r="A4" s="17"/>
      <c r="B4" s="17"/>
      <c r="C4" s="17"/>
      <c r="D4" s="17"/>
      <c r="E4" s="17"/>
      <c r="F4" s="17"/>
      <c r="G4" s="17"/>
      <c r="H4" s="17"/>
      <c r="I4" s="17"/>
      <c r="J4" s="17"/>
      <c r="K4" s="17"/>
      <c r="L4" s="1"/>
    </row>
    <row r="5" spans="1:12" ht="20.149999999999999" customHeight="1">
      <c r="A5" s="17"/>
      <c r="B5" s="17"/>
      <c r="C5" s="17"/>
      <c r="D5" s="17"/>
      <c r="E5" s="17"/>
      <c r="F5" s="17"/>
      <c r="G5" s="17"/>
      <c r="H5" s="17"/>
      <c r="I5" s="17"/>
      <c r="J5" s="17"/>
      <c r="K5" s="17"/>
      <c r="L5" s="1"/>
    </row>
    <row r="6" spans="1:12" ht="20.149999999999999" customHeight="1">
      <c r="A6" s="78" t="s">
        <v>168</v>
      </c>
      <c r="B6" s="78"/>
      <c r="C6" s="78"/>
      <c r="D6" s="78"/>
      <c r="E6" s="78"/>
      <c r="F6" s="78"/>
      <c r="G6" s="78"/>
      <c r="H6" s="78"/>
      <c r="I6" s="78"/>
      <c r="J6" s="78"/>
      <c r="K6" s="78"/>
      <c r="L6" s="1"/>
    </row>
    <row r="7" spans="1:12" ht="20.149999999999999" customHeight="1"/>
    <row r="8" spans="1:12" ht="20.149999999999999" customHeight="1">
      <c r="A8" s="18" t="s">
        <v>119</v>
      </c>
      <c r="B8" s="19"/>
      <c r="C8" s="20" t="str">
        <f>기본입력!C4</f>
        <v>ABC Compony</v>
      </c>
      <c r="D8" s="19"/>
      <c r="E8" s="19"/>
      <c r="F8" s="19"/>
      <c r="G8" s="19"/>
      <c r="H8" s="19"/>
      <c r="I8" s="19"/>
      <c r="J8" s="19"/>
      <c r="K8" s="19"/>
      <c r="L8" s="1"/>
    </row>
    <row r="9" spans="1:12" ht="20.149999999999999" customHeight="1">
      <c r="A9" s="20" t="s">
        <v>136</v>
      </c>
      <c r="B9" s="19"/>
      <c r="C9" s="20" t="str">
        <f>"the yeat ended "&amp;TEXT(기본입력!B6,"mmm d, yyyy")</f>
        <v>the yeat ended Dec 31, 2018</v>
      </c>
      <c r="D9" s="19"/>
      <c r="E9" s="19"/>
      <c r="F9" s="19"/>
      <c r="G9" s="19"/>
      <c r="H9" s="19"/>
      <c r="I9" s="19"/>
      <c r="J9" s="19"/>
      <c r="K9" s="19"/>
      <c r="L9" s="1"/>
    </row>
    <row r="10" spans="1:12" ht="20.149999999999999" customHeight="1"/>
    <row r="11" spans="1:12" ht="20.149999999999999" customHeight="1">
      <c r="A11" s="21"/>
      <c r="L11" s="1"/>
    </row>
    <row r="12" spans="1:12" ht="20.149999999999999" customHeight="1">
      <c r="A12" s="79" t="str">
        <f>"Dear "&amp;기본입력!C7&amp;":"</f>
        <v>Dear XX accounting corporation:</v>
      </c>
      <c r="B12" s="79"/>
      <c r="C12" s="79"/>
      <c r="D12" s="79"/>
      <c r="E12" s="79"/>
      <c r="F12" s="79"/>
      <c r="G12" s="79"/>
      <c r="H12" s="79"/>
      <c r="I12" s="79"/>
      <c r="J12" s="79"/>
      <c r="K12" s="79"/>
      <c r="L12" s="1"/>
    </row>
    <row r="13" spans="1:12" ht="20.149999999999999" customHeight="1">
      <c r="A13" s="80" t="str">
        <f>TEXT(기본입력!B8,"mmm d,yyyy")</f>
        <v>Aug 30,2018</v>
      </c>
      <c r="B13" s="81"/>
      <c r="C13" s="81"/>
      <c r="D13" s="81"/>
      <c r="E13" s="81"/>
      <c r="F13" s="81"/>
      <c r="G13" s="81"/>
      <c r="H13" s="81"/>
      <c r="I13" s="81"/>
      <c r="J13" s="81"/>
      <c r="K13" s="81"/>
      <c r="L13" s="1"/>
    </row>
    <row r="14" spans="1:12" ht="20.149999999999999" customHeight="1">
      <c r="A14" s="21"/>
      <c r="L14" s="1"/>
    </row>
    <row r="15" spans="1:12" ht="99.9" customHeight="1">
      <c r="A15" s="82" t="str">
        <f>"We are pleased to inform you that we would like your firm to participate in the audit of "&amp;기본입력!C4&amp;" for the year ending "&amp;TEXT(기본입력!B5,"mmm d,yyyy")&amp;". The nature and extent of your participation is explained in the group audit instructions attached to this letter. Please make the necessary arrangements to perform this work. "</f>
        <v xml:space="preserve">We are pleased to inform you that we would like your firm to participate in the audit of ABC Compony for the year ending Jan 1,2018. The nature and extent of your participation is explained in the group audit instructions attached to this letter. Please make the necessary arrangements to perform this work. </v>
      </c>
      <c r="B15" s="82"/>
      <c r="C15" s="82"/>
      <c r="D15" s="82"/>
      <c r="E15" s="82"/>
      <c r="F15" s="82"/>
      <c r="G15" s="82"/>
      <c r="H15" s="82"/>
      <c r="I15" s="82"/>
      <c r="J15" s="82"/>
      <c r="K15" s="82"/>
      <c r="L15" s="1"/>
    </row>
    <row r="16" spans="1:12" ht="20.149999999999999" customHeight="1">
      <c r="A16" s="21"/>
      <c r="L16" s="1"/>
    </row>
    <row r="17" spans="1:12" ht="80.150000000000006" customHeight="1">
      <c r="A17" s="82" t="str">
        <f>"We require you to perform the specified work on the financial information of "&amp;기본입력!C9&amp;" for the year ended "&amp;TEXT(기본입력!B11,"mmm d,yyyy")&amp;" by complying with our instructions. The work you will perform on your component will form part of the audit of the group financial statements of "&amp;기본입력!C4</f>
        <v>We require you to perform the specified work on the financial information of GANADA compony for the year ended Dec 31,2018 by complying with our instructions. The work you will perform on your component will form part of the audit of the group financial statements of ABC Compony</v>
      </c>
      <c r="B17" s="82"/>
      <c r="C17" s="82"/>
      <c r="D17" s="82"/>
      <c r="E17" s="82"/>
      <c r="F17" s="82"/>
      <c r="G17" s="82"/>
      <c r="H17" s="82"/>
      <c r="I17" s="82"/>
      <c r="J17" s="82"/>
      <c r="K17" s="82"/>
      <c r="L17" s="1"/>
    </row>
    <row r="18" spans="1:12" ht="15">
      <c r="A18" s="21"/>
      <c r="L18" s="1"/>
    </row>
    <row r="19" spans="1:12" ht="80.150000000000006" customHeight="1">
      <c r="A19" s="82" t="s">
        <v>152</v>
      </c>
      <c r="B19" s="82"/>
      <c r="C19" s="82"/>
      <c r="D19" s="82"/>
      <c r="E19" s="82"/>
      <c r="F19" s="82"/>
      <c r="G19" s="82"/>
      <c r="H19" s="82"/>
      <c r="I19" s="82"/>
      <c r="J19" s="82"/>
      <c r="K19" s="82"/>
    </row>
    <row r="20" spans="1:12" ht="20.149999999999999" customHeight="1">
      <c r="A20" s="21"/>
    </row>
    <row r="21" spans="1:12" ht="39.9" customHeight="1">
      <c r="A21" s="82" t="s">
        <v>118</v>
      </c>
      <c r="B21" s="82"/>
      <c r="C21" s="82"/>
      <c r="D21" s="82"/>
      <c r="E21" s="82"/>
      <c r="F21" s="82"/>
      <c r="G21" s="82"/>
      <c r="H21" s="82"/>
      <c r="I21" s="82"/>
      <c r="J21" s="82"/>
      <c r="K21" s="82"/>
    </row>
    <row r="22" spans="1:12" ht="20.149999999999999" customHeight="1">
      <c r="A22" s="21"/>
    </row>
    <row r="23" spans="1:12" ht="20.149999999999999" customHeight="1">
      <c r="A23" s="79" t="s">
        <v>117</v>
      </c>
      <c r="B23" s="79"/>
      <c r="C23" s="79"/>
      <c r="D23" s="79"/>
      <c r="E23" s="79"/>
      <c r="F23" s="79"/>
      <c r="G23" s="79"/>
      <c r="H23" s="79"/>
      <c r="I23" s="79"/>
      <c r="J23" s="79"/>
      <c r="K23" s="79"/>
    </row>
    <row r="24" spans="1:12" ht="20.149999999999999" customHeight="1">
      <c r="A24" s="79" t="s">
        <v>116</v>
      </c>
      <c r="B24" s="79"/>
      <c r="C24" s="79"/>
      <c r="D24" s="79"/>
      <c r="E24" s="79"/>
      <c r="F24" s="79"/>
      <c r="G24" s="79"/>
      <c r="H24" s="79"/>
      <c r="I24" s="79"/>
      <c r="J24" s="79"/>
      <c r="K24" s="79"/>
    </row>
    <row r="25" spans="1:12" ht="20.149999999999999" customHeight="1">
      <c r="A25" s="79" t="s">
        <v>115</v>
      </c>
      <c r="B25" s="79"/>
      <c r="C25" s="79"/>
      <c r="D25" s="79"/>
      <c r="E25" s="79"/>
      <c r="F25" s="79"/>
      <c r="G25" s="79"/>
      <c r="H25" s="79"/>
      <c r="I25" s="79"/>
      <c r="J25" s="79"/>
      <c r="K25" s="79"/>
    </row>
    <row r="26" spans="1:12" s="7" customFormat="1" ht="60" customHeight="1">
      <c r="A26" s="82" t="s">
        <v>114</v>
      </c>
      <c r="B26" s="82"/>
      <c r="C26" s="82"/>
      <c r="D26" s="82"/>
      <c r="E26" s="82"/>
      <c r="F26" s="82"/>
      <c r="G26" s="82"/>
      <c r="H26" s="82"/>
      <c r="I26" s="82"/>
      <c r="J26" s="82"/>
      <c r="K26" s="82"/>
      <c r="L26" s="8"/>
    </row>
    <row r="27" spans="1:12" ht="60" customHeight="1">
      <c r="A27" s="82" t="s">
        <v>153</v>
      </c>
      <c r="B27" s="82"/>
      <c r="C27" s="82"/>
      <c r="D27" s="82"/>
      <c r="E27" s="82"/>
      <c r="F27" s="82"/>
      <c r="G27" s="82"/>
      <c r="H27" s="82"/>
      <c r="I27" s="82"/>
      <c r="J27" s="82"/>
      <c r="K27" s="82"/>
    </row>
    <row r="28" spans="1:12" ht="60" customHeight="1">
      <c r="A28" s="82" t="s">
        <v>113</v>
      </c>
      <c r="B28" s="82"/>
      <c r="C28" s="82"/>
      <c r="D28" s="82"/>
      <c r="E28" s="82"/>
      <c r="F28" s="82"/>
      <c r="G28" s="82"/>
      <c r="H28" s="82"/>
      <c r="I28" s="82"/>
      <c r="J28" s="82"/>
      <c r="K28" s="82"/>
    </row>
    <row r="29" spans="1:12">
      <c r="A29" s="23"/>
    </row>
    <row r="30" spans="1:12" ht="39.9" customHeight="1">
      <c r="A30" s="88" t="s">
        <v>154</v>
      </c>
      <c r="B30" s="88"/>
      <c r="C30" s="88"/>
      <c r="D30" s="88"/>
      <c r="E30" s="88"/>
      <c r="F30" s="88"/>
      <c r="G30" s="88"/>
      <c r="H30" s="88"/>
      <c r="I30" s="88"/>
      <c r="J30" s="88"/>
      <c r="K30" s="88"/>
    </row>
    <row r="31" spans="1:12" ht="30">
      <c r="A31" s="24" t="s">
        <v>112</v>
      </c>
      <c r="B31" s="24" t="s">
        <v>111</v>
      </c>
      <c r="C31" s="24" t="s">
        <v>110</v>
      </c>
      <c r="D31" s="24" t="s">
        <v>109</v>
      </c>
    </row>
    <row r="32" spans="1:12">
      <c r="A32" s="25"/>
      <c r="B32" s="25"/>
      <c r="C32" s="25"/>
      <c r="D32" s="25"/>
    </row>
    <row r="33" spans="1:12">
      <c r="A33" s="25"/>
      <c r="B33" s="25"/>
      <c r="C33" s="25"/>
      <c r="D33" s="25"/>
    </row>
    <row r="34" spans="1:12" ht="20.149999999999999" customHeight="1">
      <c r="A34" s="16" t="s">
        <v>108</v>
      </c>
      <c r="B34" s="89"/>
      <c r="C34" s="90"/>
      <c r="D34" s="91"/>
    </row>
    <row r="35" spans="1:12">
      <c r="A35" s="21"/>
    </row>
    <row r="36" spans="1:12">
      <c r="A36" s="21"/>
    </row>
    <row r="37" spans="1:12" s="5" customFormat="1" ht="39.9" customHeight="1">
      <c r="A37" s="82" t="str">
        <f>"Please do not hesitate to contact us should you have any question concerning these instructions or any other matter concerning the audit of "&amp;기본입력!C4&amp;"."</f>
        <v>Please do not hesitate to contact us should you have any question concerning these instructions or any other matter concerning the audit of ABC Compony.</v>
      </c>
      <c r="B37" s="82"/>
      <c r="C37" s="82"/>
      <c r="D37" s="82"/>
      <c r="E37" s="82"/>
      <c r="F37" s="82"/>
      <c r="G37" s="82"/>
      <c r="H37" s="82"/>
      <c r="I37" s="82"/>
      <c r="J37" s="82"/>
      <c r="K37" s="82"/>
      <c r="L37" s="6"/>
    </row>
    <row r="38" spans="1:12">
      <c r="A38" s="21"/>
    </row>
    <row r="39" spans="1:12">
      <c r="A39" s="92" t="s">
        <v>107</v>
      </c>
      <c r="B39" s="92"/>
      <c r="C39" s="92"/>
      <c r="D39" s="92"/>
      <c r="E39" s="92"/>
      <c r="F39" s="92"/>
      <c r="G39" s="92"/>
      <c r="H39" s="92"/>
      <c r="I39" s="92"/>
      <c r="J39" s="92"/>
      <c r="K39" s="92"/>
    </row>
    <row r="40" spans="1:12">
      <c r="A40" s="26"/>
      <c r="B40" s="27"/>
      <c r="C40" s="27"/>
      <c r="D40" s="27"/>
      <c r="E40" s="27"/>
      <c r="F40" s="27"/>
      <c r="G40" s="27"/>
      <c r="H40" s="27"/>
      <c r="I40" s="27"/>
      <c r="J40" s="27"/>
      <c r="K40" s="27"/>
    </row>
    <row r="41" spans="1:12">
      <c r="A41" s="26"/>
      <c r="B41" s="27"/>
      <c r="C41" s="27"/>
      <c r="D41" s="27"/>
      <c r="E41" s="27"/>
      <c r="F41" s="27"/>
      <c r="G41" s="27"/>
      <c r="H41" s="27"/>
      <c r="I41" s="27"/>
      <c r="J41" s="27"/>
      <c r="K41" s="27"/>
    </row>
    <row r="42" spans="1:12" ht="13.5" customHeight="1">
      <c r="A42" s="28"/>
      <c r="B42" s="28"/>
      <c r="C42" s="28"/>
      <c r="D42" s="28"/>
      <c r="E42" s="28"/>
      <c r="F42" s="28"/>
      <c r="G42" s="29" t="s">
        <v>148</v>
      </c>
      <c r="I42" s="30"/>
      <c r="J42" s="28"/>
      <c r="K42" s="28"/>
    </row>
    <row r="43" spans="1:12" ht="13.5" customHeight="1">
      <c r="A43" s="31"/>
      <c r="B43" s="31"/>
      <c r="C43" s="31"/>
      <c r="D43" s="31"/>
      <c r="E43" s="31"/>
      <c r="F43" s="31"/>
      <c r="G43" s="32" t="s">
        <v>106</v>
      </c>
      <c r="I43" s="32"/>
      <c r="J43" s="33"/>
      <c r="K43" s="31"/>
    </row>
    <row r="44" spans="1:12">
      <c r="A44" s="34"/>
      <c r="B44" s="34"/>
      <c r="C44" s="34"/>
      <c r="D44" s="34"/>
      <c r="E44" s="34"/>
      <c r="F44" s="34"/>
      <c r="G44" s="34"/>
      <c r="H44" s="34"/>
      <c r="I44" s="34"/>
      <c r="J44" s="34"/>
      <c r="K44" s="34"/>
    </row>
    <row r="45" spans="1:12">
      <c r="A45" s="87" t="s">
        <v>105</v>
      </c>
      <c r="B45" s="87"/>
      <c r="C45" s="87"/>
      <c r="D45" s="87"/>
      <c r="E45" s="87"/>
      <c r="F45" s="87"/>
      <c r="G45" s="87"/>
      <c r="H45" s="87"/>
      <c r="I45" s="87"/>
      <c r="J45" s="87"/>
      <c r="K45" s="87"/>
    </row>
    <row r="46" spans="1:12">
      <c r="A46" s="21"/>
    </row>
    <row r="47" spans="1:12" ht="80.150000000000006" customHeight="1">
      <c r="A47" s="88" t="str">
        <f>CONCATENATE("YY accounting corporaion has been engaged to audit the group financial statements of ",기본입력!C4," as of and for the year ending ",TEXT(기본입력!B6,"mmm d,yyyy"),", in accordance with [indicate applicable financial reporting framework e.g. IFRS as issued by the International Accounting Standards Board].")</f>
        <v>YY accounting corporaion has been engaged to audit the group financial statements of ABC Compony as of and for the year ending Dec 31,2018, in accordance with [indicate applicable financial reporting framework e.g. IFRS as issued by the International Accounting Standards Board].</v>
      </c>
      <c r="B47" s="88"/>
      <c r="C47" s="88"/>
      <c r="D47" s="88"/>
      <c r="E47" s="88"/>
      <c r="F47" s="88"/>
      <c r="G47" s="88"/>
      <c r="H47" s="88"/>
      <c r="I47" s="88"/>
      <c r="J47" s="88"/>
      <c r="K47" s="88"/>
    </row>
    <row r="48" spans="1:12" ht="60" customHeight="1">
      <c r="A48" s="82" t="s">
        <v>137</v>
      </c>
      <c r="B48" s="82"/>
      <c r="C48" s="82"/>
      <c r="D48" s="82"/>
      <c r="E48" s="82"/>
      <c r="F48" s="82"/>
      <c r="G48" s="82"/>
      <c r="H48" s="82"/>
      <c r="I48" s="82"/>
      <c r="J48" s="82"/>
      <c r="K48" s="82"/>
    </row>
    <row r="49" spans="1:12">
      <c r="A49" s="35"/>
      <c r="B49" s="35"/>
      <c r="C49" s="35"/>
      <c r="D49" s="35"/>
      <c r="E49" s="35"/>
      <c r="F49" s="35"/>
      <c r="G49" s="35"/>
      <c r="H49" s="35"/>
      <c r="I49" s="35"/>
      <c r="J49" s="35"/>
      <c r="K49" s="35"/>
    </row>
    <row r="50" spans="1:12" ht="20.149999999999999" customHeight="1">
      <c r="A50" s="82" t="s">
        <v>104</v>
      </c>
      <c r="B50" s="82"/>
      <c r="C50" s="82"/>
      <c r="D50" s="82"/>
      <c r="E50" s="82"/>
      <c r="F50" s="82"/>
      <c r="G50" s="82"/>
      <c r="H50" s="82"/>
      <c r="I50" s="82"/>
      <c r="J50" s="82"/>
      <c r="K50" s="82"/>
    </row>
    <row r="51" spans="1:12" ht="20.149999999999999" customHeight="1">
      <c r="A51" s="83" t="s">
        <v>103</v>
      </c>
      <c r="B51" s="83"/>
      <c r="C51" s="83"/>
      <c r="D51" s="102" t="str">
        <f>기본입력!C4</f>
        <v>ABC Compony</v>
      </c>
      <c r="E51" s="103"/>
      <c r="F51" s="103"/>
      <c r="G51" s="103"/>
      <c r="H51" s="103"/>
      <c r="I51" s="103"/>
      <c r="J51" s="103"/>
      <c r="K51" s="104"/>
    </row>
    <row r="52" spans="1:12" ht="20.149999999999999" customHeight="1">
      <c r="A52" s="83" t="s">
        <v>102</v>
      </c>
      <c r="B52" s="83"/>
      <c r="C52" s="83"/>
      <c r="D52" s="105"/>
      <c r="E52" s="105"/>
      <c r="F52" s="105"/>
      <c r="G52" s="105"/>
      <c r="H52" s="105"/>
      <c r="I52" s="105"/>
      <c r="J52" s="105"/>
      <c r="K52" s="105"/>
    </row>
    <row r="53" spans="1:12" ht="20.149999999999999" customHeight="1">
      <c r="A53" s="83" t="s">
        <v>101</v>
      </c>
      <c r="B53" s="83"/>
      <c r="C53" s="83"/>
      <c r="D53" s="105"/>
      <c r="E53" s="105"/>
      <c r="F53" s="105"/>
      <c r="G53" s="105"/>
      <c r="H53" s="105"/>
      <c r="I53" s="105"/>
      <c r="J53" s="105"/>
      <c r="K53" s="105"/>
      <c r="L53" s="1"/>
    </row>
    <row r="54" spans="1:12" ht="20.149999999999999" customHeight="1">
      <c r="A54" s="83"/>
      <c r="B54" s="83"/>
      <c r="C54" s="83"/>
      <c r="D54" s="105"/>
      <c r="E54" s="105"/>
      <c r="F54" s="105"/>
      <c r="G54" s="105"/>
      <c r="H54" s="105"/>
      <c r="I54" s="105"/>
      <c r="J54" s="105"/>
      <c r="K54" s="105"/>
      <c r="L54" s="1"/>
    </row>
    <row r="55" spans="1:12" ht="20.149999999999999" customHeight="1">
      <c r="A55" s="83"/>
      <c r="B55" s="83"/>
      <c r="C55" s="83"/>
      <c r="D55" s="105"/>
      <c r="E55" s="105"/>
      <c r="F55" s="105"/>
      <c r="G55" s="105"/>
      <c r="H55" s="105"/>
      <c r="I55" s="105"/>
      <c r="J55" s="105"/>
      <c r="K55" s="105"/>
      <c r="L55" s="1"/>
    </row>
    <row r="56" spans="1:12" ht="20.149999999999999" customHeight="1">
      <c r="A56" s="83"/>
      <c r="B56" s="83"/>
      <c r="C56" s="83"/>
      <c r="D56" s="105"/>
      <c r="E56" s="105"/>
      <c r="F56" s="105"/>
      <c r="G56" s="105"/>
      <c r="H56" s="105"/>
      <c r="I56" s="105"/>
      <c r="J56" s="105"/>
      <c r="K56" s="105"/>
      <c r="L56" s="1"/>
    </row>
    <row r="57" spans="1:12" ht="20.149999999999999" customHeight="1">
      <c r="A57" s="83" t="s">
        <v>100</v>
      </c>
      <c r="B57" s="83"/>
      <c r="C57" s="83"/>
      <c r="D57" s="93"/>
      <c r="E57" s="94"/>
      <c r="F57" s="94"/>
      <c r="G57" s="94"/>
      <c r="H57" s="94"/>
      <c r="I57" s="94"/>
      <c r="J57" s="94"/>
      <c r="K57" s="95"/>
      <c r="L57" s="1"/>
    </row>
    <row r="58" spans="1:12" ht="20.149999999999999" customHeight="1">
      <c r="A58" s="83"/>
      <c r="B58" s="83"/>
      <c r="C58" s="83"/>
      <c r="D58" s="96"/>
      <c r="E58" s="97"/>
      <c r="F58" s="97"/>
      <c r="G58" s="97"/>
      <c r="H58" s="97"/>
      <c r="I58" s="97"/>
      <c r="J58" s="97"/>
      <c r="K58" s="98"/>
      <c r="L58" s="1"/>
    </row>
    <row r="59" spans="1:12" ht="20.149999999999999" customHeight="1">
      <c r="A59" s="83"/>
      <c r="B59" s="83"/>
      <c r="C59" s="83"/>
      <c r="D59" s="96"/>
      <c r="E59" s="97"/>
      <c r="F59" s="97"/>
      <c r="G59" s="97"/>
      <c r="H59" s="97"/>
      <c r="I59" s="97"/>
      <c r="J59" s="97"/>
      <c r="K59" s="98"/>
      <c r="L59" s="1"/>
    </row>
    <row r="60" spans="1:12" ht="20.149999999999999" customHeight="1">
      <c r="A60" s="83"/>
      <c r="B60" s="83"/>
      <c r="C60" s="83"/>
      <c r="D60" s="99"/>
      <c r="E60" s="100"/>
      <c r="F60" s="100"/>
      <c r="G60" s="100"/>
      <c r="H60" s="100"/>
      <c r="I60" s="100"/>
      <c r="J60" s="100"/>
      <c r="K60" s="101"/>
      <c r="L60" s="1"/>
    </row>
    <row r="61" spans="1:12" ht="20.149999999999999" customHeight="1">
      <c r="A61" s="21"/>
      <c r="L61" s="1"/>
    </row>
    <row r="62" spans="1:12" ht="20.149999999999999" customHeight="1">
      <c r="A62" s="107" t="s">
        <v>99</v>
      </c>
      <c r="B62" s="107"/>
      <c r="C62" s="107"/>
      <c r="D62" s="107"/>
      <c r="E62" s="107"/>
      <c r="F62" s="107"/>
      <c r="G62" s="107"/>
      <c r="H62" s="107"/>
      <c r="I62" s="107"/>
      <c r="J62" s="107"/>
      <c r="K62" s="107"/>
      <c r="L62" s="1"/>
    </row>
    <row r="63" spans="1:12" ht="20.149999999999999" customHeight="1">
      <c r="A63" s="83" t="s">
        <v>98</v>
      </c>
      <c r="B63" s="83"/>
      <c r="C63" s="83"/>
      <c r="D63" s="102" t="str">
        <f>기본입력!C9</f>
        <v>GANADA compony</v>
      </c>
      <c r="E63" s="103"/>
      <c r="F63" s="103"/>
      <c r="G63" s="103"/>
      <c r="H63" s="103"/>
      <c r="I63" s="103"/>
      <c r="J63" s="103"/>
      <c r="K63" s="104"/>
      <c r="L63" s="1"/>
    </row>
    <row r="64" spans="1:12" ht="39.9" customHeight="1">
      <c r="A64" s="83" t="s">
        <v>97</v>
      </c>
      <c r="B64" s="83"/>
      <c r="C64" s="83"/>
      <c r="D64" s="106" t="s">
        <v>96</v>
      </c>
      <c r="E64" s="106"/>
      <c r="F64" s="106"/>
      <c r="G64" s="106"/>
      <c r="H64" s="106"/>
      <c r="I64" s="106"/>
      <c r="J64" s="106"/>
      <c r="K64" s="106"/>
      <c r="L64" s="1"/>
    </row>
    <row r="65" spans="1:12" ht="20.149999999999999" customHeight="1">
      <c r="A65" s="83" t="s">
        <v>95</v>
      </c>
      <c r="B65" s="83"/>
      <c r="C65" s="83"/>
      <c r="D65" s="106" t="s">
        <v>94</v>
      </c>
      <c r="E65" s="106"/>
      <c r="F65" s="106"/>
      <c r="G65" s="106"/>
      <c r="H65" s="106"/>
      <c r="I65" s="106"/>
      <c r="J65" s="106"/>
      <c r="K65" s="106"/>
      <c r="L65" s="1"/>
    </row>
    <row r="66" spans="1:12" ht="20.149999999999999" customHeight="1">
      <c r="A66" s="83" t="s">
        <v>93</v>
      </c>
      <c r="B66" s="83"/>
      <c r="C66" s="83"/>
      <c r="D66" s="108" t="str">
        <f>"from "&amp;TEXT(기본입력!B10,"mmm d,yyyy")&amp;" to "&amp;TEXT(기본입력!B11,"mmm d,yyyy")</f>
        <v>from Jan 1,2018 to Dec 31,2018</v>
      </c>
      <c r="E66" s="85"/>
      <c r="F66" s="85"/>
      <c r="G66" s="85"/>
      <c r="H66" s="85"/>
      <c r="I66" s="85"/>
      <c r="J66" s="85"/>
      <c r="K66" s="86"/>
      <c r="L66" s="1"/>
    </row>
    <row r="67" spans="1:12" ht="20.149999999999999" customHeight="1">
      <c r="A67" s="83" t="s">
        <v>92</v>
      </c>
      <c r="B67" s="83"/>
      <c r="C67" s="83"/>
      <c r="D67" s="106" t="s">
        <v>91</v>
      </c>
      <c r="E67" s="106"/>
      <c r="F67" s="106"/>
      <c r="G67" s="106"/>
      <c r="H67" s="106"/>
      <c r="I67" s="106"/>
      <c r="J67" s="106"/>
      <c r="K67" s="106"/>
      <c r="L67" s="1"/>
    </row>
    <row r="68" spans="1:12" ht="20.149999999999999" customHeight="1">
      <c r="A68" s="83" t="s">
        <v>90</v>
      </c>
      <c r="B68" s="83"/>
      <c r="C68" s="83"/>
      <c r="D68" s="106" t="s">
        <v>89</v>
      </c>
      <c r="E68" s="106"/>
      <c r="F68" s="106"/>
      <c r="G68" s="106"/>
      <c r="H68" s="106"/>
      <c r="I68" s="106"/>
      <c r="J68" s="106"/>
      <c r="K68" s="106"/>
      <c r="L68" s="1"/>
    </row>
    <row r="69" spans="1:12" ht="39.9" customHeight="1">
      <c r="A69" s="83"/>
      <c r="B69" s="83"/>
      <c r="C69" s="83"/>
      <c r="D69" s="106"/>
      <c r="E69" s="106"/>
      <c r="F69" s="106"/>
      <c r="G69" s="106"/>
      <c r="H69" s="106"/>
      <c r="I69" s="106"/>
      <c r="J69" s="106"/>
      <c r="K69" s="106"/>
      <c r="L69" s="1"/>
    </row>
    <row r="70" spans="1:12" ht="20.149999999999999" customHeight="1">
      <c r="A70" s="83" t="s">
        <v>138</v>
      </c>
      <c r="B70" s="83"/>
      <c r="C70" s="83"/>
      <c r="D70" s="109" t="s">
        <v>88</v>
      </c>
      <c r="E70" s="110"/>
      <c r="F70" s="110"/>
      <c r="G70" s="111"/>
      <c r="H70" s="112">
        <f>기본입력!B12</f>
        <v>400</v>
      </c>
      <c r="I70" s="113"/>
      <c r="J70" s="113"/>
      <c r="K70" s="114"/>
      <c r="L70" s="1"/>
    </row>
    <row r="71" spans="1:12" ht="60" customHeight="1">
      <c r="A71" s="83"/>
      <c r="B71" s="83"/>
      <c r="C71" s="83"/>
      <c r="D71" s="109" t="s">
        <v>87</v>
      </c>
      <c r="E71" s="110"/>
      <c r="F71" s="110"/>
      <c r="G71" s="111"/>
      <c r="H71" s="112">
        <f>기본입력!B13</f>
        <v>5</v>
      </c>
      <c r="I71" s="113"/>
      <c r="J71" s="113"/>
      <c r="K71" s="114"/>
      <c r="L71" s="1"/>
    </row>
    <row r="72" spans="1:12" ht="39.9" customHeight="1">
      <c r="A72" s="83" t="s">
        <v>142</v>
      </c>
      <c r="B72" s="83"/>
      <c r="C72" s="83"/>
      <c r="D72" s="84" t="str">
        <f>TEXT(기본입력!B14,"mmm d,yyyy")</f>
        <v>Feb 28,2019</v>
      </c>
      <c r="E72" s="85"/>
      <c r="F72" s="85"/>
      <c r="G72" s="85"/>
      <c r="H72" s="85"/>
      <c r="I72" s="85"/>
      <c r="J72" s="85"/>
      <c r="K72" s="86"/>
      <c r="L72" s="1"/>
    </row>
    <row r="73" spans="1:12" ht="15">
      <c r="A73" s="21"/>
      <c r="L73" s="1"/>
    </row>
    <row r="74" spans="1:12" ht="20.149999999999999" customHeight="1">
      <c r="A74" s="82" t="s">
        <v>86</v>
      </c>
      <c r="B74" s="82"/>
      <c r="C74" s="82"/>
      <c r="D74" s="82"/>
      <c r="E74" s="82"/>
      <c r="F74" s="82"/>
      <c r="G74" s="82"/>
      <c r="H74" s="82"/>
      <c r="I74" s="82"/>
      <c r="J74" s="82"/>
      <c r="K74" s="82"/>
      <c r="L74" s="1"/>
    </row>
    <row r="75" spans="1:12" ht="39.9" customHeight="1">
      <c r="A75" s="82" t="s">
        <v>155</v>
      </c>
      <c r="B75" s="82"/>
      <c r="C75" s="82"/>
      <c r="D75" s="82"/>
      <c r="E75" s="82"/>
      <c r="F75" s="82"/>
      <c r="G75" s="82"/>
      <c r="H75" s="82"/>
      <c r="I75" s="82"/>
      <c r="J75" s="82"/>
      <c r="K75" s="82"/>
      <c r="L75" s="1"/>
    </row>
    <row r="76" spans="1:12" ht="30">
      <c r="A76" s="109" t="s">
        <v>85</v>
      </c>
      <c r="B76" s="110"/>
      <c r="C76" s="110"/>
      <c r="D76" s="110"/>
      <c r="E76" s="110"/>
      <c r="F76" s="110"/>
      <c r="G76" s="110"/>
      <c r="H76" s="110"/>
      <c r="I76" s="111"/>
      <c r="J76" s="36" t="s">
        <v>84</v>
      </c>
      <c r="K76" s="24" t="s">
        <v>83</v>
      </c>
      <c r="L76" s="1"/>
    </row>
    <row r="77" spans="1:12" ht="39.9" customHeight="1">
      <c r="A77" s="83" t="s">
        <v>82</v>
      </c>
      <c r="B77" s="83"/>
      <c r="C77" s="83"/>
      <c r="D77" s="83"/>
      <c r="E77" s="83"/>
      <c r="F77" s="83"/>
      <c r="G77" s="83"/>
      <c r="H77" s="83"/>
      <c r="I77" s="83"/>
      <c r="J77" s="36" t="s">
        <v>81</v>
      </c>
      <c r="K77" s="24" t="s">
        <v>80</v>
      </c>
      <c r="L77" s="1"/>
    </row>
    <row r="78" spans="1:12" ht="39.9" customHeight="1">
      <c r="A78" s="83" t="s">
        <v>62</v>
      </c>
      <c r="B78" s="83"/>
      <c r="C78" s="83"/>
      <c r="D78" s="83"/>
      <c r="E78" s="83"/>
      <c r="F78" s="83"/>
      <c r="G78" s="83"/>
      <c r="H78" s="83"/>
      <c r="I78" s="83"/>
      <c r="J78" s="37" t="s">
        <v>16</v>
      </c>
      <c r="K78" s="24" t="s">
        <v>79</v>
      </c>
      <c r="L78" s="1"/>
    </row>
    <row r="79" spans="1:12" ht="30">
      <c r="A79" s="83" t="s">
        <v>78</v>
      </c>
      <c r="B79" s="83"/>
      <c r="C79" s="83"/>
      <c r="D79" s="83"/>
      <c r="E79" s="83"/>
      <c r="F79" s="83"/>
      <c r="G79" s="83"/>
      <c r="H79" s="83"/>
      <c r="I79" s="83"/>
      <c r="J79" s="37" t="s">
        <v>16</v>
      </c>
      <c r="K79" s="24" t="s">
        <v>77</v>
      </c>
      <c r="L79" s="1"/>
    </row>
    <row r="80" spans="1:12" ht="39.9" customHeight="1">
      <c r="A80" s="83" t="s">
        <v>76</v>
      </c>
      <c r="B80" s="83"/>
      <c r="C80" s="83"/>
      <c r="D80" s="83"/>
      <c r="E80" s="83"/>
      <c r="F80" s="83"/>
      <c r="G80" s="83"/>
      <c r="H80" s="83"/>
      <c r="I80" s="83"/>
      <c r="J80" s="37" t="s">
        <v>16</v>
      </c>
      <c r="K80" s="24" t="s">
        <v>75</v>
      </c>
      <c r="L80" s="1"/>
    </row>
    <row r="81" spans="1:12" ht="30">
      <c r="A81" s="83" t="str">
        <f>"Review for Subsequent Events Procedures to "&amp;D72&amp;"(*3)"</f>
        <v>Review for Subsequent Events Procedures to Feb 28,2019(*3)</v>
      </c>
      <c r="B81" s="83"/>
      <c r="C81" s="83"/>
      <c r="D81" s="83"/>
      <c r="E81" s="83"/>
      <c r="F81" s="83"/>
      <c r="G81" s="83"/>
      <c r="H81" s="83"/>
      <c r="I81" s="83"/>
      <c r="J81" s="37" t="s">
        <v>16</v>
      </c>
      <c r="K81" s="24" t="s">
        <v>74</v>
      </c>
      <c r="L81" s="1"/>
    </row>
    <row r="82" spans="1:12" ht="15">
      <c r="A82" s="21"/>
      <c r="L82" s="1"/>
    </row>
    <row r="83" spans="1:12" ht="20.149999999999999" customHeight="1">
      <c r="A83" s="115" t="s">
        <v>156</v>
      </c>
      <c r="B83" s="115"/>
      <c r="C83" s="115"/>
      <c r="D83" s="115"/>
      <c r="E83" s="115"/>
      <c r="F83" s="115"/>
      <c r="G83" s="115"/>
      <c r="H83" s="115"/>
      <c r="I83" s="115"/>
      <c r="J83" s="115"/>
      <c r="K83" s="115"/>
      <c r="L83" s="1"/>
    </row>
    <row r="84" spans="1:12" ht="39.9" customHeight="1">
      <c r="A84" s="116" t="s">
        <v>139</v>
      </c>
      <c r="B84" s="116"/>
      <c r="C84" s="116"/>
      <c r="D84" s="116"/>
      <c r="E84" s="116"/>
      <c r="F84" s="116"/>
      <c r="G84" s="116"/>
      <c r="H84" s="116"/>
      <c r="I84" s="116"/>
      <c r="J84" s="116"/>
      <c r="K84" s="116"/>
      <c r="L84" s="1"/>
    </row>
    <row r="85" spans="1:12" ht="39.9" customHeight="1">
      <c r="A85" s="116" t="s">
        <v>73</v>
      </c>
      <c r="B85" s="116"/>
      <c r="C85" s="116"/>
      <c r="D85" s="116"/>
      <c r="E85" s="116"/>
      <c r="F85" s="116"/>
      <c r="G85" s="116"/>
      <c r="H85" s="116"/>
      <c r="I85" s="116"/>
      <c r="J85" s="116"/>
      <c r="K85" s="116"/>
      <c r="L85" s="1"/>
    </row>
    <row r="86" spans="1:12" ht="20.149999999999999" customHeight="1">
      <c r="A86" s="116" t="s">
        <v>72</v>
      </c>
      <c r="B86" s="116"/>
      <c r="C86" s="116"/>
      <c r="D86" s="116"/>
      <c r="E86" s="116"/>
      <c r="F86" s="116"/>
      <c r="G86" s="116"/>
      <c r="H86" s="116"/>
      <c r="I86" s="116"/>
      <c r="J86" s="116"/>
      <c r="K86" s="116"/>
      <c r="L86" s="1"/>
    </row>
    <row r="87" spans="1:12" ht="39.9" customHeight="1">
      <c r="A87" s="116" t="s">
        <v>140</v>
      </c>
      <c r="B87" s="116"/>
      <c r="C87" s="116"/>
      <c r="D87" s="116"/>
      <c r="E87" s="116"/>
      <c r="F87" s="116"/>
      <c r="G87" s="116"/>
      <c r="H87" s="116"/>
      <c r="I87" s="116"/>
      <c r="J87" s="116"/>
      <c r="K87" s="116"/>
      <c r="L87" s="1"/>
    </row>
    <row r="88" spans="1:12" ht="20.149999999999999" customHeight="1">
      <c r="A88" s="116" t="s">
        <v>71</v>
      </c>
      <c r="B88" s="116"/>
      <c r="C88" s="116"/>
      <c r="D88" s="116"/>
      <c r="E88" s="116"/>
      <c r="F88" s="116"/>
      <c r="G88" s="116"/>
      <c r="H88" s="116"/>
      <c r="I88" s="116"/>
      <c r="J88" s="116"/>
      <c r="K88" s="116"/>
      <c r="L88" s="1"/>
    </row>
    <row r="89" spans="1:12" ht="20.149999999999999" customHeight="1">
      <c r="A89" s="116" t="s">
        <v>70</v>
      </c>
      <c r="B89" s="116"/>
      <c r="C89" s="116"/>
      <c r="D89" s="116"/>
      <c r="E89" s="116"/>
      <c r="F89" s="116"/>
      <c r="G89" s="116"/>
      <c r="H89" s="116"/>
      <c r="I89" s="116"/>
      <c r="J89" s="116"/>
      <c r="K89" s="116"/>
      <c r="L89" s="1"/>
    </row>
    <row r="90" spans="1:12" ht="39.9" customHeight="1">
      <c r="A90" s="116" t="s">
        <v>69</v>
      </c>
      <c r="B90" s="116"/>
      <c r="C90" s="116"/>
      <c r="D90" s="116"/>
      <c r="E90" s="116"/>
      <c r="F90" s="116"/>
      <c r="G90" s="116"/>
      <c r="H90" s="116"/>
      <c r="I90" s="116"/>
      <c r="J90" s="116"/>
      <c r="K90" s="116"/>
      <c r="L90" s="1"/>
    </row>
    <row r="91" spans="1:12" ht="20.149999999999999" customHeight="1">
      <c r="A91" s="116" t="s">
        <v>141</v>
      </c>
      <c r="B91" s="116"/>
      <c r="C91" s="116"/>
      <c r="D91" s="116"/>
      <c r="E91" s="116"/>
      <c r="F91" s="116"/>
      <c r="G91" s="116"/>
      <c r="H91" s="116"/>
      <c r="I91" s="116"/>
      <c r="J91" s="116"/>
      <c r="K91" s="116"/>
      <c r="L91" s="1"/>
    </row>
    <row r="92" spans="1:12" ht="15">
      <c r="A92" s="35"/>
      <c r="B92" s="35"/>
      <c r="C92" s="35"/>
      <c r="D92" s="35"/>
      <c r="E92" s="35"/>
      <c r="F92" s="35"/>
      <c r="G92" s="35"/>
      <c r="H92" s="35"/>
      <c r="I92" s="35"/>
      <c r="J92" s="35"/>
      <c r="K92" s="35"/>
      <c r="L92" s="1"/>
    </row>
    <row r="93" spans="1:12" ht="15">
      <c r="A93" s="35"/>
      <c r="B93" s="35"/>
      <c r="C93" s="35"/>
      <c r="D93" s="35"/>
      <c r="E93" s="35"/>
      <c r="F93" s="35"/>
      <c r="G93" s="35"/>
      <c r="H93" s="35"/>
      <c r="I93" s="35"/>
      <c r="J93" s="35"/>
      <c r="K93" s="35"/>
      <c r="L93" s="1"/>
    </row>
    <row r="94" spans="1:12" ht="20.149999999999999" customHeight="1">
      <c r="A94" s="117" t="s">
        <v>68</v>
      </c>
      <c r="B94" s="117"/>
      <c r="C94" s="117"/>
      <c r="D94" s="117"/>
      <c r="E94" s="117"/>
      <c r="F94" s="117"/>
      <c r="G94" s="117"/>
      <c r="H94" s="117"/>
      <c r="I94" s="117"/>
      <c r="J94" s="117"/>
      <c r="K94" s="117"/>
      <c r="L94" s="1"/>
    </row>
    <row r="95" spans="1:12" ht="20.149999999999999" customHeight="1">
      <c r="A95" s="21"/>
      <c r="L95" s="1"/>
    </row>
    <row r="96" spans="1:12" ht="20.149999999999999" customHeight="1">
      <c r="A96" s="118" t="s">
        <v>67</v>
      </c>
      <c r="B96" s="118"/>
      <c r="C96" s="118"/>
      <c r="D96" s="118"/>
      <c r="E96" s="118"/>
      <c r="F96" s="118"/>
      <c r="G96" s="118"/>
      <c r="H96" s="118"/>
      <c r="I96" s="118"/>
      <c r="J96" s="118"/>
      <c r="K96" s="118"/>
      <c r="L96" s="1"/>
    </row>
    <row r="97" spans="1:12" ht="20.149999999999999" customHeight="1">
      <c r="A97" s="21"/>
      <c r="L97" s="1"/>
    </row>
    <row r="98" spans="1:12" ht="20.149999999999999" customHeight="1">
      <c r="A98" s="82" t="s">
        <v>149</v>
      </c>
      <c r="B98" s="82"/>
      <c r="C98" s="82"/>
      <c r="D98" s="82"/>
      <c r="E98" s="82"/>
      <c r="F98" s="82"/>
      <c r="G98" s="82"/>
      <c r="H98" s="82"/>
      <c r="I98" s="82"/>
      <c r="J98" s="82"/>
      <c r="K98" s="82"/>
      <c r="L98" s="1"/>
    </row>
    <row r="99" spans="1:12" ht="15">
      <c r="A99" s="38" t="s">
        <v>16</v>
      </c>
      <c r="B99" s="38"/>
      <c r="C99" s="39"/>
      <c r="D99" s="39"/>
      <c r="E99" s="39"/>
      <c r="F99" s="39"/>
      <c r="G99" s="39"/>
      <c r="H99" s="39"/>
      <c r="I99" s="39"/>
      <c r="J99" s="39"/>
      <c r="K99" s="39"/>
      <c r="L99" s="1"/>
    </row>
    <row r="100" spans="1:12" ht="15">
      <c r="A100" s="40"/>
      <c r="L100" s="1"/>
    </row>
    <row r="101" spans="1:12" ht="99.9" customHeight="1">
      <c r="A101" s="82" t="str">
        <f>"This letter is provided in connection with your audit of the group financial statements of "&amp;기본입력!C4&amp;" for the year ended "&amp;TEXT(기본입력!B6,"mmm d,yyyy")&amp;" for the purpose of your expressing an opinion on whether the group financial statements [present fairly, in all material respects OR give a true and fair view of] the financial position of the group as of "&amp;TEXT(기본입력!B6,"mmm d,yyyy")&amp;" and of its financial performance and cash flows for the year then ended in accordance with [indicate applicable financial reporting framework]."</f>
        <v>This letter is provided in connection with your audit of the group financial statements of ABC Compony for the year ended Dec 31,2018 for the purpose of your expressing an opinion on whether the group financial statements [present fairly, in all material respects OR give a true and fair view of] the financial position of the group as of Dec 31,2018 and of its financial performance and cash flows for the year then ended in accordance with [indicate applicable financial reporting framework].</v>
      </c>
      <c r="B101" s="82"/>
      <c r="C101" s="82"/>
      <c r="D101" s="82"/>
      <c r="E101" s="82"/>
      <c r="F101" s="82"/>
      <c r="G101" s="82"/>
      <c r="H101" s="82"/>
      <c r="I101" s="82"/>
      <c r="J101" s="82"/>
      <c r="K101" s="82"/>
      <c r="L101" s="1"/>
    </row>
    <row r="102" spans="1:12">
      <c r="A102" s="21"/>
    </row>
    <row r="103" spans="1:12" ht="60" customHeight="1">
      <c r="A103" s="82" t="str">
        <f>"We acknowledge receipt of your instructions dated "&amp;TEXT(기본입력!B8,"mmm d,yyyy")&amp;" requesting us to perform the specified work on the financial information of "&amp;기본입력!C9&amp;" for the year ended "&amp;TEXT(기본입력!B11,"mmm d,yyyy")&amp;" which will form part of the audit of the group financial statements of "&amp;기본입력!C4&amp;"."</f>
        <v>We acknowledge receipt of your instructions dated Aug 30,2018 requesting us to perform the specified work on the financial information of GANADA compony for the year ended Dec 31,2018 which will form part of the audit of the group financial statements of ABC Compony.</v>
      </c>
      <c r="B103" s="82"/>
      <c r="C103" s="82"/>
      <c r="D103" s="82"/>
      <c r="E103" s="82"/>
      <c r="F103" s="82"/>
      <c r="G103" s="82"/>
      <c r="H103" s="82"/>
      <c r="I103" s="82"/>
      <c r="J103" s="82"/>
      <c r="K103" s="82"/>
    </row>
    <row r="104" spans="1:12">
      <c r="A104" s="21"/>
    </row>
    <row r="105" spans="1:12" ht="39.9" customHeight="1">
      <c r="A105" s="41">
        <v>1</v>
      </c>
      <c r="B105" s="83" t="s">
        <v>66</v>
      </c>
      <c r="C105" s="83"/>
      <c r="D105" s="83"/>
      <c r="E105" s="83"/>
      <c r="F105" s="83"/>
      <c r="G105" s="83"/>
      <c r="H105" s="83"/>
      <c r="I105" s="83"/>
      <c r="J105" s="83"/>
      <c r="K105" s="83"/>
    </row>
    <row r="106" spans="1:12" ht="39.9" customHeight="1">
      <c r="A106" s="41">
        <v>2</v>
      </c>
      <c r="B106" s="83" t="str">
        <f>"We acknowledge that the financial information of "&amp;기본입력!C9&amp;" will be included in the group financial statements of "&amp;기본입력!C4&amp;". "</f>
        <v xml:space="preserve">We acknowledge that the financial information of GANADA compony will be included in the group financial statements of ABC Compony. </v>
      </c>
      <c r="C106" s="83"/>
      <c r="D106" s="83"/>
      <c r="E106" s="83"/>
      <c r="F106" s="83"/>
      <c r="G106" s="83"/>
      <c r="H106" s="83"/>
      <c r="I106" s="83"/>
      <c r="J106" s="83"/>
      <c r="K106" s="83"/>
    </row>
    <row r="107" spans="1:12" ht="39.9" customHeight="1">
      <c r="A107" s="41">
        <v>3</v>
      </c>
      <c r="B107" s="83" t="s">
        <v>65</v>
      </c>
      <c r="C107" s="83"/>
      <c r="D107" s="83"/>
      <c r="E107" s="83"/>
      <c r="F107" s="83"/>
      <c r="G107" s="83"/>
      <c r="H107" s="83"/>
      <c r="I107" s="83"/>
      <c r="J107" s="83"/>
      <c r="K107" s="83"/>
    </row>
    <row r="108" spans="1:12" ht="60" customHeight="1">
      <c r="A108" s="41">
        <v>4</v>
      </c>
      <c r="B108" s="83" t="str">
        <f>"We acknowledge that you may consider it necessary to be involved in the work you have requested us to perform on the financial information of "&amp;기본입력!C9&amp;" for the year ended "&amp;TEXT(기본입력!B11,"mmm d,yyyy")&amp;"."</f>
        <v>We acknowledge that you may consider it necessary to be involved in the work you have requested us to perform on the financial information of GANADA compony for the year ended Dec 31,2018.</v>
      </c>
      <c r="C108" s="83"/>
      <c r="D108" s="83"/>
      <c r="E108" s="83"/>
      <c r="F108" s="83"/>
      <c r="G108" s="83"/>
      <c r="H108" s="83"/>
      <c r="I108" s="83"/>
      <c r="J108" s="83"/>
      <c r="K108" s="83"/>
    </row>
    <row r="109" spans="1:12" ht="60" customHeight="1">
      <c r="A109" s="41">
        <v>5</v>
      </c>
      <c r="B109" s="83" t="str">
        <f>"We acknowledge that you intend to evaluate and, if considered appropriate, use our work for the audit of the group financial statements of "&amp;기본입력!C4&amp;"."</f>
        <v>We acknowledge that you intend to evaluate and, if considered appropriate, use our work for the audit of the group financial statements of ABC Compony.</v>
      </c>
      <c r="C109" s="83"/>
      <c r="D109" s="83"/>
      <c r="E109" s="83"/>
      <c r="F109" s="83"/>
      <c r="G109" s="83"/>
      <c r="H109" s="83"/>
      <c r="I109" s="83"/>
      <c r="J109" s="83"/>
      <c r="K109" s="83"/>
    </row>
    <row r="110" spans="1:12" s="3" customFormat="1" ht="20.149999999999999" customHeight="1">
      <c r="A110" s="41">
        <v>6</v>
      </c>
      <c r="B110" s="83" t="s">
        <v>64</v>
      </c>
      <c r="C110" s="83"/>
      <c r="D110" s="83"/>
      <c r="E110" s="83"/>
      <c r="F110" s="83"/>
      <c r="G110" s="83"/>
      <c r="H110" s="83"/>
      <c r="I110" s="83"/>
      <c r="J110" s="83"/>
      <c r="K110" s="83"/>
      <c r="L110" s="4"/>
    </row>
    <row r="111" spans="1:12" s="3" customFormat="1" ht="99.9" customHeight="1">
      <c r="A111" s="125">
        <v>7</v>
      </c>
      <c r="B111" s="130" t="s">
        <v>157</v>
      </c>
      <c r="C111" s="130"/>
      <c r="D111" s="130"/>
      <c r="E111" s="130"/>
      <c r="F111" s="130"/>
      <c r="G111" s="130"/>
      <c r="H111" s="130"/>
      <c r="I111" s="130"/>
      <c r="J111" s="130"/>
      <c r="K111" s="130"/>
      <c r="L111" s="4"/>
    </row>
    <row r="112" spans="1:12" s="3" customFormat="1" ht="39.9" customHeight="1">
      <c r="A112" s="126"/>
      <c r="B112" s="122" t="str">
        <f>기본입력!C9&amp;" for the year ended "&amp;TEXT(기본입력!B11,"mmm d,yyyy")&amp;" in accordance with those standards. "</f>
        <v xml:space="preserve">GANADA compony for the year ended Dec 31,2018 in accordance with those standards. </v>
      </c>
      <c r="C112" s="123"/>
      <c r="D112" s="123"/>
      <c r="E112" s="123"/>
      <c r="F112" s="123"/>
      <c r="G112" s="123"/>
      <c r="H112" s="123"/>
      <c r="I112" s="123"/>
      <c r="J112" s="123"/>
      <c r="K112" s="124"/>
      <c r="L112" s="4"/>
    </row>
    <row r="113" spans="1:12" s="3" customFormat="1" ht="80.150000000000006" customHeight="1">
      <c r="A113" s="128">
        <v>8</v>
      </c>
      <c r="B113" s="130" t="s">
        <v>158</v>
      </c>
      <c r="C113" s="130"/>
      <c r="D113" s="130"/>
      <c r="E113" s="130"/>
      <c r="F113" s="130"/>
      <c r="G113" s="130"/>
      <c r="H113" s="130"/>
      <c r="I113" s="130"/>
      <c r="J113" s="130"/>
      <c r="K113" s="130"/>
      <c r="L113" s="4"/>
    </row>
    <row r="114" spans="1:12" ht="39.9" customHeight="1">
      <c r="A114" s="129"/>
      <c r="B114" s="127" t="str">
        <f>기본입력!C9&amp;"'s compliance with the group accounting manual}."</f>
        <v>GANADA compony's compliance with the group accounting manual}.</v>
      </c>
      <c r="C114" s="127"/>
      <c r="D114" s="127"/>
      <c r="E114" s="127"/>
      <c r="F114" s="127"/>
      <c r="G114" s="127"/>
      <c r="H114" s="127"/>
      <c r="I114" s="127"/>
      <c r="J114" s="127"/>
      <c r="K114" s="127"/>
    </row>
    <row r="115" spans="1:12" ht="39.9" customHeight="1">
      <c r="A115" s="82" t="str">
        <f>"We will inform you of any changes in the above representations during the course of the work on the financial information of "&amp;기본입력!C9&amp;"."</f>
        <v>We will inform you of any changes in the above representations during the course of the work on the financial information of GANADA compony.</v>
      </c>
      <c r="B115" s="82"/>
      <c r="C115" s="82"/>
      <c r="D115" s="82"/>
      <c r="E115" s="82"/>
      <c r="F115" s="82"/>
      <c r="G115" s="82"/>
      <c r="H115" s="82"/>
      <c r="I115" s="82"/>
      <c r="J115" s="82"/>
      <c r="K115" s="82"/>
    </row>
    <row r="117" spans="1:12" s="3" customFormat="1">
      <c r="A117" s="42"/>
      <c r="B117" s="42"/>
      <c r="C117" s="42"/>
      <c r="D117" s="42"/>
      <c r="E117" s="42"/>
      <c r="F117" s="42"/>
      <c r="G117" s="42"/>
      <c r="H117" s="42"/>
      <c r="I117" s="131" t="str">
        <f>기본입력!C7</f>
        <v>XX accounting corporation</v>
      </c>
      <c r="J117" s="131"/>
      <c r="K117" s="131"/>
      <c r="L117" s="4"/>
    </row>
    <row r="118" spans="1:12" s="3" customFormat="1">
      <c r="A118" s="42"/>
      <c r="B118" s="42"/>
      <c r="C118" s="42"/>
      <c r="D118" s="42"/>
      <c r="E118" s="42"/>
      <c r="F118" s="42"/>
      <c r="G118" s="42"/>
      <c r="H118" s="42"/>
      <c r="I118" s="83" t="s">
        <v>8</v>
      </c>
      <c r="J118" s="83"/>
      <c r="K118" s="43"/>
      <c r="L118" s="4"/>
    </row>
    <row r="119" spans="1:12" s="3" customFormat="1">
      <c r="A119" s="42"/>
      <c r="B119" s="42"/>
      <c r="C119" s="42"/>
      <c r="D119" s="42"/>
      <c r="E119" s="42"/>
      <c r="F119" s="42"/>
      <c r="G119" s="42"/>
      <c r="H119" s="42"/>
      <c r="I119" s="83" t="s">
        <v>7</v>
      </c>
      <c r="J119" s="83"/>
      <c r="K119" s="43"/>
      <c r="L119" s="4"/>
    </row>
    <row r="120" spans="1:12" s="3" customFormat="1">
      <c r="A120" s="42"/>
      <c r="B120" s="42"/>
      <c r="C120" s="42"/>
      <c r="D120" s="42"/>
      <c r="E120" s="42"/>
      <c r="F120" s="42"/>
      <c r="G120" s="42"/>
      <c r="H120" s="42"/>
      <c r="I120" s="83" t="s">
        <v>6</v>
      </c>
      <c r="J120" s="83"/>
      <c r="K120" s="43"/>
      <c r="L120" s="4"/>
    </row>
    <row r="122" spans="1:12" ht="20.149999999999999" customHeight="1">
      <c r="A122" s="44" t="s">
        <v>63</v>
      </c>
    </row>
    <row r="123" spans="1:12" ht="20.149999999999999" customHeight="1">
      <c r="A123" s="117" t="s">
        <v>62</v>
      </c>
      <c r="B123" s="117"/>
      <c r="C123" s="117"/>
      <c r="D123" s="117"/>
      <c r="E123" s="117"/>
      <c r="F123" s="117"/>
      <c r="G123" s="117"/>
      <c r="H123" s="117"/>
      <c r="I123" s="117"/>
      <c r="J123" s="117"/>
      <c r="K123" s="117"/>
    </row>
    <row r="124" spans="1:12" ht="20.149999999999999" customHeight="1">
      <c r="A124" s="40"/>
    </row>
    <row r="125" spans="1:12" ht="20.149999999999999" customHeight="1">
      <c r="A125" s="117" t="s">
        <v>150</v>
      </c>
      <c r="B125" s="117"/>
      <c r="C125" s="117"/>
      <c r="D125" s="117"/>
      <c r="E125" s="117"/>
      <c r="F125" s="117"/>
      <c r="G125" s="117"/>
      <c r="H125" s="117"/>
      <c r="I125" s="117"/>
      <c r="J125" s="117"/>
      <c r="K125" s="117"/>
    </row>
    <row r="126" spans="1:12" ht="20.149999999999999" customHeight="1">
      <c r="A126" s="45" t="s">
        <v>61</v>
      </c>
      <c r="B126" s="119" t="s">
        <v>60</v>
      </c>
      <c r="C126" s="103"/>
      <c r="D126" s="103"/>
      <c r="E126" s="103"/>
      <c r="F126" s="103"/>
      <c r="G126" s="103"/>
      <c r="H126" s="104"/>
      <c r="I126" s="120" t="s">
        <v>59</v>
      </c>
      <c r="J126" s="121"/>
      <c r="K126" s="56"/>
    </row>
    <row r="127" spans="1:12">
      <c r="A127" s="145">
        <v>1</v>
      </c>
      <c r="B127" s="132" t="s">
        <v>58</v>
      </c>
      <c r="C127" s="133"/>
      <c r="D127" s="133"/>
      <c r="E127" s="133"/>
      <c r="F127" s="133"/>
      <c r="G127" s="133"/>
      <c r="H127" s="134"/>
      <c r="I127" s="46"/>
      <c r="J127" s="47"/>
      <c r="K127" s="56"/>
    </row>
    <row r="128" spans="1:12">
      <c r="A128" s="145"/>
      <c r="B128" s="139" t="s">
        <v>159</v>
      </c>
      <c r="C128" s="140"/>
      <c r="D128" s="140"/>
      <c r="E128" s="140"/>
      <c r="F128" s="140"/>
      <c r="G128" s="140"/>
      <c r="H128" s="141"/>
      <c r="I128" s="48" t="s">
        <v>2</v>
      </c>
      <c r="J128" s="49" t="s">
        <v>54</v>
      </c>
      <c r="K128" s="56"/>
    </row>
    <row r="129" spans="1:12" ht="99.9" customHeight="1">
      <c r="A129" s="145"/>
      <c r="B129" s="147"/>
      <c r="C129" s="148"/>
      <c r="D129" s="148"/>
      <c r="E129" s="148"/>
      <c r="F129" s="148"/>
      <c r="G129" s="148"/>
      <c r="H129" s="149"/>
      <c r="I129" s="48" t="s">
        <v>2</v>
      </c>
      <c r="J129" s="49" t="s">
        <v>53</v>
      </c>
      <c r="K129" s="56"/>
    </row>
    <row r="130" spans="1:12">
      <c r="A130" s="145"/>
      <c r="B130" s="147"/>
      <c r="C130" s="148"/>
      <c r="D130" s="148"/>
      <c r="E130" s="148"/>
      <c r="F130" s="148"/>
      <c r="G130" s="148"/>
      <c r="H130" s="149"/>
      <c r="I130" s="50"/>
      <c r="J130" s="135" t="s">
        <v>0</v>
      </c>
      <c r="K130" s="56"/>
    </row>
    <row r="131" spans="1:12">
      <c r="A131" s="145"/>
      <c r="B131" s="147"/>
      <c r="C131" s="148"/>
      <c r="D131" s="148"/>
      <c r="E131" s="148"/>
      <c r="F131" s="148"/>
      <c r="G131" s="148"/>
      <c r="H131" s="149"/>
      <c r="I131" s="50"/>
      <c r="J131" s="136"/>
      <c r="K131" s="56"/>
    </row>
    <row r="132" spans="1:12">
      <c r="A132" s="145"/>
      <c r="B132" s="147"/>
      <c r="C132" s="148"/>
      <c r="D132" s="148"/>
      <c r="E132" s="148"/>
      <c r="F132" s="148"/>
      <c r="G132" s="148"/>
      <c r="H132" s="149"/>
      <c r="I132" s="50"/>
      <c r="J132" s="136"/>
      <c r="K132" s="56"/>
    </row>
    <row r="133" spans="1:12">
      <c r="A133" s="146"/>
      <c r="B133" s="150"/>
      <c r="C133" s="151"/>
      <c r="D133" s="151"/>
      <c r="E133" s="151"/>
      <c r="F133" s="151"/>
      <c r="G133" s="151"/>
      <c r="H133" s="152"/>
      <c r="I133" s="51"/>
      <c r="J133" s="153"/>
      <c r="K133" s="56"/>
    </row>
    <row r="134" spans="1:12">
      <c r="A134" s="52">
        <v>2</v>
      </c>
      <c r="B134" s="132" t="s">
        <v>57</v>
      </c>
      <c r="C134" s="133"/>
      <c r="D134" s="133"/>
      <c r="E134" s="133"/>
      <c r="F134" s="133"/>
      <c r="G134" s="133"/>
      <c r="H134" s="134"/>
      <c r="I134" s="46"/>
      <c r="J134" s="47"/>
      <c r="K134" s="56"/>
    </row>
    <row r="135" spans="1:12" ht="15">
      <c r="A135" s="137" t="s">
        <v>56</v>
      </c>
      <c r="B135" s="139" t="s">
        <v>55</v>
      </c>
      <c r="C135" s="140"/>
      <c r="D135" s="140"/>
      <c r="E135" s="140"/>
      <c r="F135" s="140"/>
      <c r="G135" s="140"/>
      <c r="H135" s="141"/>
      <c r="I135" s="48" t="s">
        <v>2</v>
      </c>
      <c r="J135" s="49" t="s">
        <v>54</v>
      </c>
      <c r="K135" s="56"/>
      <c r="L135" s="1"/>
    </row>
    <row r="136" spans="1:12" ht="60">
      <c r="A136" s="138"/>
      <c r="B136" s="139"/>
      <c r="C136" s="140"/>
      <c r="D136" s="140"/>
      <c r="E136" s="140"/>
      <c r="F136" s="140"/>
      <c r="G136" s="140"/>
      <c r="H136" s="141"/>
      <c r="I136" s="48" t="s">
        <v>2</v>
      </c>
      <c r="J136" s="49" t="s">
        <v>53</v>
      </c>
      <c r="K136" s="56"/>
      <c r="L136" s="1"/>
    </row>
    <row r="137" spans="1:12" ht="15">
      <c r="A137" s="138"/>
      <c r="B137" s="139"/>
      <c r="C137" s="140"/>
      <c r="D137" s="140"/>
      <c r="E137" s="140"/>
      <c r="F137" s="140"/>
      <c r="G137" s="140"/>
      <c r="H137" s="141"/>
      <c r="I137" s="50"/>
      <c r="J137" s="135" t="s">
        <v>0</v>
      </c>
      <c r="K137" s="56"/>
      <c r="L137" s="1"/>
    </row>
    <row r="138" spans="1:12" ht="15">
      <c r="A138" s="138"/>
      <c r="B138" s="139"/>
      <c r="C138" s="140"/>
      <c r="D138" s="140"/>
      <c r="E138" s="140"/>
      <c r="F138" s="140"/>
      <c r="G138" s="140"/>
      <c r="H138" s="141"/>
      <c r="I138" s="50"/>
      <c r="J138" s="136"/>
      <c r="K138" s="56"/>
      <c r="L138" s="1"/>
    </row>
    <row r="139" spans="1:12" ht="15">
      <c r="A139" s="138"/>
      <c r="B139" s="139"/>
      <c r="C139" s="140"/>
      <c r="D139" s="140"/>
      <c r="E139" s="140"/>
      <c r="F139" s="140"/>
      <c r="G139" s="140"/>
      <c r="H139" s="141"/>
      <c r="I139" s="50"/>
      <c r="J139" s="136"/>
      <c r="K139" s="56"/>
      <c r="L139" s="1"/>
    </row>
    <row r="140" spans="1:12" ht="30">
      <c r="A140" s="137" t="s">
        <v>52</v>
      </c>
      <c r="B140" s="139" t="s">
        <v>51</v>
      </c>
      <c r="C140" s="140"/>
      <c r="D140" s="140"/>
      <c r="E140" s="140"/>
      <c r="F140" s="140"/>
      <c r="G140" s="140"/>
      <c r="H140" s="141"/>
      <c r="I140" s="48" t="s">
        <v>2</v>
      </c>
      <c r="J140" s="49" t="s">
        <v>24</v>
      </c>
      <c r="K140" s="56"/>
      <c r="L140" s="1"/>
    </row>
    <row r="141" spans="1:12" ht="140.15" customHeight="1">
      <c r="A141" s="138"/>
      <c r="B141" s="142" t="s">
        <v>50</v>
      </c>
      <c r="C141" s="143"/>
      <c r="D141" s="143"/>
      <c r="E141" s="143"/>
      <c r="F141" s="143"/>
      <c r="G141" s="143"/>
      <c r="H141" s="144"/>
      <c r="I141" s="48" t="s">
        <v>2</v>
      </c>
      <c r="J141" s="49" t="s">
        <v>49</v>
      </c>
      <c r="K141" s="56"/>
      <c r="L141" s="1"/>
    </row>
    <row r="142" spans="1:12" ht="20.149999999999999" customHeight="1">
      <c r="A142" s="53"/>
      <c r="B142" s="159" t="s">
        <v>48</v>
      </c>
      <c r="C142" s="160"/>
      <c r="D142" s="160"/>
      <c r="E142" s="160"/>
      <c r="F142" s="160"/>
      <c r="G142" s="161"/>
      <c r="H142" s="54"/>
      <c r="I142" s="55"/>
      <c r="J142" s="49"/>
      <c r="K142" s="56"/>
      <c r="L142" s="1"/>
    </row>
    <row r="143" spans="1:12" ht="20.149999999999999" customHeight="1">
      <c r="A143" s="145"/>
      <c r="B143" s="163" t="s">
        <v>47</v>
      </c>
      <c r="C143" s="164"/>
      <c r="D143" s="163" t="s">
        <v>46</v>
      </c>
      <c r="E143" s="164"/>
      <c r="F143" s="163" t="s">
        <v>45</v>
      </c>
      <c r="G143" s="164"/>
      <c r="H143" s="56"/>
      <c r="I143" s="56"/>
      <c r="J143" s="57"/>
      <c r="K143" s="56"/>
      <c r="L143" s="1"/>
    </row>
    <row r="144" spans="1:12" ht="45">
      <c r="A144" s="145"/>
      <c r="B144" s="24">
        <v>1</v>
      </c>
      <c r="C144" s="58"/>
      <c r="D144" s="59" t="s">
        <v>44</v>
      </c>
      <c r="E144" s="60" t="s">
        <v>43</v>
      </c>
      <c r="F144" s="59" t="s">
        <v>44</v>
      </c>
      <c r="G144" s="60" t="s">
        <v>43</v>
      </c>
      <c r="H144" s="56"/>
      <c r="I144" s="56"/>
      <c r="J144" s="57"/>
      <c r="K144" s="56"/>
      <c r="L144" s="1"/>
    </row>
    <row r="145" spans="1:12" ht="15">
      <c r="A145" s="145"/>
      <c r="B145" s="24">
        <v>2</v>
      </c>
      <c r="C145" s="58"/>
      <c r="D145" s="61"/>
      <c r="E145" s="62"/>
      <c r="F145" s="61"/>
      <c r="G145" s="62"/>
      <c r="H145" s="56"/>
      <c r="I145" s="56"/>
      <c r="J145" s="57"/>
      <c r="K145" s="56"/>
      <c r="L145" s="1"/>
    </row>
    <row r="146" spans="1:12" ht="15">
      <c r="A146" s="145"/>
      <c r="B146" s="24">
        <v>3</v>
      </c>
      <c r="C146" s="58"/>
      <c r="D146" s="61"/>
      <c r="E146" s="62"/>
      <c r="F146" s="61"/>
      <c r="G146" s="62"/>
      <c r="H146" s="56"/>
      <c r="I146" s="56"/>
      <c r="J146" s="57"/>
      <c r="K146" s="56"/>
      <c r="L146" s="1"/>
    </row>
    <row r="147" spans="1:12" ht="15">
      <c r="A147" s="162"/>
      <c r="B147" s="165"/>
      <c r="C147" s="166"/>
      <c r="D147" s="166"/>
      <c r="E147" s="166"/>
      <c r="F147" s="166"/>
      <c r="G147" s="167"/>
      <c r="H147" s="63"/>
      <c r="I147" s="63"/>
      <c r="J147" s="64"/>
      <c r="K147" s="56"/>
      <c r="L147" s="1"/>
    </row>
    <row r="148" spans="1:12" ht="39.9" customHeight="1">
      <c r="A148" s="154">
        <v>3</v>
      </c>
      <c r="B148" s="155" t="s">
        <v>42</v>
      </c>
      <c r="C148" s="156"/>
      <c r="D148" s="156"/>
      <c r="E148" s="156"/>
      <c r="F148" s="156"/>
      <c r="G148" s="156"/>
      <c r="H148" s="156"/>
      <c r="I148" s="73"/>
      <c r="J148" s="74"/>
      <c r="K148" s="56"/>
      <c r="L148" s="1"/>
    </row>
    <row r="149" spans="1:12" ht="159.9" customHeight="1">
      <c r="A149" s="145"/>
      <c r="B149" s="139" t="s">
        <v>41</v>
      </c>
      <c r="C149" s="140"/>
      <c r="D149" s="140"/>
      <c r="E149" s="140"/>
      <c r="F149" s="140"/>
      <c r="G149" s="140"/>
      <c r="H149" s="141"/>
      <c r="I149" s="48" t="s">
        <v>2</v>
      </c>
      <c r="J149" s="49" t="s">
        <v>40</v>
      </c>
      <c r="K149" s="56"/>
      <c r="L149" s="1"/>
    </row>
    <row r="150" spans="1:12" ht="140.15" customHeight="1">
      <c r="A150" s="145"/>
      <c r="B150" s="147"/>
      <c r="C150" s="148"/>
      <c r="D150" s="148"/>
      <c r="E150" s="148"/>
      <c r="F150" s="148"/>
      <c r="G150" s="148"/>
      <c r="H150" s="149"/>
      <c r="I150" s="48" t="s">
        <v>2</v>
      </c>
      <c r="J150" s="49" t="s">
        <v>39</v>
      </c>
      <c r="K150" s="56"/>
      <c r="L150" s="1"/>
    </row>
    <row r="151" spans="1:12" ht="15">
      <c r="A151" s="145"/>
      <c r="B151" s="147"/>
      <c r="C151" s="148"/>
      <c r="D151" s="148"/>
      <c r="E151" s="148"/>
      <c r="F151" s="148"/>
      <c r="G151" s="148"/>
      <c r="H151" s="149"/>
      <c r="I151" s="50"/>
      <c r="J151" s="135" t="s">
        <v>0</v>
      </c>
      <c r="K151" s="56"/>
      <c r="L151" s="1"/>
    </row>
    <row r="152" spans="1:12" ht="15">
      <c r="A152" s="145"/>
      <c r="B152" s="147"/>
      <c r="C152" s="148"/>
      <c r="D152" s="148"/>
      <c r="E152" s="148"/>
      <c r="F152" s="148"/>
      <c r="G152" s="148"/>
      <c r="H152" s="149"/>
      <c r="I152" s="50"/>
      <c r="J152" s="136"/>
      <c r="K152" s="56"/>
      <c r="L152" s="1"/>
    </row>
    <row r="153" spans="1:12" ht="15">
      <c r="A153" s="146"/>
      <c r="B153" s="150"/>
      <c r="C153" s="151"/>
      <c r="D153" s="151"/>
      <c r="E153" s="151"/>
      <c r="F153" s="151"/>
      <c r="G153" s="151"/>
      <c r="H153" s="152"/>
      <c r="I153" s="51"/>
      <c r="J153" s="153"/>
      <c r="K153" s="56"/>
      <c r="L153" s="1"/>
    </row>
    <row r="154" spans="1:12" ht="20.149999999999999" customHeight="1">
      <c r="A154" s="158">
        <v>4</v>
      </c>
      <c r="B154" s="132" t="s">
        <v>38</v>
      </c>
      <c r="C154" s="133"/>
      <c r="D154" s="133"/>
      <c r="E154" s="133"/>
      <c r="F154" s="133"/>
      <c r="G154" s="133"/>
      <c r="H154" s="134"/>
      <c r="I154" s="65"/>
      <c r="J154" s="49"/>
      <c r="K154" s="56"/>
      <c r="L154" s="1"/>
    </row>
    <row r="155" spans="1:12" ht="99.9" customHeight="1">
      <c r="A155" s="145"/>
      <c r="B155" s="139" t="s">
        <v>37</v>
      </c>
      <c r="C155" s="140"/>
      <c r="D155" s="140"/>
      <c r="E155" s="140"/>
      <c r="F155" s="140"/>
      <c r="G155" s="140"/>
      <c r="H155" s="141"/>
      <c r="I155" s="48" t="s">
        <v>2</v>
      </c>
      <c r="J155" s="49" t="s">
        <v>24</v>
      </c>
      <c r="K155" s="56"/>
      <c r="L155" s="1"/>
    </row>
    <row r="156" spans="1:12" ht="120">
      <c r="A156" s="145"/>
      <c r="B156" s="147"/>
      <c r="C156" s="148"/>
      <c r="D156" s="148"/>
      <c r="E156" s="148"/>
      <c r="F156" s="148"/>
      <c r="G156" s="148"/>
      <c r="H156" s="149"/>
      <c r="I156" s="48" t="s">
        <v>2</v>
      </c>
      <c r="J156" s="66" t="s">
        <v>36</v>
      </c>
      <c r="K156" s="56"/>
      <c r="L156" s="1"/>
    </row>
    <row r="157" spans="1:12" ht="15">
      <c r="A157" s="145"/>
      <c r="B157" s="147"/>
      <c r="C157" s="148"/>
      <c r="D157" s="148"/>
      <c r="E157" s="148"/>
      <c r="F157" s="148"/>
      <c r="G157" s="148"/>
      <c r="H157" s="149"/>
      <c r="I157" s="50"/>
      <c r="J157" s="135" t="s">
        <v>0</v>
      </c>
      <c r="K157" s="56"/>
      <c r="L157" s="1"/>
    </row>
    <row r="158" spans="1:12" ht="15">
      <c r="A158" s="145"/>
      <c r="B158" s="147"/>
      <c r="C158" s="148"/>
      <c r="D158" s="148"/>
      <c r="E158" s="148"/>
      <c r="F158" s="148"/>
      <c r="G158" s="148"/>
      <c r="H158" s="149"/>
      <c r="I158" s="50"/>
      <c r="J158" s="136"/>
      <c r="K158" s="56"/>
      <c r="L158" s="1"/>
    </row>
    <row r="159" spans="1:12" ht="15">
      <c r="A159" s="145"/>
      <c r="B159" s="147"/>
      <c r="C159" s="148"/>
      <c r="D159" s="148"/>
      <c r="E159" s="148"/>
      <c r="F159" s="148"/>
      <c r="G159" s="148"/>
      <c r="H159" s="149"/>
      <c r="I159" s="50"/>
      <c r="J159" s="136"/>
      <c r="K159" s="56"/>
      <c r="L159" s="1"/>
    </row>
    <row r="160" spans="1:12" ht="15">
      <c r="A160" s="162"/>
      <c r="B160" s="150"/>
      <c r="C160" s="151"/>
      <c r="D160" s="151"/>
      <c r="E160" s="151"/>
      <c r="F160" s="151"/>
      <c r="G160" s="151"/>
      <c r="H160" s="152"/>
      <c r="I160" s="67"/>
      <c r="J160" s="168"/>
      <c r="K160" s="56"/>
      <c r="L160" s="1"/>
    </row>
    <row r="161" spans="1:12" ht="20.149999999999999" customHeight="1">
      <c r="A161" s="154">
        <v>5</v>
      </c>
      <c r="B161" s="155" t="s">
        <v>35</v>
      </c>
      <c r="C161" s="156"/>
      <c r="D161" s="156"/>
      <c r="E161" s="156"/>
      <c r="F161" s="156"/>
      <c r="G161" s="156"/>
      <c r="H161" s="157"/>
      <c r="I161" s="75"/>
      <c r="J161" s="76"/>
      <c r="K161" s="56"/>
      <c r="L161" s="1"/>
    </row>
    <row r="162" spans="1:12" ht="60" customHeight="1">
      <c r="A162" s="145"/>
      <c r="B162" s="139" t="s">
        <v>34</v>
      </c>
      <c r="C162" s="140"/>
      <c r="D162" s="140"/>
      <c r="E162" s="140"/>
      <c r="F162" s="140"/>
      <c r="G162" s="140"/>
      <c r="H162" s="141"/>
      <c r="I162" s="48" t="s">
        <v>2</v>
      </c>
      <c r="J162" s="49" t="s">
        <v>24</v>
      </c>
      <c r="K162" s="56"/>
      <c r="L162" s="1"/>
    </row>
    <row r="163" spans="1:12" ht="105">
      <c r="A163" s="145"/>
      <c r="B163" s="147"/>
      <c r="C163" s="148"/>
      <c r="D163" s="148"/>
      <c r="E163" s="148"/>
      <c r="F163" s="148"/>
      <c r="G163" s="148"/>
      <c r="H163" s="149"/>
      <c r="I163" s="48" t="s">
        <v>2</v>
      </c>
      <c r="J163" s="68" t="s">
        <v>33</v>
      </c>
      <c r="K163" s="56"/>
      <c r="L163" s="1"/>
    </row>
    <row r="164" spans="1:12" ht="15">
      <c r="A164" s="145"/>
      <c r="B164" s="147"/>
      <c r="C164" s="148"/>
      <c r="D164" s="148"/>
      <c r="E164" s="148"/>
      <c r="F164" s="148"/>
      <c r="G164" s="148"/>
      <c r="H164" s="149"/>
      <c r="I164" s="50"/>
      <c r="J164" s="135" t="s">
        <v>0</v>
      </c>
      <c r="K164" s="56"/>
      <c r="L164" s="1"/>
    </row>
    <row r="165" spans="1:12" ht="15">
      <c r="A165" s="145"/>
      <c r="B165" s="147"/>
      <c r="C165" s="148"/>
      <c r="D165" s="148"/>
      <c r="E165" s="148"/>
      <c r="F165" s="148"/>
      <c r="G165" s="148"/>
      <c r="H165" s="149"/>
      <c r="I165" s="50"/>
      <c r="J165" s="136"/>
      <c r="K165" s="56"/>
      <c r="L165" s="1"/>
    </row>
    <row r="166" spans="1:12" ht="15">
      <c r="A166" s="145"/>
      <c r="B166" s="147"/>
      <c r="C166" s="148"/>
      <c r="D166" s="148"/>
      <c r="E166" s="148"/>
      <c r="F166" s="148"/>
      <c r="G166" s="148"/>
      <c r="H166" s="149"/>
      <c r="I166" s="50"/>
      <c r="J166" s="136"/>
      <c r="K166" s="56"/>
      <c r="L166" s="1"/>
    </row>
    <row r="167" spans="1:12" ht="39.9" customHeight="1">
      <c r="A167" s="158">
        <v>6</v>
      </c>
      <c r="B167" s="132" t="s">
        <v>32</v>
      </c>
      <c r="C167" s="133"/>
      <c r="D167" s="133"/>
      <c r="E167" s="133"/>
      <c r="F167" s="133"/>
      <c r="G167" s="133"/>
      <c r="H167" s="134"/>
      <c r="I167" s="65"/>
      <c r="J167" s="49"/>
      <c r="K167" s="56"/>
      <c r="L167" s="1"/>
    </row>
    <row r="168" spans="1:12" ht="39.9" customHeight="1">
      <c r="A168" s="145"/>
      <c r="B168" s="139" t="s">
        <v>31</v>
      </c>
      <c r="C168" s="140"/>
      <c r="D168" s="140"/>
      <c r="E168" s="140"/>
      <c r="F168" s="140"/>
      <c r="G168" s="140"/>
      <c r="H168" s="141"/>
      <c r="I168" s="48" t="s">
        <v>2</v>
      </c>
      <c r="J168" s="49" t="s">
        <v>24</v>
      </c>
      <c r="K168" s="56"/>
      <c r="L168" s="1"/>
    </row>
    <row r="169" spans="1:12" ht="75">
      <c r="A169" s="145"/>
      <c r="B169" s="147"/>
      <c r="C169" s="148"/>
      <c r="D169" s="148"/>
      <c r="E169" s="148"/>
      <c r="F169" s="148"/>
      <c r="G169" s="148"/>
      <c r="H169" s="149"/>
      <c r="I169" s="48" t="s">
        <v>2</v>
      </c>
      <c r="J169" s="68" t="s">
        <v>30</v>
      </c>
      <c r="K169" s="56"/>
      <c r="L169" s="1"/>
    </row>
    <row r="170" spans="1:12" ht="15">
      <c r="A170" s="145"/>
      <c r="B170" s="147"/>
      <c r="C170" s="148"/>
      <c r="D170" s="148"/>
      <c r="E170" s="148"/>
      <c r="F170" s="148"/>
      <c r="G170" s="148"/>
      <c r="H170" s="149"/>
      <c r="I170" s="50"/>
      <c r="J170" s="135" t="s">
        <v>0</v>
      </c>
      <c r="K170" s="56"/>
      <c r="L170" s="1"/>
    </row>
    <row r="171" spans="1:12" ht="15">
      <c r="A171" s="145"/>
      <c r="B171" s="147"/>
      <c r="C171" s="148"/>
      <c r="D171" s="148"/>
      <c r="E171" s="148"/>
      <c r="F171" s="148"/>
      <c r="G171" s="148"/>
      <c r="H171" s="149"/>
      <c r="I171" s="50"/>
      <c r="J171" s="136"/>
      <c r="K171" s="56"/>
      <c r="L171" s="1"/>
    </row>
    <row r="172" spans="1:12" ht="15">
      <c r="A172" s="145"/>
      <c r="B172" s="147"/>
      <c r="C172" s="148"/>
      <c r="D172" s="148"/>
      <c r="E172" s="148"/>
      <c r="F172" s="148"/>
      <c r="G172" s="148"/>
      <c r="H172" s="149"/>
      <c r="I172" s="50"/>
      <c r="J172" s="136"/>
      <c r="K172" s="56"/>
      <c r="L172" s="1"/>
    </row>
    <row r="173" spans="1:12" ht="39.9" customHeight="1">
      <c r="A173" s="158">
        <v>7</v>
      </c>
      <c r="B173" s="132" t="s">
        <v>29</v>
      </c>
      <c r="C173" s="133"/>
      <c r="D173" s="133"/>
      <c r="E173" s="133"/>
      <c r="F173" s="133"/>
      <c r="G173" s="133"/>
      <c r="H173" s="134"/>
      <c r="I173" s="69"/>
      <c r="J173" s="47"/>
      <c r="K173" s="56"/>
      <c r="L173" s="1"/>
    </row>
    <row r="174" spans="1:12" ht="39.9" customHeight="1">
      <c r="A174" s="145"/>
      <c r="B174" s="169" t="s">
        <v>28</v>
      </c>
      <c r="C174" s="170"/>
      <c r="D174" s="170"/>
      <c r="E174" s="170"/>
      <c r="F174" s="170"/>
      <c r="G174" s="170"/>
      <c r="H174" s="171"/>
      <c r="I174" s="48" t="s">
        <v>2</v>
      </c>
      <c r="J174" s="49" t="s">
        <v>24</v>
      </c>
      <c r="K174" s="56"/>
      <c r="L174" s="1"/>
    </row>
    <row r="175" spans="1:12" ht="159.9" customHeight="1">
      <c r="A175" s="145"/>
      <c r="B175" s="169"/>
      <c r="C175" s="170"/>
      <c r="D175" s="170"/>
      <c r="E175" s="170"/>
      <c r="F175" s="170"/>
      <c r="G175" s="170"/>
      <c r="H175" s="171"/>
      <c r="I175" s="48" t="s">
        <v>2</v>
      </c>
      <c r="J175" s="68" t="s">
        <v>27</v>
      </c>
      <c r="K175" s="56"/>
      <c r="L175" s="1"/>
    </row>
    <row r="176" spans="1:12" ht="15">
      <c r="A176" s="145"/>
      <c r="B176" s="169"/>
      <c r="C176" s="170"/>
      <c r="D176" s="170"/>
      <c r="E176" s="170"/>
      <c r="F176" s="170"/>
      <c r="G176" s="170"/>
      <c r="H176" s="171"/>
      <c r="I176" s="50"/>
      <c r="J176" s="135" t="s">
        <v>0</v>
      </c>
      <c r="K176" s="56"/>
      <c r="L176" s="1"/>
    </row>
    <row r="177" spans="1:12" ht="15">
      <c r="A177" s="145"/>
      <c r="B177" s="169"/>
      <c r="C177" s="170"/>
      <c r="D177" s="170"/>
      <c r="E177" s="170"/>
      <c r="F177" s="170"/>
      <c r="G177" s="170"/>
      <c r="H177" s="171"/>
      <c r="I177" s="50"/>
      <c r="J177" s="136"/>
      <c r="K177" s="56"/>
      <c r="L177" s="1"/>
    </row>
    <row r="178" spans="1:12" ht="15">
      <c r="A178" s="162"/>
      <c r="B178" s="172"/>
      <c r="C178" s="173"/>
      <c r="D178" s="173"/>
      <c r="E178" s="173"/>
      <c r="F178" s="173"/>
      <c r="G178" s="173"/>
      <c r="H178" s="174"/>
      <c r="I178" s="67"/>
      <c r="J178" s="168"/>
      <c r="K178" s="56"/>
      <c r="L178" s="1"/>
    </row>
    <row r="179" spans="1:12" ht="20.149999999999999" customHeight="1">
      <c r="A179" s="154">
        <v>8</v>
      </c>
      <c r="B179" s="155" t="s">
        <v>26</v>
      </c>
      <c r="C179" s="156"/>
      <c r="D179" s="156"/>
      <c r="E179" s="156"/>
      <c r="F179" s="156"/>
      <c r="G179" s="156"/>
      <c r="H179" s="157"/>
      <c r="I179" s="75"/>
      <c r="J179" s="76"/>
      <c r="K179" s="56"/>
      <c r="L179" s="1"/>
    </row>
    <row r="180" spans="1:12" ht="39.9" customHeight="1">
      <c r="A180" s="145"/>
      <c r="B180" s="139" t="s">
        <v>25</v>
      </c>
      <c r="C180" s="140"/>
      <c r="D180" s="140"/>
      <c r="E180" s="140"/>
      <c r="F180" s="140"/>
      <c r="G180" s="140"/>
      <c r="H180" s="141"/>
      <c r="I180" s="48" t="s">
        <v>2</v>
      </c>
      <c r="J180" s="49" t="s">
        <v>24</v>
      </c>
      <c r="K180" s="56"/>
      <c r="L180" s="1"/>
    </row>
    <row r="181" spans="1:12" ht="60">
      <c r="A181" s="145"/>
      <c r="B181" s="147"/>
      <c r="C181" s="148"/>
      <c r="D181" s="148"/>
      <c r="E181" s="148"/>
      <c r="F181" s="148"/>
      <c r="G181" s="148"/>
      <c r="H181" s="149"/>
      <c r="I181" s="48" t="s">
        <v>2</v>
      </c>
      <c r="J181" s="68" t="s">
        <v>23</v>
      </c>
      <c r="K181" s="56"/>
      <c r="L181" s="1"/>
    </row>
    <row r="182" spans="1:12" ht="15">
      <c r="A182" s="145"/>
      <c r="B182" s="147"/>
      <c r="C182" s="148"/>
      <c r="D182" s="148"/>
      <c r="E182" s="148"/>
      <c r="F182" s="148"/>
      <c r="G182" s="148"/>
      <c r="H182" s="149"/>
      <c r="I182" s="50"/>
      <c r="J182" s="135" t="s">
        <v>0</v>
      </c>
      <c r="K182" s="56"/>
      <c r="L182" s="1"/>
    </row>
    <row r="183" spans="1:12" ht="15">
      <c r="A183" s="145"/>
      <c r="B183" s="147"/>
      <c r="C183" s="148"/>
      <c r="D183" s="148"/>
      <c r="E183" s="148"/>
      <c r="F183" s="148"/>
      <c r="G183" s="148"/>
      <c r="H183" s="149"/>
      <c r="I183" s="50"/>
      <c r="J183" s="136"/>
      <c r="K183" s="56"/>
      <c r="L183" s="1"/>
    </row>
    <row r="184" spans="1:12" ht="15">
      <c r="A184" s="145"/>
      <c r="B184" s="147"/>
      <c r="C184" s="148"/>
      <c r="D184" s="148"/>
      <c r="E184" s="148"/>
      <c r="F184" s="148"/>
      <c r="G184" s="148"/>
      <c r="H184" s="149"/>
      <c r="I184" s="50"/>
      <c r="J184" s="136"/>
      <c r="K184" s="56"/>
      <c r="L184" s="1"/>
    </row>
    <row r="185" spans="1:12" ht="15">
      <c r="A185" s="146"/>
      <c r="B185" s="150"/>
      <c r="C185" s="151"/>
      <c r="D185" s="151"/>
      <c r="E185" s="151"/>
      <c r="F185" s="151"/>
      <c r="G185" s="151"/>
      <c r="H185" s="152"/>
      <c r="I185" s="51"/>
      <c r="J185" s="153"/>
      <c r="K185" s="56"/>
      <c r="L185" s="1"/>
    </row>
    <row r="186" spans="1:12" ht="20.149999999999999" customHeight="1">
      <c r="A186" s="158">
        <v>9</v>
      </c>
      <c r="B186" s="132" t="s">
        <v>22</v>
      </c>
      <c r="C186" s="133"/>
      <c r="D186" s="133"/>
      <c r="E186" s="133"/>
      <c r="F186" s="133"/>
      <c r="G186" s="133"/>
      <c r="H186" s="134"/>
      <c r="I186" s="69"/>
      <c r="J186" s="47"/>
      <c r="K186" s="56"/>
      <c r="L186" s="1"/>
    </row>
    <row r="187" spans="1:12" ht="39.9" customHeight="1">
      <c r="A187" s="145"/>
      <c r="B187" s="139" t="s">
        <v>21</v>
      </c>
      <c r="C187" s="140"/>
      <c r="D187" s="140"/>
      <c r="E187" s="140"/>
      <c r="F187" s="140"/>
      <c r="G187" s="140"/>
      <c r="H187" s="141"/>
      <c r="I187" s="48" t="s">
        <v>2</v>
      </c>
      <c r="J187" s="49" t="s">
        <v>20</v>
      </c>
      <c r="K187" s="56"/>
      <c r="L187" s="1"/>
    </row>
    <row r="188" spans="1:12" ht="30">
      <c r="A188" s="145"/>
      <c r="B188" s="147"/>
      <c r="C188" s="148"/>
      <c r="D188" s="148"/>
      <c r="E188" s="148"/>
      <c r="F188" s="148"/>
      <c r="G188" s="148"/>
      <c r="H188" s="149"/>
      <c r="I188" s="48" t="s">
        <v>2</v>
      </c>
      <c r="J188" s="68" t="s">
        <v>19</v>
      </c>
      <c r="K188" s="56"/>
      <c r="L188" s="1"/>
    </row>
    <row r="189" spans="1:12" ht="30">
      <c r="A189" s="145"/>
      <c r="B189" s="147"/>
      <c r="C189" s="148"/>
      <c r="D189" s="148"/>
      <c r="E189" s="148"/>
      <c r="F189" s="148"/>
      <c r="G189" s="148"/>
      <c r="H189" s="149"/>
      <c r="I189" s="48" t="s">
        <v>2</v>
      </c>
      <c r="J189" s="68" t="s">
        <v>18</v>
      </c>
      <c r="K189" s="56"/>
      <c r="L189" s="1"/>
    </row>
    <row r="190" spans="1:12" ht="30">
      <c r="A190" s="145"/>
      <c r="B190" s="147"/>
      <c r="C190" s="148"/>
      <c r="D190" s="148"/>
      <c r="E190" s="148"/>
      <c r="F190" s="148"/>
      <c r="G190" s="148"/>
      <c r="H190" s="149"/>
      <c r="I190" s="48" t="s">
        <v>2</v>
      </c>
      <c r="J190" s="68" t="s">
        <v>17</v>
      </c>
      <c r="K190" s="56"/>
      <c r="L190" s="1"/>
    </row>
    <row r="191" spans="1:12" ht="15">
      <c r="A191" s="145"/>
      <c r="B191" s="147"/>
      <c r="C191" s="148"/>
      <c r="D191" s="148"/>
      <c r="E191" s="148"/>
      <c r="F191" s="148"/>
      <c r="G191" s="148"/>
      <c r="H191" s="149"/>
      <c r="I191" s="50"/>
      <c r="J191" s="135" t="s">
        <v>0</v>
      </c>
      <c r="K191" s="56"/>
      <c r="L191" s="1"/>
    </row>
    <row r="192" spans="1:12" ht="15">
      <c r="A192" s="145"/>
      <c r="B192" s="147"/>
      <c r="C192" s="148"/>
      <c r="D192" s="148"/>
      <c r="E192" s="148"/>
      <c r="F192" s="148"/>
      <c r="G192" s="148"/>
      <c r="H192" s="149"/>
      <c r="I192" s="50"/>
      <c r="J192" s="136"/>
      <c r="K192" s="56"/>
      <c r="L192" s="1"/>
    </row>
    <row r="193" spans="1:12" ht="15">
      <c r="A193" s="145"/>
      <c r="B193" s="147"/>
      <c r="C193" s="148"/>
      <c r="D193" s="148"/>
      <c r="E193" s="148"/>
      <c r="F193" s="148"/>
      <c r="G193" s="148"/>
      <c r="H193" s="149"/>
      <c r="I193" s="50"/>
      <c r="J193" s="136"/>
      <c r="K193" s="56"/>
      <c r="L193" s="1"/>
    </row>
    <row r="194" spans="1:12" ht="15">
      <c r="A194" s="162"/>
      <c r="B194" s="150"/>
      <c r="C194" s="151"/>
      <c r="D194" s="151"/>
      <c r="E194" s="151"/>
      <c r="F194" s="151"/>
      <c r="G194" s="151"/>
      <c r="H194" s="152"/>
      <c r="I194" s="67"/>
      <c r="J194" s="168"/>
      <c r="K194" s="56"/>
      <c r="L194" s="1"/>
    </row>
    <row r="195" spans="1:12" ht="15">
      <c r="A195" s="21"/>
      <c r="K195" s="56"/>
      <c r="L195" s="1"/>
    </row>
    <row r="196" spans="1:12" ht="20.149999999999999" customHeight="1">
      <c r="A196" s="79" t="s">
        <v>15</v>
      </c>
      <c r="B196" s="79"/>
      <c r="C196" s="79"/>
      <c r="D196" s="79"/>
      <c r="E196" s="79"/>
      <c r="F196" s="79"/>
      <c r="G196" s="79"/>
      <c r="H196" s="79"/>
      <c r="I196" s="79"/>
      <c r="J196" s="79"/>
      <c r="K196" s="56"/>
      <c r="L196" s="1"/>
    </row>
    <row r="197" spans="1:12" ht="20.149999999999999" customHeight="1">
      <c r="A197" s="40"/>
      <c r="B197" s="40"/>
      <c r="C197" s="40"/>
      <c r="D197" s="40"/>
      <c r="E197" s="40"/>
      <c r="F197" s="40"/>
      <c r="G197" s="40"/>
      <c r="H197" s="40"/>
      <c r="I197" s="40"/>
      <c r="J197" s="40"/>
      <c r="K197" s="56"/>
      <c r="L197" s="1"/>
    </row>
    <row r="198" spans="1:12" ht="20.149999999999999" customHeight="1">
      <c r="G198" s="176" t="str">
        <f>기본입력!C7</f>
        <v>XX accounting corporation</v>
      </c>
      <c r="H198" s="176"/>
      <c r="I198" s="176"/>
      <c r="J198" s="176"/>
      <c r="K198" s="176"/>
      <c r="L198" s="1"/>
    </row>
    <row r="199" spans="1:12" ht="20.149999999999999" customHeight="1">
      <c r="F199" s="170" t="s">
        <v>8</v>
      </c>
      <c r="G199" s="170"/>
      <c r="H199" s="170"/>
      <c r="I199" s="175"/>
      <c r="J199" s="70"/>
      <c r="L199" s="1"/>
    </row>
    <row r="200" spans="1:12" ht="20.149999999999999" customHeight="1">
      <c r="F200" s="170" t="s">
        <v>7</v>
      </c>
      <c r="G200" s="170"/>
      <c r="H200" s="170"/>
      <c r="I200" s="175"/>
      <c r="J200" s="70"/>
      <c r="L200" s="1"/>
    </row>
    <row r="201" spans="1:12" ht="31.5" customHeight="1">
      <c r="F201" s="170" t="s">
        <v>6</v>
      </c>
      <c r="G201" s="170"/>
      <c r="H201" s="170"/>
      <c r="I201" s="175"/>
      <c r="J201" s="70"/>
      <c r="L201" s="1"/>
    </row>
    <row r="202" spans="1:12" ht="20.149999999999999" customHeight="1">
      <c r="A202" s="44" t="s">
        <v>14</v>
      </c>
      <c r="L202" s="1"/>
    </row>
    <row r="203" spans="1:12" ht="20.149999999999999" customHeight="1">
      <c r="A203" s="44" t="s">
        <v>13</v>
      </c>
      <c r="L203" s="1"/>
    </row>
    <row r="204" spans="1:12" ht="20.149999999999999" customHeight="1">
      <c r="A204" s="40"/>
      <c r="L204" s="1"/>
    </row>
    <row r="205" spans="1:12" s="5" customFormat="1" ht="39.9" customHeight="1">
      <c r="A205" s="177" t="s">
        <v>146</v>
      </c>
      <c r="B205" s="177"/>
      <c r="C205" s="177"/>
      <c r="D205" s="177"/>
      <c r="E205" s="177"/>
      <c r="F205" s="177"/>
      <c r="G205" s="177"/>
      <c r="H205" s="177"/>
      <c r="I205" s="177"/>
      <c r="J205" s="177"/>
      <c r="K205" s="177"/>
    </row>
    <row r="206" spans="1:12" ht="39.9" customHeight="1">
      <c r="A206" s="71"/>
      <c r="L206" s="1"/>
    </row>
    <row r="207" spans="1:12" ht="20.149999999999999" customHeight="1">
      <c r="A207" s="44" t="s">
        <v>12</v>
      </c>
      <c r="L207" s="1"/>
    </row>
    <row r="208" spans="1:12" ht="20.149999999999999" customHeight="1">
      <c r="A208" s="78" t="s">
        <v>160</v>
      </c>
      <c r="B208" s="78"/>
      <c r="C208" s="78"/>
      <c r="D208" s="78"/>
      <c r="E208" s="78"/>
      <c r="F208" s="78"/>
      <c r="G208" s="78"/>
      <c r="H208" s="78"/>
      <c r="I208" s="78"/>
      <c r="J208" s="78"/>
      <c r="K208" s="78"/>
      <c r="L208" s="1"/>
    </row>
    <row r="209" spans="1:12" ht="20.149999999999999" customHeight="1">
      <c r="A209" s="40"/>
      <c r="L209" s="1"/>
    </row>
    <row r="210" spans="1:12" ht="39.9" customHeight="1">
      <c r="A210" s="87" t="s">
        <v>11</v>
      </c>
      <c r="B210" s="87"/>
      <c r="C210" s="87"/>
      <c r="D210" s="87"/>
      <c r="E210" s="87"/>
      <c r="F210" s="87"/>
      <c r="G210" s="87"/>
      <c r="H210" s="87"/>
      <c r="I210" s="87"/>
      <c r="J210" s="87"/>
      <c r="K210" s="87"/>
      <c r="L210" s="1"/>
    </row>
    <row r="211" spans="1:12" ht="15">
      <c r="A211" s="40"/>
      <c r="L211" s="1"/>
    </row>
    <row r="212" spans="1:12" ht="200.15" customHeight="1">
      <c r="A212" s="82" t="s">
        <v>161</v>
      </c>
      <c r="B212" s="82"/>
      <c r="C212" s="82"/>
      <c r="D212" s="82"/>
      <c r="E212" s="82"/>
      <c r="F212" s="82"/>
      <c r="G212" s="82"/>
      <c r="H212" s="82"/>
      <c r="I212" s="82"/>
      <c r="J212" s="82"/>
      <c r="K212" s="82"/>
      <c r="L212" s="1"/>
    </row>
    <row r="213" spans="1:12" ht="15">
      <c r="A213" s="21"/>
      <c r="L213" s="1"/>
    </row>
    <row r="214" spans="1:12" ht="279.89999999999998" customHeight="1">
      <c r="A214" s="82" t="s">
        <v>162</v>
      </c>
      <c r="B214" s="82"/>
      <c r="C214" s="82"/>
      <c r="D214" s="82"/>
      <c r="E214" s="82"/>
      <c r="F214" s="82"/>
      <c r="G214" s="82"/>
      <c r="H214" s="82"/>
      <c r="I214" s="82"/>
      <c r="J214" s="82"/>
      <c r="K214" s="82"/>
      <c r="L214" s="1"/>
    </row>
    <row r="215" spans="1:12" ht="39.9" customHeight="1">
      <c r="A215" s="178" t="s">
        <v>10</v>
      </c>
      <c r="B215" s="178"/>
      <c r="C215" s="178"/>
      <c r="D215" s="178"/>
      <c r="E215" s="178"/>
      <c r="F215" s="178"/>
      <c r="G215" s="178"/>
      <c r="H215" s="178"/>
      <c r="I215" s="178"/>
      <c r="J215" s="178"/>
      <c r="K215" s="178"/>
      <c r="L215" s="1"/>
    </row>
    <row r="216" spans="1:12" ht="15">
      <c r="A216" s="21"/>
      <c r="L216" s="1"/>
    </row>
    <row r="217" spans="1:12" ht="159.9" customHeight="1">
      <c r="A217" s="82" t="s">
        <v>163</v>
      </c>
      <c r="B217" s="82"/>
      <c r="C217" s="82"/>
      <c r="D217" s="82"/>
      <c r="E217" s="82"/>
      <c r="F217" s="82"/>
      <c r="G217" s="82"/>
      <c r="H217" s="82"/>
      <c r="I217" s="82"/>
      <c r="J217" s="82"/>
      <c r="K217" s="82"/>
      <c r="L217" s="1"/>
    </row>
    <row r="218" spans="1:12" ht="15">
      <c r="A218" s="21"/>
      <c r="L218" s="1"/>
    </row>
    <row r="219" spans="1:12" ht="159.9" customHeight="1">
      <c r="A219" s="82" t="s">
        <v>164</v>
      </c>
      <c r="B219" s="82"/>
      <c r="C219" s="82"/>
      <c r="D219" s="82"/>
      <c r="E219" s="82"/>
      <c r="F219" s="82"/>
      <c r="G219" s="82"/>
      <c r="H219" s="82"/>
      <c r="I219" s="82"/>
      <c r="J219" s="82"/>
      <c r="K219" s="82"/>
      <c r="L219" s="1"/>
    </row>
    <row r="220" spans="1:12" ht="15">
      <c r="A220" s="21"/>
      <c r="L220" s="1"/>
    </row>
    <row r="221" spans="1:12" ht="39.9" customHeight="1">
      <c r="A221" s="180" t="s">
        <v>9</v>
      </c>
      <c r="B221" s="180"/>
      <c r="C221" s="180"/>
      <c r="D221" s="180"/>
      <c r="E221" s="180"/>
      <c r="F221" s="180"/>
      <c r="G221" s="180"/>
      <c r="H221" s="180"/>
      <c r="I221" s="180"/>
      <c r="J221" s="180"/>
      <c r="K221" s="180"/>
      <c r="L221" s="1"/>
    </row>
    <row r="222" spans="1:12" ht="15">
      <c r="A222" s="21"/>
      <c r="L222" s="1"/>
    </row>
    <row r="223" spans="1:12" ht="99.9" customHeight="1">
      <c r="A223" s="82" t="s">
        <v>165</v>
      </c>
      <c r="B223" s="82"/>
      <c r="C223" s="82"/>
      <c r="D223" s="82"/>
      <c r="E223" s="82"/>
      <c r="F223" s="82"/>
      <c r="G223" s="82"/>
      <c r="H223" s="82"/>
      <c r="I223" s="82"/>
      <c r="J223" s="82"/>
      <c r="K223" s="82"/>
      <c r="L223" s="1"/>
    </row>
    <row r="224" spans="1:12" ht="20.149999999999999" customHeight="1">
      <c r="A224" s="21"/>
      <c r="L224" s="1"/>
    </row>
    <row r="225" spans="1:12" ht="20.149999999999999" customHeight="1">
      <c r="G225" s="179" t="str">
        <f>기본입력!C7</f>
        <v>XX accounting corporation</v>
      </c>
      <c r="H225" s="179"/>
      <c r="I225" s="179"/>
      <c r="J225" s="179"/>
      <c r="K225" s="179"/>
      <c r="L225" s="1"/>
    </row>
    <row r="226" spans="1:12" ht="20.149999999999999" customHeight="1">
      <c r="F226" s="170" t="s">
        <v>8</v>
      </c>
      <c r="G226" s="170"/>
      <c r="H226" s="170"/>
      <c r="I226" s="175"/>
      <c r="J226" s="70"/>
      <c r="L226" s="1"/>
    </row>
    <row r="227" spans="1:12" ht="20.149999999999999" customHeight="1">
      <c r="F227" s="170" t="s">
        <v>7</v>
      </c>
      <c r="G227" s="170"/>
      <c r="H227" s="170"/>
      <c r="I227" s="175"/>
      <c r="J227" s="70"/>
      <c r="L227" s="1"/>
    </row>
    <row r="228" spans="1:12" ht="36.75" customHeight="1">
      <c r="F228" s="170" t="s">
        <v>6</v>
      </c>
      <c r="G228" s="170"/>
      <c r="H228" s="170"/>
      <c r="I228" s="175"/>
      <c r="J228" s="70"/>
      <c r="L228" s="1"/>
    </row>
    <row r="229" spans="1:12" ht="20.149999999999999" customHeight="1">
      <c r="A229" s="44" t="s">
        <v>5</v>
      </c>
      <c r="L229" s="1"/>
    </row>
    <row r="230" spans="1:12" ht="20.149999999999999" customHeight="1">
      <c r="A230" s="117" t="s">
        <v>4</v>
      </c>
      <c r="B230" s="117"/>
      <c r="C230" s="117"/>
      <c r="D230" s="117"/>
      <c r="E230" s="117"/>
      <c r="F230" s="117"/>
      <c r="G230" s="117"/>
      <c r="H230" s="117"/>
      <c r="I230" s="117"/>
      <c r="J230" s="117"/>
      <c r="K230" s="117"/>
      <c r="L230" s="1"/>
    </row>
    <row r="231" spans="1:12" ht="20.149999999999999" customHeight="1">
      <c r="A231" s="40"/>
      <c r="L231" s="1"/>
    </row>
    <row r="232" spans="1:12" ht="20.149999999999999" customHeight="1">
      <c r="A232" s="81" t="s">
        <v>166</v>
      </c>
      <c r="B232" s="81"/>
      <c r="C232" s="81"/>
      <c r="D232" s="81"/>
      <c r="E232" s="81"/>
      <c r="F232" s="81"/>
      <c r="G232" s="81"/>
      <c r="H232" s="81"/>
      <c r="I232" s="81"/>
      <c r="J232" s="81"/>
      <c r="K232" s="81"/>
      <c r="L232" s="1"/>
    </row>
    <row r="233" spans="1:12" ht="20.149999999999999" customHeight="1">
      <c r="A233" s="40"/>
      <c r="L233" s="1"/>
    </row>
    <row r="234" spans="1:12" ht="20.149999999999999" customHeight="1">
      <c r="A234" s="40"/>
      <c r="L234" s="1"/>
    </row>
    <row r="235" spans="1:12" ht="44.25" customHeight="1">
      <c r="A235" s="82" t="str">
        <f>"We performed the subsequent events procedures as requested from reporting period to "&amp;TEXT(기본입력!B14,"mmm d,yyyy")&amp;" in accordance with the auditing standards generally accepted in Korea.(*) Required date for review after reporting period"</f>
        <v>We performed the subsequent events procedures as requested from reporting period to Feb 28,2019 in accordance with the auditing standards generally accepted in Korea.(*) Required date for review after reporting period</v>
      </c>
      <c r="B235" s="82"/>
      <c r="C235" s="82"/>
      <c r="D235" s="82"/>
      <c r="E235" s="82"/>
      <c r="F235" s="82"/>
      <c r="G235" s="82"/>
      <c r="H235" s="82"/>
      <c r="I235" s="82"/>
      <c r="J235" s="82"/>
      <c r="K235" s="82"/>
      <c r="L235" s="1"/>
    </row>
    <row r="236" spans="1:12" ht="15">
      <c r="A236" s="40"/>
      <c r="L236" s="1"/>
    </row>
    <row r="237" spans="1:12" ht="20.149999999999999" customHeight="1">
      <c r="A237" s="55" t="s">
        <v>2</v>
      </c>
      <c r="B237" s="183" t="s">
        <v>3</v>
      </c>
      <c r="C237" s="183"/>
      <c r="D237" s="183"/>
      <c r="E237" s="183"/>
      <c r="F237" s="183"/>
      <c r="G237" s="183"/>
      <c r="H237" s="183"/>
      <c r="I237" s="183"/>
      <c r="J237" s="183"/>
      <c r="K237" s="183"/>
      <c r="L237" s="1"/>
    </row>
    <row r="238" spans="1:12" ht="20.149999999999999" customHeight="1">
      <c r="A238" s="55" t="s">
        <v>2</v>
      </c>
      <c r="B238" s="183" t="s">
        <v>1</v>
      </c>
      <c r="C238" s="183"/>
      <c r="D238" s="183"/>
      <c r="E238" s="183"/>
      <c r="F238" s="183"/>
      <c r="G238" s="183"/>
      <c r="H238" s="183"/>
      <c r="I238" s="183"/>
      <c r="J238" s="183"/>
      <c r="K238" s="183"/>
      <c r="L238" s="1"/>
    </row>
    <row r="239" spans="1:12" ht="20.149999999999999" customHeight="1">
      <c r="A239" s="181"/>
      <c r="B239" s="182" t="s">
        <v>0</v>
      </c>
      <c r="C239" s="182"/>
      <c r="D239" s="182"/>
      <c r="E239" s="182"/>
      <c r="F239" s="182"/>
      <c r="G239" s="182"/>
      <c r="H239" s="182"/>
      <c r="I239" s="182"/>
      <c r="J239" s="182"/>
      <c r="K239" s="182"/>
      <c r="L239" s="1"/>
    </row>
    <row r="240" spans="1:12" ht="20.149999999999999" customHeight="1">
      <c r="A240" s="181"/>
      <c r="B240" s="182"/>
      <c r="C240" s="182"/>
      <c r="D240" s="182"/>
      <c r="E240" s="182"/>
      <c r="F240" s="182"/>
      <c r="G240" s="182"/>
      <c r="H240" s="182"/>
      <c r="I240" s="182"/>
      <c r="J240" s="182"/>
      <c r="K240" s="182"/>
      <c r="L240" s="1"/>
    </row>
    <row r="241" spans="1:12" ht="20.149999999999999" customHeight="1">
      <c r="A241" s="181"/>
      <c r="B241" s="182"/>
      <c r="C241" s="182"/>
      <c r="D241" s="182"/>
      <c r="E241" s="182"/>
      <c r="F241" s="182"/>
      <c r="G241" s="182"/>
      <c r="H241" s="182"/>
      <c r="I241" s="182"/>
      <c r="J241" s="182"/>
      <c r="K241" s="182"/>
      <c r="L241" s="1"/>
    </row>
    <row r="242" spans="1:12" ht="20.149999999999999" customHeight="1">
      <c r="A242" s="181"/>
      <c r="B242" s="182"/>
      <c r="C242" s="182"/>
      <c r="D242" s="182"/>
      <c r="E242" s="182"/>
      <c r="F242" s="182"/>
      <c r="G242" s="182"/>
      <c r="H242" s="182"/>
      <c r="I242" s="182"/>
      <c r="J242" s="182"/>
      <c r="K242" s="182"/>
      <c r="L242" s="1"/>
    </row>
    <row r="243" spans="1:12" ht="20.149999999999999" customHeight="1">
      <c r="A243" s="40"/>
      <c r="G243" s="176" t="str">
        <f>기본입력!C7</f>
        <v>XX accounting corporation</v>
      </c>
      <c r="H243" s="176"/>
      <c r="I243" s="176"/>
      <c r="J243" s="176"/>
      <c r="K243" s="176"/>
      <c r="L243" s="1"/>
    </row>
    <row r="244" spans="1:12" ht="20.149999999999999" customHeight="1">
      <c r="A244" s="72"/>
      <c r="F244" s="170" t="s">
        <v>8</v>
      </c>
      <c r="G244" s="170"/>
      <c r="H244" s="170"/>
      <c r="I244" s="175"/>
      <c r="J244" s="70"/>
      <c r="L244" s="1"/>
    </row>
    <row r="245" spans="1:12" ht="20.149999999999999" customHeight="1">
      <c r="A245" s="21"/>
      <c r="F245" s="170" t="s">
        <v>7</v>
      </c>
      <c r="G245" s="170"/>
      <c r="H245" s="170"/>
      <c r="I245" s="175"/>
      <c r="J245" s="70"/>
      <c r="L245" s="1"/>
    </row>
    <row r="246" spans="1:12" ht="39.9" customHeight="1">
      <c r="F246" s="170" t="s">
        <v>6</v>
      </c>
      <c r="G246" s="170"/>
      <c r="H246" s="170"/>
      <c r="I246" s="175"/>
      <c r="J246" s="70"/>
    </row>
  </sheetData>
  <mergeCells count="175">
    <mergeCell ref="G243:K243"/>
    <mergeCell ref="F246:I246"/>
    <mergeCell ref="F245:I245"/>
    <mergeCell ref="F244:I244"/>
    <mergeCell ref="A239:A242"/>
    <mergeCell ref="B239:K242"/>
    <mergeCell ref="A230:K230"/>
    <mergeCell ref="A232:K232"/>
    <mergeCell ref="A235:K235"/>
    <mergeCell ref="B237:K237"/>
    <mergeCell ref="B238:K238"/>
    <mergeCell ref="A215:K215"/>
    <mergeCell ref="G225:K225"/>
    <mergeCell ref="F228:I228"/>
    <mergeCell ref="F227:I227"/>
    <mergeCell ref="F226:I226"/>
    <mergeCell ref="A214:K214"/>
    <mergeCell ref="A217:K217"/>
    <mergeCell ref="A219:K219"/>
    <mergeCell ref="A221:K221"/>
    <mergeCell ref="A223:K223"/>
    <mergeCell ref="A196:J196"/>
    <mergeCell ref="A212:K212"/>
    <mergeCell ref="A208:K208"/>
    <mergeCell ref="F199:I199"/>
    <mergeCell ref="F201:I201"/>
    <mergeCell ref="F200:I200"/>
    <mergeCell ref="G198:K198"/>
    <mergeCell ref="A205:K205"/>
    <mergeCell ref="A210:K210"/>
    <mergeCell ref="A173:A178"/>
    <mergeCell ref="B173:H173"/>
    <mergeCell ref="J176:J178"/>
    <mergeCell ref="A179:A185"/>
    <mergeCell ref="B169:H172"/>
    <mergeCell ref="J170:J172"/>
    <mergeCell ref="A186:A194"/>
    <mergeCell ref="B186:H186"/>
    <mergeCell ref="B187:H187"/>
    <mergeCell ref="B188:H194"/>
    <mergeCell ref="J191:J194"/>
    <mergeCell ref="B179:H179"/>
    <mergeCell ref="B180:H180"/>
    <mergeCell ref="B181:H185"/>
    <mergeCell ref="B174:H178"/>
    <mergeCell ref="J182:J185"/>
    <mergeCell ref="A161:A166"/>
    <mergeCell ref="B161:H161"/>
    <mergeCell ref="B162:H162"/>
    <mergeCell ref="B163:H166"/>
    <mergeCell ref="J164:J166"/>
    <mergeCell ref="A167:A172"/>
    <mergeCell ref="B167:H167"/>
    <mergeCell ref="B168:H168"/>
    <mergeCell ref="B142:G142"/>
    <mergeCell ref="A143:A147"/>
    <mergeCell ref="B143:C143"/>
    <mergeCell ref="D143:E143"/>
    <mergeCell ref="F143:G143"/>
    <mergeCell ref="B147:G147"/>
    <mergeCell ref="J151:J153"/>
    <mergeCell ref="A154:A160"/>
    <mergeCell ref="B154:H154"/>
    <mergeCell ref="B155:H155"/>
    <mergeCell ref="B156:H160"/>
    <mergeCell ref="J157:J160"/>
    <mergeCell ref="A148:A153"/>
    <mergeCell ref="B148:H148"/>
    <mergeCell ref="B149:H149"/>
    <mergeCell ref="B150:H153"/>
    <mergeCell ref="B134:H134"/>
    <mergeCell ref="J137:J139"/>
    <mergeCell ref="A140:A141"/>
    <mergeCell ref="B140:H140"/>
    <mergeCell ref="B141:H141"/>
    <mergeCell ref="A127:A133"/>
    <mergeCell ref="B127:H127"/>
    <mergeCell ref="A135:A139"/>
    <mergeCell ref="B135:H139"/>
    <mergeCell ref="B128:H128"/>
    <mergeCell ref="B129:H133"/>
    <mergeCell ref="J130:J133"/>
    <mergeCell ref="A123:K123"/>
    <mergeCell ref="A125:K125"/>
    <mergeCell ref="B126:H126"/>
    <mergeCell ref="I126:J126"/>
    <mergeCell ref="B106:K106"/>
    <mergeCell ref="B107:K107"/>
    <mergeCell ref="B108:K108"/>
    <mergeCell ref="B112:K112"/>
    <mergeCell ref="A111:A112"/>
    <mergeCell ref="B114:K114"/>
    <mergeCell ref="A113:A114"/>
    <mergeCell ref="I118:J118"/>
    <mergeCell ref="I119:J119"/>
    <mergeCell ref="I120:J120"/>
    <mergeCell ref="B109:K109"/>
    <mergeCell ref="B110:K110"/>
    <mergeCell ref="B111:K111"/>
    <mergeCell ref="B113:K113"/>
    <mergeCell ref="A115:K115"/>
    <mergeCell ref="I117:K117"/>
    <mergeCell ref="A103:K103"/>
    <mergeCell ref="B105:K105"/>
    <mergeCell ref="A74:K74"/>
    <mergeCell ref="A75:K75"/>
    <mergeCell ref="A76:I76"/>
    <mergeCell ref="A77:I77"/>
    <mergeCell ref="A78:I78"/>
    <mergeCell ref="A79:I79"/>
    <mergeCell ref="A80:I80"/>
    <mergeCell ref="A81:I81"/>
    <mergeCell ref="A96:K96"/>
    <mergeCell ref="A98:K98"/>
    <mergeCell ref="A70:C71"/>
    <mergeCell ref="D70:G70"/>
    <mergeCell ref="H70:K70"/>
    <mergeCell ref="D71:G71"/>
    <mergeCell ref="H71:K71"/>
    <mergeCell ref="A101:K101"/>
    <mergeCell ref="A83:K83"/>
    <mergeCell ref="A84:K84"/>
    <mergeCell ref="A85:K85"/>
    <mergeCell ref="A86:K86"/>
    <mergeCell ref="A87:K87"/>
    <mergeCell ref="A88:K88"/>
    <mergeCell ref="A89:K89"/>
    <mergeCell ref="A90:K90"/>
    <mergeCell ref="A91:K91"/>
    <mergeCell ref="A94:K94"/>
    <mergeCell ref="A57:C60"/>
    <mergeCell ref="D57:K60"/>
    <mergeCell ref="A51:C51"/>
    <mergeCell ref="D51:K51"/>
    <mergeCell ref="A52:C52"/>
    <mergeCell ref="D52:K52"/>
    <mergeCell ref="A53:C56"/>
    <mergeCell ref="D53:K56"/>
    <mergeCell ref="A68:C69"/>
    <mergeCell ref="D68:K69"/>
    <mergeCell ref="A62:K62"/>
    <mergeCell ref="A63:C63"/>
    <mergeCell ref="D63:K63"/>
    <mergeCell ref="A64:C64"/>
    <mergeCell ref="D64:K64"/>
    <mergeCell ref="A65:C65"/>
    <mergeCell ref="D65:K65"/>
    <mergeCell ref="A66:C66"/>
    <mergeCell ref="D66:K66"/>
    <mergeCell ref="A67:C67"/>
    <mergeCell ref="D67:K67"/>
    <mergeCell ref="A1:K2"/>
    <mergeCell ref="A6:K6"/>
    <mergeCell ref="A12:K12"/>
    <mergeCell ref="A13:K13"/>
    <mergeCell ref="A15:K15"/>
    <mergeCell ref="A48:K48"/>
    <mergeCell ref="A72:C72"/>
    <mergeCell ref="D72:K72"/>
    <mergeCell ref="A17:K17"/>
    <mergeCell ref="A19:K19"/>
    <mergeCell ref="A45:K45"/>
    <mergeCell ref="A47:K47"/>
    <mergeCell ref="A50:K50"/>
    <mergeCell ref="A25:K25"/>
    <mergeCell ref="A26:K26"/>
    <mergeCell ref="A27:K27"/>
    <mergeCell ref="A28:K28"/>
    <mergeCell ref="A21:K21"/>
    <mergeCell ref="A23:K23"/>
    <mergeCell ref="A24:K24"/>
    <mergeCell ref="A30:K30"/>
    <mergeCell ref="B34:D34"/>
    <mergeCell ref="A37:K37"/>
    <mergeCell ref="A39:K39"/>
  </mergeCells>
  <phoneticPr fontId="3" type="noConversion"/>
  <pageMargins left="0.70866141732283472" right="0.70866141732283472" top="0.74803149606299213" bottom="0.74803149606299213" header="0.31496062992125984" footer="0.31496062992125984"/>
  <pageSetup paperSize="9" fitToHeight="12" orientation="portrait" r:id="rId1"/>
  <headerFooter>
    <oddFooter>&amp;R&amp;"-,굵게"&amp;12조서번호:&amp;A&amp; -&amp;P</oddFooter>
  </headerFooter>
  <rowBreaks count="10" manualBreakCount="10">
    <brk id="44" max="16383" man="1"/>
    <brk id="69" max="10" man="1"/>
    <brk id="93" max="16383" man="1"/>
    <brk id="121" max="16383" man="1"/>
    <brk id="147" max="16383" man="1"/>
    <brk id="160" max="10" man="1"/>
    <brk id="178" max="10" man="1"/>
    <brk id="201" max="16383" man="1"/>
    <brk id="206" max="16383" man="1"/>
    <brk id="22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기본입력</vt:lpstr>
      <vt:lpstr>7410E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shyi</dc:creator>
  <cp:lastModifiedBy>Datalobby</cp:lastModifiedBy>
  <cp:lastPrinted>2016-09-25T07:02:49Z</cp:lastPrinted>
  <dcterms:created xsi:type="dcterms:W3CDTF">2014-10-23T05:57:18Z</dcterms:created>
  <dcterms:modified xsi:type="dcterms:W3CDTF">2021-09-23T01:58:52Z</dcterms:modified>
</cp:coreProperties>
</file>