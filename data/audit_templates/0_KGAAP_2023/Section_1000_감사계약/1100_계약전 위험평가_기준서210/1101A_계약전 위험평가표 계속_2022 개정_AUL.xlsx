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BBD7A1DA-B8CD-4B89-9C30-4B2F49670054}" xr6:coauthVersionLast="47" xr6:coauthVersionMax="47" xr10:uidLastSave="{00000000-0000-0000-0000-000000000000}"/>
  <bookViews>
    <workbookView xWindow="4605" yWindow="-15495" windowWidth="24225" windowHeight="15495" xr2:uid="{F163EAFB-2B8B-4D1C-9B84-961011EB2DF0}"/>
  </bookViews>
  <sheets>
    <sheet name="1101A" sheetId="2" r:id="rId1"/>
  </sheets>
  <definedNames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hidden="1">#REF!</definedName>
    <definedName name="XREF_COLUMN_34" hidden="1">#N/A</definedName>
    <definedName name="XREF_COLUMN_36" hidden="1">#N/A</definedName>
    <definedName name="XREF_COLUMN_37" hidden="1">#REF!</definedName>
    <definedName name="XREF_COLUMN_46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hidden="1">#REF!</definedName>
    <definedName name="XRefCopy86" hidden="1">#REF!</definedName>
    <definedName name="XRefCopy88" hidden="1">#REF!</definedName>
    <definedName name="XRefCopy89" hidden="1">#REF!</definedName>
    <definedName name="XRefCopy8Row" hidden="1">#N/A</definedName>
    <definedName name="XRefCopy91" hidden="1">#REF!</definedName>
    <definedName name="XRefCopy92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hidden="1">#REF!</definedName>
    <definedName name="XRefPaste13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hidden="1">#REF!</definedName>
    <definedName name="XRefPaste204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hidden="1">#REF!</definedName>
    <definedName name="XRefPaste48" hidden="1">#REF!</definedName>
    <definedName name="XRefPaste4Row" hidden="1">#N/A</definedName>
    <definedName name="XRefPaste54" hidden="1">#REF!</definedName>
    <definedName name="XRefPaste56" hidden="1">#REF!</definedName>
    <definedName name="XRefPaste58" hidden="1">#REF!</definedName>
    <definedName name="XRefPaste5Row" hidden="1">#N/A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hidden="1">#REF!</definedName>
    <definedName name="XRefPaste76" hidden="1">#REF!</definedName>
    <definedName name="XRefPaste77" hidden="1">#REF!</definedName>
    <definedName name="XRefPaste78" hidden="1">#REF!</definedName>
    <definedName name="XRefPaste7Row" hidden="1">#N/A</definedName>
    <definedName name="XRefPaste8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ㅍㅍㅍ" hidden="1">{#N/A,#N/A,FALSE,"UNIT";#N/A,#N/A,FALSE,"UNIT";#N/A,#N/A,FALSE,"계정"}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76" i="2" l="1"/>
  <c r="S176" i="2"/>
  <c r="N176" i="2"/>
  <c r="T175" i="2"/>
  <c r="S175" i="2"/>
  <c r="N175" i="2" s="1"/>
  <c r="N174" i="2"/>
  <c r="N173" i="2"/>
  <c r="U172" i="2"/>
  <c r="T172" i="2"/>
  <c r="R172" i="2"/>
  <c r="N172" i="2" s="1"/>
  <c r="U171" i="2"/>
  <c r="R171" i="2"/>
  <c r="N171" i="2"/>
  <c r="U170" i="2"/>
  <c r="R170" i="2"/>
  <c r="N170" i="2" s="1"/>
  <c r="U169" i="2"/>
  <c r="R169" i="2"/>
  <c r="N169" i="2"/>
  <c r="T168" i="2"/>
  <c r="N168" i="2"/>
  <c r="S167" i="2"/>
  <c r="N167" i="2"/>
  <c r="S166" i="2"/>
  <c r="N166" i="2"/>
  <c r="S165" i="2"/>
  <c r="N165" i="2"/>
  <c r="N164" i="2"/>
  <c r="O163" i="2"/>
  <c r="N163" i="2"/>
  <c r="P162" i="2"/>
  <c r="N162" i="2"/>
  <c r="Q161" i="2"/>
  <c r="N161" i="2"/>
  <c r="Q160" i="2"/>
  <c r="N160" i="2"/>
  <c r="Q159" i="2"/>
  <c r="N159" i="2"/>
  <c r="N158" i="2"/>
  <c r="U157" i="2"/>
  <c r="R157" i="2"/>
  <c r="N157" i="2" s="1"/>
  <c r="U156" i="2"/>
  <c r="R156" i="2"/>
  <c r="N156" i="2"/>
  <c r="O155" i="2"/>
  <c r="N155" i="2"/>
  <c r="P154" i="2"/>
  <c r="N154" i="2"/>
  <c r="Q153" i="2"/>
  <c r="N153" i="2"/>
  <c r="Q152" i="2"/>
  <c r="N152" i="2"/>
  <c r="Q151" i="2"/>
  <c r="N151" i="2"/>
  <c r="N150" i="2"/>
  <c r="U149" i="2"/>
  <c r="R149" i="2"/>
  <c r="N149" i="2"/>
  <c r="T148" i="2"/>
  <c r="N148" i="2"/>
  <c r="S147" i="2"/>
  <c r="N147" i="2"/>
  <c r="S146" i="2"/>
  <c r="N146" i="2"/>
  <c r="N145" i="2"/>
  <c r="U144" i="2"/>
  <c r="R144" i="2"/>
  <c r="N144" i="2"/>
  <c r="T143" i="2"/>
  <c r="N143" i="2"/>
  <c r="S142" i="2"/>
  <c r="N142" i="2"/>
  <c r="S141" i="2"/>
  <c r="N141" i="2"/>
  <c r="S140" i="2"/>
  <c r="N140" i="2"/>
  <c r="S139" i="2"/>
  <c r="N139" i="2"/>
  <c r="N138" i="2"/>
  <c r="U137" i="2"/>
  <c r="R137" i="2"/>
  <c r="N137" i="2"/>
  <c r="U136" i="2"/>
  <c r="R136" i="2"/>
  <c r="N136" i="2" s="1"/>
  <c r="T135" i="2"/>
  <c r="N135" i="2"/>
  <c r="S134" i="2"/>
  <c r="N134" i="2" s="1"/>
  <c r="S133" i="2"/>
  <c r="N133" i="2" s="1"/>
  <c r="N132" i="2"/>
  <c r="N131" i="2"/>
  <c r="U130" i="2"/>
  <c r="R130" i="2"/>
  <c r="N130" i="2"/>
  <c r="T129" i="2"/>
  <c r="N129" i="2"/>
  <c r="S128" i="2"/>
  <c r="N128" i="2"/>
  <c r="S127" i="2"/>
  <c r="N127" i="2"/>
  <c r="S126" i="2"/>
  <c r="N126" i="2"/>
  <c r="S125" i="2"/>
  <c r="N125" i="2"/>
  <c r="S124" i="2"/>
  <c r="N124" i="2"/>
  <c r="S123" i="2"/>
  <c r="N123" i="2"/>
  <c r="S122" i="2"/>
  <c r="N122" i="2"/>
  <c r="N121" i="2"/>
  <c r="U120" i="2"/>
  <c r="R120" i="2"/>
  <c r="N120" i="2"/>
  <c r="U119" i="2"/>
  <c r="R119" i="2"/>
  <c r="N119" i="2" s="1"/>
  <c r="N118" i="2"/>
  <c r="U117" i="2"/>
  <c r="R117" i="2"/>
  <c r="N117" i="2" s="1"/>
  <c r="O116" i="2"/>
  <c r="N116" i="2"/>
  <c r="P115" i="2"/>
  <c r="N115" i="2"/>
  <c r="Q114" i="2"/>
  <c r="N114" i="2"/>
  <c r="Q113" i="2"/>
  <c r="N113" i="2"/>
  <c r="Q112" i="2"/>
  <c r="N112" i="2"/>
  <c r="N111" i="2"/>
  <c r="O110" i="2"/>
  <c r="N110" i="2"/>
  <c r="P109" i="2"/>
  <c r="N109" i="2"/>
  <c r="Q108" i="2"/>
  <c r="N108" i="2"/>
  <c r="Q107" i="2"/>
  <c r="N107" i="2"/>
  <c r="Q106" i="2"/>
  <c r="N106" i="2"/>
  <c r="N105" i="2"/>
  <c r="O104" i="2"/>
  <c r="N104" i="2"/>
  <c r="P103" i="2"/>
  <c r="N103" i="2"/>
  <c r="Q102" i="2"/>
  <c r="N102" i="2"/>
  <c r="Q101" i="2"/>
  <c r="N101" i="2"/>
  <c r="Q100" i="2"/>
  <c r="N100" i="2"/>
  <c r="N99" i="2"/>
  <c r="U98" i="2"/>
  <c r="R98" i="2"/>
  <c r="N98" i="2" s="1"/>
  <c r="U97" i="2"/>
  <c r="R97" i="2"/>
  <c r="N97" i="2"/>
  <c r="U96" i="2"/>
  <c r="R96" i="2"/>
  <c r="N96" i="2" s="1"/>
  <c r="U95" i="2"/>
  <c r="R95" i="2"/>
  <c r="N95" i="2"/>
  <c r="U94" i="2"/>
  <c r="R94" i="2"/>
  <c r="N94" i="2" s="1"/>
  <c r="U93" i="2"/>
  <c r="R93" i="2"/>
  <c r="N93" i="2"/>
  <c r="N92" i="2"/>
  <c r="U91" i="2"/>
  <c r="R91" i="2"/>
  <c r="N91" i="2"/>
  <c r="O90" i="2"/>
  <c r="N90" i="2"/>
  <c r="P89" i="2"/>
  <c r="N89" i="2"/>
  <c r="Q88" i="2"/>
  <c r="N88" i="2"/>
  <c r="Q87" i="2"/>
  <c r="N87" i="2"/>
  <c r="Q86" i="2"/>
  <c r="N86" i="2"/>
  <c r="N85" i="2"/>
  <c r="O84" i="2"/>
  <c r="N84" i="2"/>
  <c r="P83" i="2"/>
  <c r="N83" i="2"/>
  <c r="Q82" i="2"/>
  <c r="N82" i="2"/>
  <c r="Q81" i="2"/>
  <c r="N81" i="2"/>
  <c r="Q80" i="2"/>
  <c r="N80" i="2"/>
  <c r="N79" i="2"/>
  <c r="U78" i="2"/>
  <c r="R78" i="2"/>
  <c r="N78" i="2" s="1"/>
  <c r="T77" i="2"/>
  <c r="N77" i="2"/>
  <c r="S76" i="2"/>
  <c r="N76" i="2" s="1"/>
  <c r="S75" i="2"/>
  <c r="N75" i="2" s="1"/>
  <c r="S74" i="2"/>
  <c r="N74" i="2" s="1"/>
  <c r="S73" i="2"/>
  <c r="N73" i="2" s="1"/>
  <c r="N72" i="2"/>
  <c r="T71" i="2"/>
  <c r="N71" i="2"/>
  <c r="S70" i="2"/>
  <c r="N70" i="2"/>
  <c r="S69" i="2"/>
  <c r="N69" i="2"/>
  <c r="S68" i="2"/>
  <c r="N68" i="2"/>
  <c r="S67" i="2"/>
  <c r="N67" i="2"/>
  <c r="N66" i="2"/>
  <c r="U65" i="2"/>
  <c r="T65" i="2"/>
  <c r="R65" i="2"/>
  <c r="N65" i="2" s="1"/>
  <c r="N64" i="2"/>
  <c r="O63" i="2"/>
  <c r="N63" i="2"/>
  <c r="P62" i="2"/>
  <c r="N62" i="2"/>
  <c r="Q61" i="2"/>
  <c r="N61" i="2"/>
  <c r="Q60" i="2"/>
  <c r="N60" i="2"/>
  <c r="Q59" i="2"/>
  <c r="N59" i="2"/>
  <c r="N58" i="2"/>
  <c r="O57" i="2"/>
  <c r="N57" i="2"/>
  <c r="P56" i="2"/>
  <c r="N56" i="2"/>
  <c r="Q55" i="2"/>
  <c r="N55" i="2"/>
  <c r="Q54" i="2"/>
  <c r="N54" i="2"/>
  <c r="Q53" i="2"/>
  <c r="N53" i="2"/>
  <c r="N52" i="2"/>
  <c r="O51" i="2"/>
  <c r="N51" i="2"/>
  <c r="P50" i="2"/>
  <c r="N50" i="2"/>
  <c r="Q49" i="2"/>
  <c r="N49" i="2"/>
  <c r="Q48" i="2"/>
  <c r="N48" i="2"/>
  <c r="Q47" i="2"/>
  <c r="N47" i="2"/>
  <c r="N46" i="2"/>
  <c r="N45" i="2"/>
  <c r="O44" i="2"/>
  <c r="N44" i="2"/>
  <c r="P43" i="2"/>
  <c r="N43" i="2"/>
  <c r="Q42" i="2"/>
  <c r="N42" i="2"/>
  <c r="Q41" i="2"/>
  <c r="N41" i="2"/>
  <c r="Q40" i="2"/>
  <c r="N40" i="2"/>
  <c r="N39" i="2"/>
  <c r="T38" i="2"/>
  <c r="N38" i="2"/>
  <c r="S37" i="2"/>
  <c r="N37" i="2" s="1"/>
  <c r="S36" i="2"/>
  <c r="N36" i="2" s="1"/>
  <c r="S35" i="2"/>
  <c r="N35" i="2" s="1"/>
  <c r="S34" i="2"/>
  <c r="S178" i="2" s="1"/>
  <c r="N33" i="2"/>
  <c r="U32" i="2"/>
  <c r="T32" i="2"/>
  <c r="R32" i="2"/>
  <c r="N32" i="2"/>
  <c r="O31" i="2"/>
  <c r="N31" i="2"/>
  <c r="P30" i="2"/>
  <c r="N30" i="2"/>
  <c r="Q29" i="2"/>
  <c r="N29" i="2"/>
  <c r="Q28" i="2"/>
  <c r="N28" i="2"/>
  <c r="Q27" i="2"/>
  <c r="N27" i="2"/>
  <c r="N26" i="2"/>
  <c r="T25" i="2"/>
  <c r="T178" i="2" s="1"/>
  <c r="D183" i="2" s="1"/>
  <c r="N25" i="2"/>
  <c r="O24" i="2"/>
  <c r="O178" i="2" s="1"/>
  <c r="D179" i="2" s="1"/>
  <c r="N24" i="2"/>
  <c r="P23" i="2"/>
  <c r="P178" i="2" s="1"/>
  <c r="D180" i="2" s="1"/>
  <c r="N23" i="2"/>
  <c r="Q22" i="2"/>
  <c r="N22" i="2"/>
  <c r="Q21" i="2"/>
  <c r="N21" i="2"/>
  <c r="Q20" i="2"/>
  <c r="Q178" i="2" s="1"/>
  <c r="D181" i="2" s="1"/>
  <c r="N20" i="2"/>
  <c r="N19" i="2"/>
  <c r="N18" i="2"/>
  <c r="N17" i="2"/>
  <c r="N16" i="2"/>
  <c r="N15" i="2"/>
  <c r="N14" i="2"/>
  <c r="N13" i="2"/>
  <c r="N12" i="2"/>
  <c r="N11" i="2"/>
  <c r="N10" i="2"/>
  <c r="U9" i="2"/>
  <c r="U178" i="2" s="1"/>
  <c r="R9" i="2"/>
  <c r="R178" i="2" s="1"/>
  <c r="D182" i="2" s="1"/>
  <c r="N9" i="2"/>
  <c r="D184" i="2" l="1"/>
  <c r="N34" i="2"/>
</calcChain>
</file>

<file path=xl/sharedStrings.xml><?xml version="1.0" encoding="utf-8"?>
<sst xmlns="http://schemas.openxmlformats.org/spreadsheetml/2006/main" count="443" uniqueCount="165">
  <si>
    <t>1101A  계약전 위험평가표-계속(기준서 210)</t>
    <phoneticPr fontId="3" type="noConversion"/>
  </si>
  <si>
    <t>회사명</t>
    <phoneticPr fontId="3" type="noConversion"/>
  </si>
  <si>
    <t xml:space="preserve">결산일 </t>
    <phoneticPr fontId="3" type="noConversion"/>
  </si>
  <si>
    <t>항목</t>
    <phoneticPr fontId="3" type="noConversion"/>
  </si>
  <si>
    <t>내용</t>
    <phoneticPr fontId="3" type="noConversion"/>
  </si>
  <si>
    <t>(독립성 평가)</t>
  </si>
  <si>
    <t xml:space="preserve">1. 전기와 비교하여, 독립성 정책, 윤리규정 및 관련법규에서 요구하는 독립성을 저해할 만한 새로운 사항이 있는가? </t>
    <phoneticPr fontId="3" type="noConversion"/>
  </si>
  <si>
    <t>(있다면 그 내역을 문서화)</t>
    <phoneticPr fontId="3" type="noConversion"/>
  </si>
  <si>
    <t>Ⅱ. 위험평가</t>
  </si>
  <si>
    <t xml:space="preserve">2. 또한, 사례로 제시한 항목에 해당되더라도 이것이 절대적으로 위험하다는 것은 아니므로, 감사인이 상대적인 위험의 크기를 고려하여 평가하여야 함. </t>
  </si>
  <si>
    <t xml:space="preserve">3. 각 질문 항목별로, 1) 해당 사항이 있거나, 2) ‘예’ 또는 ‘매우 높은 위험’이 선택되는 경우에 상대적으로 높은 위험을 내재한다고 판단할 수 있을 것임. </t>
  </si>
  <si>
    <t>(회사 및 산업에 대한 위험평가)</t>
  </si>
  <si>
    <t>1.수익성</t>
    <phoneticPr fontId="3" type="noConversion"/>
  </si>
  <si>
    <t>2.재화 및 용역</t>
    <phoneticPr fontId="3" type="noConversion"/>
  </si>
  <si>
    <t>3.영업을 영위하기 위해 필요한 법규등을 위반한 적이 있거나 위반할 위험이 있는가?</t>
    <phoneticPr fontId="3" type="noConversion"/>
  </si>
  <si>
    <t>4.회사는 다음과 같은 중대한 어려움을 겪고 있는가?</t>
    <phoneticPr fontId="3" type="noConversion"/>
  </si>
  <si>
    <t>5.재무보고 시 의도적인 왜곡표시 유인이 있는가?</t>
    <phoneticPr fontId="3" type="noConversion"/>
  </si>
  <si>
    <t>(경영 및 지배구조)</t>
  </si>
  <si>
    <t>1.경영자에 대한 내부감시 및 감독</t>
    <phoneticPr fontId="3" type="noConversion"/>
  </si>
  <si>
    <t>2. 재무성과관리</t>
    <phoneticPr fontId="3" type="noConversion"/>
  </si>
  <si>
    <t>3.경영진 및 경영진의 경험 및 기술수준</t>
    <phoneticPr fontId="3" type="noConversion"/>
  </si>
  <si>
    <t>(윤리 및 성실(Ethics and Integrity))</t>
    <phoneticPr fontId="3" type="noConversion"/>
  </si>
  <si>
    <t>1.내부고발 등 경영진 및 회사에 대한 문제제기를 이유로 이사회구성원이나 고위 경영진이 최근에 사임하였는가?</t>
    <phoneticPr fontId="3" type="noConversion"/>
  </si>
  <si>
    <t>2.다음 사항을 이유로 회사의 이사, 고위 경영진 및 소유주의 정직 또는 행위와 관련하여 적법성에 대한 문제제기가 있었는가?</t>
    <phoneticPr fontId="3" type="noConversion"/>
  </si>
  <si>
    <t>3.경영자가 다음의 이유로 보고결과를 조작하려는 징후가 있는가?</t>
    <phoneticPr fontId="3" type="noConversion"/>
  </si>
  <si>
    <t>4.경영진 주요 구성원이 매우 거만하거나 독재적인가?</t>
    <phoneticPr fontId="3" type="noConversion"/>
  </si>
  <si>
    <t>5.성실과  윤리(Integrity and ethics)</t>
    <phoneticPr fontId="3" type="noConversion"/>
  </si>
  <si>
    <t>6.재무보고에 대한 경영자의 고의적 허위 기재의 경향</t>
    <phoneticPr fontId="3" type="noConversion"/>
  </si>
  <si>
    <t>7.경영진 및 지배주주가 재무 보고의 중요성을 무시하는 등 책임의식(Accountability)에 문제가 있거나 최근 2년 내에 지배주주가 교체된 적이 있는가?</t>
    <phoneticPr fontId="3" type="noConversion"/>
  </si>
  <si>
    <t>(회계및 통제)</t>
    <phoneticPr fontId="3" type="noConversion"/>
  </si>
  <si>
    <t>1.통제환경의 효과성이 내부감사기능의 업무에 일부분 의존하는가?</t>
    <phoneticPr fontId="3" type="noConversion"/>
  </si>
  <si>
    <t>2.효과적인 모니터링 또는 위험평가를 위해 필요한 내부감사기능(또는 위험평가기능)이 비효과적이거나, 내부감사의 독립성을 유지하도록 지원해주는 보고라인이 취약한가?</t>
    <phoneticPr fontId="3" type="noConversion"/>
  </si>
  <si>
    <t>3.회사의 예산편성 및 집행, 성과를 감독하는 효과적인 절차가 부족한가?</t>
    <phoneticPr fontId="3" type="noConversion"/>
  </si>
  <si>
    <t>4.재무제표(연차 및 중간)가 전기오류수정을 위하여 재작성되었거나 관련 내용의 공시가 빈번한가?</t>
    <phoneticPr fontId="3" type="noConversion"/>
  </si>
  <si>
    <t>5.오류를 고의로 눈감아 준 경영진이나 이사회 구성원이 여전히 회사와 관련이 있는가?</t>
    <phoneticPr fontId="3" type="noConversion"/>
  </si>
  <si>
    <t>6.전임감사인이 회사 의견에 반대한다하는 이유 등으로 인하여 최근 2년 내에 사임하거나 재수임을 거절당한 적이 있는가?</t>
    <phoneticPr fontId="3" type="noConversion"/>
  </si>
  <si>
    <t>7.회계통제</t>
    <phoneticPr fontId="3" type="noConversion"/>
  </si>
  <si>
    <t>8.수익인식</t>
    <phoneticPr fontId="3" type="noConversion"/>
  </si>
  <si>
    <t>9.과거 감사 수정사항</t>
    <phoneticPr fontId="3" type="noConversion"/>
  </si>
  <si>
    <t>10.재무보고에 관한 내부통제에 중대하게 악영향을 미칠 수 있는 경영진의 변동 징후가 있는가?</t>
    <phoneticPr fontId="3" type="noConversion"/>
  </si>
  <si>
    <t>(자금조달 및 계속기업)</t>
  </si>
  <si>
    <t>1.회사는 당기에 혹은 다음 회계연도에 영업활동과 채무상환을 위한 현금성자산이 충분하지 않은가?</t>
    <phoneticPr fontId="3" type="noConversion"/>
  </si>
  <si>
    <t>2.기존 투자자 및 채권자로부터 추가 자금을 조달하는데 어려움이 있을 것으로 예상되는가?</t>
    <phoneticPr fontId="3" type="noConversion"/>
  </si>
  <si>
    <t>3.회사는 최근에 다음과 같은 재무적 문제를 경험한 적이 있는가(복수 선택 가능)?</t>
    <phoneticPr fontId="3" type="noConversion"/>
  </si>
  <si>
    <t>4.계속기업으로서의 존속능력에 대한 본질적인 의문이 존재하여 확대된 감사절차를 수행할 필요가 있는가?</t>
    <phoneticPr fontId="3" type="noConversion"/>
  </si>
  <si>
    <t>(회계 및 감사이슈)</t>
  </si>
  <si>
    <t>1.회사에 다음과 같은 특성이 있는가?</t>
    <phoneticPr fontId="3" type="noConversion"/>
  </si>
  <si>
    <t>2.회사나 모회사가 1인 또는 소수의 개인에 의하여 지배되는가?</t>
    <phoneticPr fontId="3" type="noConversion"/>
  </si>
  <si>
    <t>3.회사를 소유하거나 통제하는 조직이나 개인을 확인할 수 없는가?</t>
    <phoneticPr fontId="3" type="noConversion"/>
  </si>
  <si>
    <t>4.회사가 감사인에게 다음과 같은 불합리한 요구를 하는가?</t>
    <phoneticPr fontId="3" type="noConversion"/>
  </si>
  <si>
    <t>5.비정상적으로 공격적이거나 분식 회계정책 및 방침을 적용하려는 징후가 있는가?</t>
    <phoneticPr fontId="3" type="noConversion"/>
  </si>
  <si>
    <t>6.다음과 같은 중요한 거래들이 있는가?</t>
    <phoneticPr fontId="3" type="noConversion"/>
  </si>
  <si>
    <t>7.재무제표가 주관적 판단 또는 불확실성, 중대한 변경을 초래하는 항목을 포함하는 회계추정에 의하여 중대하게 영향을 받는가?</t>
    <phoneticPr fontId="3" type="noConversion"/>
  </si>
  <si>
    <t>8.회계추정의 신뢰도</t>
    <phoneticPr fontId="3" type="noConversion"/>
  </si>
  <si>
    <t>9.연결그룹에 포함되지 않은 특수관계자와의 거래가 개별 재무제표에 중대한 영향을 미치는가?</t>
    <phoneticPr fontId="3" type="noConversion"/>
  </si>
  <si>
    <t>10.특수관계자간 거래가 정상적인 영업조건을 벗어나는가?</t>
    <phoneticPr fontId="3" type="noConversion"/>
  </si>
  <si>
    <t>11.고객과의 관계</t>
    <phoneticPr fontId="3" type="noConversion"/>
  </si>
  <si>
    <t>12.다음과 같은 사항이 전기 이전의 감사보고서에 포함되었거나 당기 보고서에 포함될 것으로 기대되는가?</t>
    <phoneticPr fontId="3" type="noConversion"/>
  </si>
  <si>
    <t>13.전기감사보고서에 첨부되는 내부회계관리제도 검토결과, 중요한 취약점이 과거에 발견되었거나 당기에 발견될 것으로 예상되는가?</t>
    <phoneticPr fontId="3" type="noConversion"/>
  </si>
  <si>
    <t>14.전기감사보고서에 첨부되는 내부회계관리제도 검토에 대한 범위제한이 과거에 있었거나 당기에 예상되는가?</t>
    <phoneticPr fontId="3" type="noConversion"/>
  </si>
  <si>
    <t>15.당 감사계약이 감사팀이 잘 알지 못하는 전문적 지식 등을 요구하고 있는가? (예: 특별한 산업 전문지식, 복잡하고 독특한 거래에 대한 경험)</t>
    <phoneticPr fontId="3" type="noConversion"/>
  </si>
  <si>
    <t>16. (외부감사법 적용대상 감사업무일 경우)외부감사법에 따라 정한 표준감사시간을 준수할 수 있는가?</t>
    <phoneticPr fontId="3" type="noConversion"/>
  </si>
  <si>
    <t>(해당사항이 있는 경우, 문서화)</t>
    <phoneticPr fontId="3" type="noConversion"/>
  </si>
  <si>
    <t>16-1. 수임대상회사의 감사업무를 담당할 업무수행이사는 감사업무 수임시 외부감사법에 따른 표준감사시간에 미달하는 감사시간투입이 예상되는 경우 아래와 같은 절차를 수행하였는가?</t>
    <phoneticPr fontId="3" type="noConversion"/>
  </si>
  <si>
    <t>(1)품질관리실에 내부자원 투입계획 등 감사품질 제고방안을 보고하고 그 적정성을 검토받았는가?</t>
    <phoneticPr fontId="2" type="noConversion"/>
  </si>
  <si>
    <t>(2)품질관리실장은 감사품질 제고방안이 적정하다고 판단되면 관련 근거자료와 함께 표준감사시간 조정신청서를 한국공인회계사회 표준감사시간 조정심의위원회에 제출하여 조정을 받았는가?</t>
    <phoneticPr fontId="2" type="noConversion"/>
  </si>
  <si>
    <t>업무수행이사 및 업무수임승인자의 의견</t>
    <phoneticPr fontId="2" type="noConversion"/>
  </si>
  <si>
    <t>감사업무 수임에 대한 위험평가</t>
  </si>
  <si>
    <t>업무 수임에 관한 최종 결론</t>
  </si>
  <si>
    <t xml:space="preserve">사유 : </t>
    <phoneticPr fontId="3" type="noConversion"/>
  </si>
  <si>
    <t>작성자 :</t>
    <phoneticPr fontId="3" type="noConversion"/>
  </si>
  <si>
    <t>성명</t>
    <phoneticPr fontId="2" type="noConversion"/>
  </si>
  <si>
    <t>서명</t>
    <phoneticPr fontId="2" type="noConversion"/>
  </si>
  <si>
    <t>일자</t>
    <phoneticPr fontId="2" type="noConversion"/>
  </si>
  <si>
    <t xml:space="preserve">참여공인회계사 </t>
    <phoneticPr fontId="3" type="noConversion"/>
  </si>
  <si>
    <t>검토자 :</t>
    <phoneticPr fontId="3" type="noConversion"/>
  </si>
  <si>
    <t>업무수행이사</t>
    <phoneticPr fontId="3" type="noConversion"/>
  </si>
  <si>
    <t>업무수임승인자</t>
    <phoneticPr fontId="3" type="noConversion"/>
  </si>
  <si>
    <t>(의뢰인 관계의 계속 및 감사업무 계속)</t>
    <phoneticPr fontId="3" type="noConversion"/>
  </si>
  <si>
    <t>Ⅰ. 일반정보</t>
  </si>
  <si>
    <r>
      <t>※ 작성 및 검토요령</t>
    </r>
    <r>
      <rPr>
        <sz val="12"/>
        <color theme="1"/>
        <rFont val="HY신명조"/>
        <family val="1"/>
        <charset val="129"/>
      </rPr>
      <t xml:space="preserve">: </t>
    </r>
  </si>
  <si>
    <t>&lt;숨기기&gt;</t>
    <phoneticPr fontId="2" type="noConversion"/>
  </si>
  <si>
    <t>매우높은위험</t>
    <phoneticPr fontId="2" type="noConversion"/>
  </si>
  <si>
    <t>높은위험</t>
    <phoneticPr fontId="2" type="noConversion"/>
  </si>
  <si>
    <t>기타위험</t>
    <phoneticPr fontId="2" type="noConversion"/>
  </si>
  <si>
    <t>유의적사항</t>
    <phoneticPr fontId="2" type="noConversion"/>
  </si>
  <si>
    <t>해당사항없음</t>
    <phoneticPr fontId="2" type="noConversion"/>
  </si>
  <si>
    <t>아니오</t>
    <phoneticPr fontId="2" type="noConversion"/>
  </si>
  <si>
    <t>[  ]</t>
  </si>
  <si>
    <t xml:space="preserve">예 </t>
    <phoneticPr fontId="2" type="noConversion"/>
  </si>
  <si>
    <t xml:space="preserve">1. 각 질문 항목 중, ‘매우 높은 위험’에 대한 사례는 참고 목적으로 제시한 것이므로, 감사인이 회사 상황에 맞게 수정하거나 수정할 필요가 있는지 고려하여야 함. </t>
    <phoneticPr fontId="2" type="noConversion"/>
  </si>
  <si>
    <t xml:space="preserve">매우 낮은 위험: </t>
    <phoneticPr fontId="2" type="noConversion"/>
  </si>
  <si>
    <t xml:space="preserve">낮은 위험: </t>
    <phoneticPr fontId="2" type="noConversion"/>
  </si>
  <si>
    <t xml:space="preserve">일정 수준 위험: </t>
    <phoneticPr fontId="2" type="noConversion"/>
  </si>
  <si>
    <t xml:space="preserve">높은 위험: </t>
    <phoneticPr fontId="2" type="noConversion"/>
  </si>
  <si>
    <t>매우 높은 위험: 예. 지속적으로 이윤이 없거나 매우 낮은 이윤을 얻음</t>
    <phoneticPr fontId="2" type="noConversion"/>
  </si>
  <si>
    <t xml:space="preserve">해당 사항 없음 </t>
    <phoneticPr fontId="2" type="noConversion"/>
  </si>
  <si>
    <t>매우 높은 위험: 예. 회사가 제공하는 재화 및 용역이 차별화되어 있지 않아 대체재가 많거나 경쟁자가 쉽게 복제할 수 있음. 시장규모 및 회사 시장점유율은 예측이 거의 불가능하고 브랜드 충성도가 거의 없음. 경쟁우위가 매우 낮음</t>
    <phoneticPr fontId="2" type="noConversion"/>
  </si>
  <si>
    <t>회사의 재무적 안정성 및 수익성을 해칠 수 있는 새로운 회계기준이나 법규</t>
    <phoneticPr fontId="2" type="noConversion"/>
  </si>
  <si>
    <t>침체 사업부의 구조조정과 같은 비경상적 손실 또는 거액의 현금유출</t>
    <phoneticPr fontId="2" type="noConversion"/>
  </si>
  <si>
    <t>이윤 감소, 매출 하락, 치열한 경쟁 등 핵심적 사업 문제</t>
    <phoneticPr fontId="2" type="noConversion"/>
  </si>
  <si>
    <t>기술 및 제품 진부화</t>
    <phoneticPr fontId="2" type="noConversion"/>
  </si>
  <si>
    <t>매우 높은 위험: 예. 경영자에게 목표 달성에 대한 압력이 매우 높음. 실적 부진으로 기업의 존속능력이나 경영진의 계속 고용을 위협함. 성과보상 시 재무적·비재무적 척도가 모두 고려되지 않고 재무 및 회계적인 기준에 집중되어 있음.</t>
    <phoneticPr fontId="2" type="noConversion"/>
  </si>
  <si>
    <t>매우 높은 위험: 예. 고위 경영진이 한 사람이나 소수로 구성되어 있음. 이사회구성원의 대부분이 경영자에게 독립적이지 않고(예. CEO나 지배주주의 친인척 등) 전문적인 지식이나 정보가 부족. 사외이사의 선임 시 상위경영자나 지배주주가 개입. 이사회가 경영진의 성과를 모니터링하기 위한 충분한 정보를 제공받지 못하고 경영진의 결정에 대해 무비판적으로 승인함. 감사위원회가 없거나 감사위원회가 회사 재무사항을 감독하는 역할을 적절히 수행하지 못함</t>
    <phoneticPr fontId="2" type="noConversion"/>
  </si>
  <si>
    <t>매우 높은 위험: 예. 회사는 수립한 목표를 달성한 적이 거의 없음. 변화하는 환경에 적응하지 못하여 때때로 비상경영에 봉착함</t>
    <phoneticPr fontId="2" type="noConversion"/>
  </si>
  <si>
    <t>매우 높은 위험: 예. 충분한 경영진측의 확보가 부족. 경영진은 직무에 대한 경험이 풍부하지 않으며 직무상 기술이 부족함</t>
    <phoneticPr fontId="2" type="noConversion"/>
  </si>
  <si>
    <t>임직원 부정에 대한 언급이 있거나 임직원의 부정, 범죄 조사, 기소 또는 유죄판결 등</t>
    <phoneticPr fontId="2" type="noConversion"/>
  </si>
  <si>
    <t>금감원 감리 등 규제기관에 의한 조사</t>
    <phoneticPr fontId="2" type="noConversion"/>
  </si>
  <si>
    <t>익명의 제보를 포함하여, 제3자에 의해 제공된 정보</t>
    <phoneticPr fontId="2" type="noConversion"/>
  </si>
  <si>
    <t>회사에 불리한 평판이나 기타 사건(예: 전직 경영진에 대한 미디어 리서치 등)</t>
    <phoneticPr fontId="2" type="noConversion"/>
  </si>
  <si>
    <t>해당 사항 없음</t>
    <phoneticPr fontId="2" type="noConversion"/>
  </si>
  <si>
    <t>납부할 세금 경감</t>
    <phoneticPr fontId="2" type="noConversion"/>
  </si>
  <si>
    <t>회사에 대한 중대한 투자를 보호하거나 회사 채무에 대한 보증이행을 회피하기 위하여</t>
    <phoneticPr fontId="2" type="noConversion"/>
  </si>
  <si>
    <t>연봉 및 복리후생 등 보상프로그램을 위해</t>
    <phoneticPr fontId="2" type="noConversion"/>
  </si>
  <si>
    <t>계약자 선정 등과 같은 진행 중인 거래를 완료하기 위하여</t>
    <phoneticPr fontId="2" type="noConversion"/>
  </si>
  <si>
    <t>해당 징후 발견된 바 없음</t>
    <phoneticPr fontId="2" type="noConversion"/>
  </si>
  <si>
    <t>매우 높은 위험: 예. 경영자가 비윤리적인 행위에 연루되어 있다는 암시가 있음(예. 종업원의 진술, 규제기관의 질의, 적대적인 평판 혹은 다른 정보에 기초했을 때), 윤리강령이 존재하지 않거나, 존재하더라도 전사적으로 전달되거나 준수되지 아니함</t>
    <phoneticPr fontId="2" type="noConversion"/>
  </si>
  <si>
    <t>매우 높은 위험: 예. 경영자는 공정하고 정확한 재무보고를 중요하게 여기지 않음. 경영자는 과거에 회사의 재무상태나 영업실적을 왜곡하거나 숨기려는 시도를 한 적이 있음</t>
    <phoneticPr fontId="2" type="noConversion"/>
  </si>
  <si>
    <t>매우 높은 위험: 예. 통제활동이 설계되어 있지 않거나 구축되어 있지 않은 예측할 수 없는 상황. 회계시스템과 통제는 회사와 감사의 요구사항을 제공시키기에 부적합함. 회계부서의 내부 재무회계 및 재무보고 요구사항과 관련한 업무능력이 부족함. 회계담당자는 회사 규모와 복잡성에 비하여 부적격함. 재무보고서가 늦어지거나 신뢰성이 결여된 전력이 있음</t>
    <phoneticPr fontId="2" type="noConversion"/>
  </si>
  <si>
    <t xml:space="preserve">매우 높은 위험: 예. 비정형화된 계약조건의 수익거래가 자주 발생. 수익인식과 관련된 회계처리가 일관성 있게 적용되지 못함. 수익인식요건을 충족하지 못하는 중대한 거래를 수익인식요건을 충족할 수 있도록 구성함. 판매와 관련된 우발상황이 다수 존재함. </t>
    <phoneticPr fontId="2" type="noConversion"/>
  </si>
  <si>
    <t>매우 높은 위험: 예. 감사 수정사항이 항상 발생함</t>
    <phoneticPr fontId="2" type="noConversion"/>
  </si>
  <si>
    <t>거래조건을 신용으로 하기 어려운 경우</t>
    <phoneticPr fontId="2" type="noConversion"/>
  </si>
  <si>
    <t>이미 보증되어 있거나 이전에는 무보증이었던 채무에 대하여 추가적인 담보의 요구가 있는 경우</t>
    <phoneticPr fontId="2" type="noConversion"/>
  </si>
  <si>
    <t>중대한 차입관련 계약사항을 위반하였거나 그럴 위험이 있는 경우 (채권자의 권리행사 유보와 무관함)</t>
    <phoneticPr fontId="2" type="noConversion"/>
  </si>
  <si>
    <t>추가 유상증자가 어려운 경우</t>
    <phoneticPr fontId="2" type="noConversion"/>
  </si>
  <si>
    <t>공개기업으로서 주식분포상황, 거래량 기준 위반 이외의 사유로 관리종목이 된 경우</t>
    <phoneticPr fontId="2" type="noConversion"/>
  </si>
  <si>
    <t>C등급 이하의 회사채 평가를 받은 경우</t>
    <phoneticPr fontId="2" type="noConversion"/>
  </si>
  <si>
    <t>회사에 중요한 위협이 될 수 있는 소송 및 분쟁이 있는 경우</t>
    <phoneticPr fontId="2" type="noConversion"/>
  </si>
  <si>
    <t>불필요하게 복잡한 구조</t>
    <phoneticPr fontId="2" type="noConversion"/>
  </si>
  <si>
    <t>명확한 사업목적 없이 국외에 종속회사나 은행계좌가 존재</t>
    <phoneticPr fontId="2" type="noConversion"/>
  </si>
  <si>
    <t>현실적이고 합리적인 fee를 받아들이지 아니함</t>
    <phoneticPr fontId="2" type="noConversion"/>
  </si>
  <si>
    <t>과도하거나 무리하게 타이트한 감사스케쥴을 요구함</t>
    <phoneticPr fontId="2" type="noConversion"/>
  </si>
  <si>
    <t>감사인이 충분히 평가할 수 없을 정도로 늦게 정보를 제공함</t>
    <phoneticPr fontId="2" type="noConversion"/>
  </si>
  <si>
    <t>감사범위 제한을 시도함</t>
    <phoneticPr fontId="2" type="noConversion"/>
  </si>
  <si>
    <t>복잡하거나 비경상적이고 회계처리상 평가하기 어려운 거래</t>
    <phoneticPr fontId="2" type="noConversion"/>
  </si>
  <si>
    <t>비경상적이고 회계연도말에 근접하여 발생한 거래</t>
    <phoneticPr fontId="2" type="noConversion"/>
  </si>
  <si>
    <t>매우 높은 위험: 예. 회계추정이 과거와 일관되지 아니함. 지나치게 비현실적이거나 낙관적임</t>
    <phoneticPr fontId="2" type="noConversion"/>
  </si>
  <si>
    <t>매우 높은 위험: 예. 경영자는 회계이슈에 대해 감사인과 논의하는 데에 주도적이지 않음. 이슈가 제기되었을 때에도 관련 사실관계를 설명하는데 이사회 및 감사위원회와의 커뮤니케이션이 진솔하거나 효과적이지 아니함. 감사인은 이사회 및 감사위원회에게 구체적으로 커뮤니케이션 할 기회가 전혀 없음. 경영자가 감사범위를 제한 또는 지시하려 함. 회사 담당자 및 관련 정보에의 접근이 공식적으로, 비공식적으로 제한되어 있음. 경영자는 감사발견사항들에 대하여 일반적으로 이의를 제기하고 상호합의를 도출하기보다는 가급적 그 중요성을 희석시키려 함.</t>
    <phoneticPr fontId="2" type="noConversion"/>
  </si>
  <si>
    <t>변형된 감사의견 (한정의견, 부적정의견 또는 의견거절)</t>
    <phoneticPr fontId="2" type="noConversion"/>
  </si>
  <si>
    <t>계속기업 불확실성, 회사에 중요하게 위협이 되는 소송 및 분쟁, 중요한 법률 및 규정의 위반 또는 새로 제정된 회계기준의 적용 이외의 회계정책의 변경에 대한 강조사항 문단</t>
    <phoneticPr fontId="2" type="noConversion"/>
  </si>
  <si>
    <t>강조사항 문단</t>
    <phoneticPr fontId="2" type="noConversion"/>
  </si>
  <si>
    <t>R</t>
    <phoneticPr fontId="2" type="noConversion"/>
  </si>
  <si>
    <t>위험평가결과요약:</t>
    <phoneticPr fontId="2" type="noConversion"/>
  </si>
  <si>
    <t>매우 높은위험 개수</t>
    <phoneticPr fontId="2" type="noConversion"/>
  </si>
  <si>
    <t>높은 위험 개수</t>
    <phoneticPr fontId="2" type="noConversion"/>
  </si>
  <si>
    <t>기타 위험 개수</t>
    <phoneticPr fontId="2" type="noConversion"/>
  </si>
  <si>
    <t>유의적사항 개수</t>
    <phoneticPr fontId="2" type="noConversion"/>
  </si>
  <si>
    <t>위험수준으로 평가되지 않는 항목(예인 경우 옆에 빨간색"*"표시됨)</t>
    <phoneticPr fontId="2" type="noConversion"/>
  </si>
  <si>
    <t>해당사항없음 개수</t>
    <phoneticPr fontId="2" type="noConversion"/>
  </si>
  <si>
    <t>아니오 포함</t>
    <phoneticPr fontId="2" type="noConversion"/>
  </si>
  <si>
    <t>합  계</t>
    <phoneticPr fontId="2" type="noConversion"/>
  </si>
  <si>
    <t>46보다 작은 경우 미입력사항이 있음</t>
    <phoneticPr fontId="2" type="noConversion"/>
  </si>
  <si>
    <r>
      <t>업무를 수임할 경우 특별히 고려하여야 할 사항</t>
    </r>
    <r>
      <rPr>
        <sz val="12"/>
        <color theme="1"/>
        <rFont val="HY신명조"/>
        <family val="1"/>
        <charset val="129"/>
      </rPr>
      <t xml:space="preserve">     </t>
    </r>
    <phoneticPr fontId="3" type="noConversion"/>
  </si>
  <si>
    <t xml:space="preserve">※ 구비하여야 할 안전장치나 감사계획 수립시 특별히 고려하여야 할 사항이 있다면 기재             </t>
    <phoneticPr fontId="2" type="noConversion"/>
  </si>
  <si>
    <t xml:space="preserve">※ 위험평가결과요약에 매우높은위험, 높은위험 및 유의적사항이 있는 경우 필수 기재사항임.           </t>
    <phoneticPr fontId="2" type="noConversion"/>
  </si>
  <si>
    <t>※ 회계법인 별 정량 및 정성적인 요소등을 고려한 적절한 위험평가기준을 마련하여  위험평가결과를 도출하도록 함(예시:위험평가결과요약에 매우높은위험, 높은위험 및 유의적사항이 3개이상이지만 위험평가결론이 "높음"이 아닌 사유가 있는 경우 그 내용도 기재)</t>
    <phoneticPr fontId="2" type="noConversion"/>
  </si>
  <si>
    <t xml:space="preserve">(업무수행이사의 의견):     </t>
    <phoneticPr fontId="2" type="noConversion"/>
  </si>
  <si>
    <t xml:space="preserve">(업무수임승인자의 의견 ): </t>
    <phoneticPr fontId="2" type="noConversion"/>
  </si>
  <si>
    <t xml:space="preserve">※ 회계법인 별 정량 및 정성적인 요소등을 고려한 적절한 위험평가기준을 마련하여  위험평가결과를 도출하도록 함(예시:위험평가결과요약에 매우높은위험, 높은위험 및 유의적사항을 합하여 3개이상인 경우에는 명백한 사유가 없는 한 위험을 "높음"으로 평가합니다. )    </t>
    <phoneticPr fontId="2" type="noConversion"/>
  </si>
  <si>
    <t>높음</t>
    <phoneticPr fontId="2" type="noConversion"/>
  </si>
  <si>
    <t>보통</t>
    <phoneticPr fontId="2" type="noConversion"/>
  </si>
  <si>
    <t>낮음</t>
    <phoneticPr fontId="2" type="noConversion"/>
  </si>
  <si>
    <t>본 감사업무의 수임을 승인함</t>
    <phoneticPr fontId="2" type="noConversion"/>
  </si>
  <si>
    <t xml:space="preserve">본 감사업무의 수임을 승인하지 아니함 </t>
    <phoneticPr fontId="2" type="noConversion"/>
  </si>
  <si>
    <t>※ 업무 수임에 관한 최종 결론에 대한 사유는 업무수임승인자의 필수 기재사항임.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</si>
</sst>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theme="1"/>
      <name val="HY신명조"/>
      <family val="1"/>
      <charset val="129"/>
    </font>
    <font>
      <b/>
      <sz val="14"/>
      <color theme="1"/>
      <name val="HY신명조"/>
      <family val="1"/>
      <charset val="129"/>
    </font>
    <font>
      <sz val="11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u/>
      <sz val="12"/>
      <color theme="1"/>
      <name val="HY신명조"/>
      <family val="1"/>
      <charset val="129"/>
    </font>
    <font>
      <i/>
      <sz val="12"/>
      <color theme="1"/>
      <name val="HY신명조"/>
      <family val="1"/>
      <charset val="129"/>
    </font>
    <font>
      <sz val="10"/>
      <color theme="1"/>
      <name val="HY신명조"/>
      <family val="1"/>
      <charset val="129"/>
    </font>
    <font>
      <sz val="11"/>
      <color theme="0" tint="-0.499984740745262"/>
      <name val="HY신명조"/>
      <family val="1"/>
      <charset val="129"/>
    </font>
    <font>
      <sz val="12"/>
      <color theme="0" tint="-0.499984740745262"/>
      <name val="HY신명조"/>
      <family val="1"/>
      <charset val="129"/>
    </font>
    <font>
      <sz val="12"/>
      <color rgb="FFFF0000"/>
      <name val="HY신명조"/>
      <family val="1"/>
      <charset val="129"/>
    </font>
    <font>
      <sz val="12"/>
      <name val="HY신명조"/>
      <family val="1"/>
      <charset val="129"/>
    </font>
    <font>
      <sz val="12"/>
      <color rgb="FF7030A0"/>
      <name val="HY신명조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>
      <alignment vertical="center"/>
    </xf>
    <xf numFmtId="0" fontId="4" fillId="0" borderId="6" xfId="1" applyFont="1" applyBorder="1">
      <alignment vertical="center"/>
    </xf>
    <xf numFmtId="0" fontId="4" fillId="0" borderId="0" xfId="1" applyFont="1">
      <alignment vertical="center"/>
    </xf>
    <xf numFmtId="0" fontId="4" fillId="0" borderId="7" xfId="1" applyFont="1" applyBorder="1">
      <alignment vertical="center"/>
    </xf>
    <xf numFmtId="0" fontId="4" fillId="0" borderId="10" xfId="1" applyFont="1" applyBorder="1" applyAlignment="1">
      <alignment vertical="center" wrapText="1"/>
    </xf>
    <xf numFmtId="0" fontId="4" fillId="0" borderId="6" xfId="1" applyFont="1" applyBorder="1" applyAlignment="1">
      <alignment vertical="center" wrapText="1"/>
    </xf>
    <xf numFmtId="0" fontId="4" fillId="0" borderId="10" xfId="1" applyFont="1" applyBorder="1">
      <alignment vertical="center"/>
    </xf>
    <xf numFmtId="0" fontId="6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176" fontId="4" fillId="0" borderId="1" xfId="1" applyNumberFormat="1" applyFont="1" applyBorder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0" fontId="7" fillId="0" borderId="2" xfId="1" applyFont="1" applyBorder="1" applyAlignment="1">
      <alignment horizontal="justify" vertical="center"/>
    </xf>
    <xf numFmtId="0" fontId="4" fillId="0" borderId="2" xfId="1" applyFont="1" applyBorder="1">
      <alignment vertical="center"/>
    </xf>
    <xf numFmtId="0" fontId="4" fillId="0" borderId="6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7" fillId="0" borderId="8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9" xfId="1" applyFont="1" applyBorder="1">
      <alignment vertical="center"/>
    </xf>
    <xf numFmtId="0" fontId="4" fillId="0" borderId="14" xfId="1" applyFont="1" applyBorder="1">
      <alignment vertical="center"/>
    </xf>
    <xf numFmtId="0" fontId="4" fillId="0" borderId="12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/>
    </xf>
    <xf numFmtId="0" fontId="7" fillId="0" borderId="0" xfId="1" applyFont="1" applyAlignment="1">
      <alignment horizontal="left" vertical="center" indent="2"/>
    </xf>
    <xf numFmtId="0" fontId="9" fillId="0" borderId="0" xfId="1" applyFont="1" applyAlignment="1">
      <alignment horizontal="left" vertical="center"/>
    </xf>
    <xf numFmtId="0" fontId="4" fillId="0" borderId="16" xfId="1" applyFont="1" applyBorder="1">
      <alignment vertical="center"/>
    </xf>
    <xf numFmtId="0" fontId="4" fillId="0" borderId="17" xfId="1" applyFont="1" applyBorder="1">
      <alignment vertical="center"/>
    </xf>
    <xf numFmtId="0" fontId="4" fillId="0" borderId="6" xfId="1" applyFont="1" applyBorder="1" applyAlignment="1">
      <alignment horizontal="left"/>
    </xf>
    <xf numFmtId="0" fontId="4" fillId="0" borderId="16" xfId="1" applyFont="1" applyBorder="1" applyAlignment="1">
      <alignment horizontal="center" vertical="center"/>
    </xf>
    <xf numFmtId="0" fontId="4" fillId="0" borderId="1" xfId="1" applyFont="1" applyBorder="1" applyAlignment="1"/>
    <xf numFmtId="0" fontId="4" fillId="0" borderId="0" xfId="1" applyFont="1" applyAlignment="1"/>
    <xf numFmtId="0" fontId="4" fillId="0" borderId="16" xfId="1" applyFont="1" applyBorder="1" applyAlignment="1"/>
    <xf numFmtId="0" fontId="4" fillId="0" borderId="0" xfId="1" applyFont="1" applyAlignment="1">
      <alignment horizontal="right"/>
    </xf>
    <xf numFmtId="0" fontId="4" fillId="0" borderId="18" xfId="1" applyFont="1" applyBorder="1" applyAlignment="1">
      <alignment horizontal="justify" vertical="center"/>
    </xf>
    <xf numFmtId="0" fontId="4" fillId="0" borderId="19" xfId="1" applyFont="1" applyBorder="1">
      <alignment vertical="center"/>
    </xf>
    <xf numFmtId="0" fontId="10" fillId="0" borderId="0" xfId="1" applyFont="1" applyAlignment="1">
      <alignment horizontal="center" vertical="center"/>
    </xf>
    <xf numFmtId="0" fontId="10" fillId="0" borderId="0" xfId="1" applyFont="1">
      <alignment vertical="center"/>
    </xf>
    <xf numFmtId="0" fontId="7" fillId="0" borderId="0" xfId="1" applyFont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12" fillId="0" borderId="20" xfId="1" applyFont="1" applyBorder="1">
      <alignment vertical="center"/>
    </xf>
    <xf numFmtId="0" fontId="4" fillId="3" borderId="0" xfId="1" applyFont="1" applyFill="1" applyAlignment="1">
      <alignment horizontal="center" vertical="center"/>
    </xf>
    <xf numFmtId="0" fontId="4" fillId="3" borderId="8" xfId="1" applyFont="1" applyFill="1" applyBorder="1">
      <alignment vertical="center"/>
    </xf>
    <xf numFmtId="0" fontId="13" fillId="0" borderId="0" xfId="1" applyFont="1">
      <alignment vertical="center"/>
    </xf>
    <xf numFmtId="0" fontId="12" fillId="0" borderId="0" xfId="1" applyFont="1">
      <alignment vertical="center"/>
    </xf>
    <xf numFmtId="0" fontId="7" fillId="0" borderId="8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2" fillId="0" borderId="20" xfId="1" applyFont="1" applyBorder="1" applyAlignment="1">
      <alignment horizontal="left" vertical="center"/>
    </xf>
    <xf numFmtId="0" fontId="4" fillId="0" borderId="0" xfId="1" applyFont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4" fillId="3" borderId="16" xfId="1" applyFont="1" applyFill="1" applyBorder="1">
      <alignment vertical="center"/>
    </xf>
    <xf numFmtId="0" fontId="4" fillId="3" borderId="16" xfId="1" applyFont="1" applyFill="1" applyBorder="1" applyAlignment="1">
      <alignment horizontal="center" vertical="center"/>
    </xf>
    <xf numFmtId="0" fontId="4" fillId="3" borderId="6" xfId="1" applyFont="1" applyFill="1" applyBorder="1">
      <alignment vertical="center"/>
    </xf>
    <xf numFmtId="0" fontId="4" fillId="3" borderId="0" xfId="1" applyFont="1" applyFill="1" applyAlignment="1">
      <alignment horizontal="left" vertical="center"/>
    </xf>
    <xf numFmtId="0" fontId="13" fillId="3" borderId="0" xfId="1" applyFont="1" applyFill="1" applyAlignment="1">
      <alignment horizontal="center" vertical="center"/>
    </xf>
    <xf numFmtId="0" fontId="4" fillId="3" borderId="10" xfId="1" applyFont="1" applyFill="1" applyBorder="1" applyAlignment="1">
      <alignment vertical="center" wrapText="1"/>
    </xf>
    <xf numFmtId="0" fontId="4" fillId="3" borderId="6" xfId="1" applyFont="1" applyFill="1" applyBorder="1" applyAlignment="1">
      <alignment horizontal="left" vertical="center"/>
    </xf>
    <xf numFmtId="0" fontId="4" fillId="3" borderId="1" xfId="1" applyFont="1" applyFill="1" applyBorder="1">
      <alignment vertical="center"/>
    </xf>
    <xf numFmtId="0" fontId="4" fillId="3" borderId="11" xfId="1" applyFont="1" applyFill="1" applyBorder="1">
      <alignment vertical="center"/>
    </xf>
    <xf numFmtId="0" fontId="4" fillId="3" borderId="10" xfId="1" applyFont="1" applyFill="1" applyBorder="1">
      <alignment vertical="center"/>
    </xf>
    <xf numFmtId="0" fontId="4" fillId="3" borderId="17" xfId="1" applyFont="1" applyFill="1" applyBorder="1">
      <alignment vertical="center"/>
    </xf>
    <xf numFmtId="0" fontId="4" fillId="3" borderId="6" xfId="1" applyFont="1" applyFill="1" applyBorder="1" applyAlignment="1">
      <alignment vertical="center" wrapText="1"/>
    </xf>
    <xf numFmtId="0" fontId="13" fillId="3" borderId="10" xfId="1" applyFont="1" applyFill="1" applyBorder="1">
      <alignment vertical="center"/>
    </xf>
    <xf numFmtId="0" fontId="4" fillId="3" borderId="0" xfId="1" applyFont="1" applyFill="1" applyAlignment="1">
      <alignment vertical="center" wrapText="1"/>
    </xf>
    <xf numFmtId="0" fontId="4" fillId="0" borderId="13" xfId="1" applyFont="1" applyBorder="1" applyAlignment="1">
      <alignment horizontal="center" vertical="center" wrapText="1"/>
    </xf>
    <xf numFmtId="0" fontId="12" fillId="2" borderId="20" xfId="1" applyFont="1" applyFill="1" applyBorder="1">
      <alignment vertical="center"/>
    </xf>
    <xf numFmtId="0" fontId="4" fillId="5" borderId="24" xfId="1" applyFont="1" applyFill="1" applyBorder="1" applyAlignment="1">
      <alignment horizontal="center" vertical="center" wrapText="1"/>
    </xf>
    <xf numFmtId="0" fontId="15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 wrapText="1"/>
    </xf>
    <xf numFmtId="0" fontId="9" fillId="0" borderId="12" xfId="1" applyFont="1" applyBorder="1">
      <alignment vertical="center"/>
    </xf>
    <xf numFmtId="0" fontId="9" fillId="0" borderId="13" xfId="1" applyFont="1" applyBorder="1">
      <alignment vertical="center"/>
    </xf>
    <xf numFmtId="0" fontId="9" fillId="0" borderId="14" xfId="1" applyFont="1" applyBorder="1">
      <alignment vertical="center"/>
    </xf>
    <xf numFmtId="0" fontId="4" fillId="3" borderId="7" xfId="1" applyFont="1" applyFill="1" applyBorder="1">
      <alignment vertic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4" fillId="0" borderId="14" xfId="1" applyFont="1" applyBorder="1" applyAlignment="1">
      <alignment horizontal="center" vertical="center"/>
    </xf>
    <xf numFmtId="0" fontId="4" fillId="4" borderId="1" xfId="1" applyFont="1" applyFill="1" applyBorder="1" applyAlignment="1"/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justify" vertical="center"/>
    </xf>
    <xf numFmtId="0" fontId="4" fillId="4" borderId="16" xfId="1" applyFont="1" applyFill="1" applyBorder="1" applyAlignment="1">
      <alignment horizontal="center"/>
    </xf>
    <xf numFmtId="0" fontId="4" fillId="0" borderId="0" xfId="1" applyFont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10" fillId="0" borderId="0" xfId="1" applyFont="1" applyAlignment="1">
      <alignment horizontal="center" vertical="center"/>
    </xf>
    <xf numFmtId="0" fontId="4" fillId="3" borderId="6" xfId="1" applyFont="1" applyFill="1" applyBorder="1" applyAlignment="1">
      <alignment horizontal="left" vertical="center"/>
    </xf>
    <xf numFmtId="0" fontId="4" fillId="3" borderId="0" xfId="1" applyFont="1" applyFill="1" applyAlignment="1">
      <alignment horizontal="left" vertical="center"/>
    </xf>
    <xf numFmtId="0" fontId="4" fillId="3" borderId="0" xfId="1" applyFont="1" applyFill="1" applyAlignment="1">
      <alignment horizontal="left" vertical="center" wrapText="1"/>
    </xf>
    <xf numFmtId="0" fontId="4" fillId="3" borderId="7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3" borderId="11" xfId="1" applyFont="1" applyFill="1" applyBorder="1" applyAlignment="1">
      <alignment horizontal="left" vertical="center" wrapText="1"/>
    </xf>
    <xf numFmtId="0" fontId="15" fillId="0" borderId="12" xfId="1" applyFont="1" applyBorder="1" applyAlignment="1">
      <alignment horizontal="left" vertical="center"/>
    </xf>
    <xf numFmtId="0" fontId="15" fillId="0" borderId="13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4" fillId="4" borderId="10" xfId="1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left" vertical="center"/>
    </xf>
    <xf numFmtId="0" fontId="4" fillId="4" borderId="11" xfId="1" applyFont="1" applyFill="1" applyBorder="1" applyAlignment="1">
      <alignment horizontal="left" vertical="center"/>
    </xf>
    <xf numFmtId="0" fontId="4" fillId="0" borderId="16" xfId="1" applyFont="1" applyBorder="1" applyAlignment="1">
      <alignment horizontal="center" vertical="center"/>
    </xf>
    <xf numFmtId="0" fontId="15" fillId="0" borderId="6" xfId="1" applyFont="1" applyBorder="1" applyAlignment="1">
      <alignment horizontal="left" vertical="top" wrapText="1"/>
    </xf>
    <xf numFmtId="0" fontId="15" fillId="0" borderId="0" xfId="1" applyFont="1" applyAlignment="1">
      <alignment horizontal="left" vertical="top" wrapText="1"/>
    </xf>
    <xf numFmtId="0" fontId="15" fillId="0" borderId="7" xfId="1" applyFont="1" applyBorder="1" applyAlignment="1">
      <alignment horizontal="left" vertical="top" wrapText="1"/>
    </xf>
    <xf numFmtId="0" fontId="13" fillId="0" borderId="6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3" fillId="0" borderId="7" xfId="1" applyFont="1" applyBorder="1" applyAlignment="1">
      <alignment horizontal="left" vertical="top" wrapText="1"/>
    </xf>
    <xf numFmtId="0" fontId="4" fillId="4" borderId="6" xfId="1" applyFont="1" applyFill="1" applyBorder="1" applyAlignment="1">
      <alignment horizontal="left" vertical="top" wrapText="1"/>
    </xf>
    <xf numFmtId="0" fontId="4" fillId="4" borderId="0" xfId="1" applyFont="1" applyFill="1" applyAlignment="1">
      <alignment horizontal="left" vertical="top" wrapText="1"/>
    </xf>
    <xf numFmtId="0" fontId="4" fillId="4" borderId="7" xfId="1" applyFont="1" applyFill="1" applyBorder="1" applyAlignment="1">
      <alignment horizontal="left" vertical="top" wrapText="1"/>
    </xf>
    <xf numFmtId="0" fontId="4" fillId="4" borderId="10" xfId="1" applyFont="1" applyFill="1" applyBorder="1" applyAlignment="1">
      <alignment horizontal="left" vertical="top" wrapText="1"/>
    </xf>
    <xf numFmtId="0" fontId="4" fillId="4" borderId="1" xfId="1" applyFont="1" applyFill="1" applyBorder="1" applyAlignment="1">
      <alignment horizontal="left" vertical="top" wrapText="1"/>
    </xf>
    <xf numFmtId="0" fontId="4" fillId="4" borderId="11" xfId="1" applyFont="1" applyFill="1" applyBorder="1" applyAlignment="1">
      <alignment horizontal="left" vertical="top" wrapText="1"/>
    </xf>
    <xf numFmtId="0" fontId="4" fillId="0" borderId="6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3" borderId="15" xfId="1" applyFont="1" applyFill="1" applyBorder="1" applyAlignment="1">
      <alignment horizontal="left" vertical="center" wrapText="1"/>
    </xf>
    <xf numFmtId="0" fontId="4" fillId="3" borderId="16" xfId="1" applyFont="1" applyFill="1" applyBorder="1" applyAlignment="1">
      <alignment horizontal="left" vertical="center" wrapText="1"/>
    </xf>
    <xf numFmtId="0" fontId="4" fillId="3" borderId="17" xfId="1" applyFont="1" applyFill="1" applyBorder="1" applyAlignment="1">
      <alignment horizontal="left" vertical="center" wrapText="1"/>
    </xf>
    <xf numFmtId="0" fontId="4" fillId="3" borderId="15" xfId="1" quotePrefix="1" applyFont="1" applyFill="1" applyBorder="1" applyAlignment="1">
      <alignment horizontal="left" vertical="center" wrapText="1"/>
    </xf>
    <xf numFmtId="0" fontId="4" fillId="3" borderId="16" xfId="1" quotePrefix="1" applyFont="1" applyFill="1" applyBorder="1" applyAlignment="1">
      <alignment horizontal="left" vertical="center" wrapText="1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3" borderId="12" xfId="1" applyFont="1" applyFill="1" applyBorder="1" applyAlignment="1">
      <alignment horizontal="left" vertical="center" wrapText="1"/>
    </xf>
    <xf numFmtId="0" fontId="4" fillId="3" borderId="13" xfId="1" applyFont="1" applyFill="1" applyBorder="1" applyAlignment="1">
      <alignment horizontal="left" vertical="center" wrapText="1"/>
    </xf>
    <xf numFmtId="0" fontId="4" fillId="3" borderId="14" xfId="1" applyFont="1" applyFill="1" applyBorder="1" applyAlignment="1">
      <alignment horizontal="left" vertical="center" wrapText="1"/>
    </xf>
    <xf numFmtId="0" fontId="14" fillId="3" borderId="15" xfId="1" applyFont="1" applyFill="1" applyBorder="1" applyAlignment="1">
      <alignment horizontal="left" vertical="center" wrapText="1"/>
    </xf>
    <xf numFmtId="0" fontId="14" fillId="3" borderId="16" xfId="1" applyFont="1" applyFill="1" applyBorder="1" applyAlignment="1">
      <alignment horizontal="left" vertical="center" wrapText="1"/>
    </xf>
    <xf numFmtId="0" fontId="14" fillId="3" borderId="17" xfId="1" applyFont="1" applyFill="1" applyBorder="1" applyAlignment="1">
      <alignment horizontal="left" vertical="center" wrapText="1"/>
    </xf>
    <xf numFmtId="0" fontId="4" fillId="0" borderId="15" xfId="1" applyFont="1" applyBorder="1" applyAlignment="1">
      <alignment horizontal="left" vertical="center" wrapText="1"/>
    </xf>
    <xf numFmtId="0" fontId="4" fillId="0" borderId="16" xfId="1" applyFont="1" applyBorder="1" applyAlignment="1">
      <alignment horizontal="left" vertical="center" wrapText="1"/>
    </xf>
    <xf numFmtId="0" fontId="4" fillId="0" borderId="17" xfId="1" applyFont="1" applyBorder="1" applyAlignment="1">
      <alignment horizontal="left" vertical="center" wrapText="1"/>
    </xf>
    <xf numFmtId="0" fontId="4" fillId="3" borderId="7" xfId="1" applyFont="1" applyFill="1" applyBorder="1" applyAlignment="1">
      <alignment horizontal="left" vertical="center"/>
    </xf>
    <xf numFmtId="0" fontId="4" fillId="3" borderId="15" xfId="1" applyFont="1" applyFill="1" applyBorder="1" applyAlignment="1">
      <alignment horizontal="left" vertical="center"/>
    </xf>
    <xf numFmtId="0" fontId="4" fillId="3" borderId="16" xfId="1" applyFont="1" applyFill="1" applyBorder="1" applyAlignment="1">
      <alignment horizontal="left" vertical="center"/>
    </xf>
    <xf numFmtId="0" fontId="4" fillId="3" borderId="17" xfId="1" applyFont="1" applyFill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3" borderId="12" xfId="1" applyFont="1" applyFill="1" applyBorder="1" applyAlignment="1">
      <alignment horizontal="left" vertical="center"/>
    </xf>
    <xf numFmtId="0" fontId="4" fillId="3" borderId="13" xfId="1" applyFont="1" applyFill="1" applyBorder="1" applyAlignment="1">
      <alignment horizontal="left" vertical="center"/>
    </xf>
    <xf numFmtId="0" fontId="4" fillId="3" borderId="14" xfId="1" applyFont="1" applyFill="1" applyBorder="1" applyAlignment="1">
      <alignment horizontal="left" vertical="center"/>
    </xf>
    <xf numFmtId="0" fontId="13" fillId="3" borderId="0" xfId="1" applyFont="1" applyFill="1" applyAlignment="1">
      <alignment horizontal="left" vertical="center"/>
    </xf>
    <xf numFmtId="0" fontId="13" fillId="3" borderId="7" xfId="1" applyFont="1" applyFill="1" applyBorder="1" applyAlignment="1">
      <alignment horizontal="left" vertical="center"/>
    </xf>
    <xf numFmtId="0" fontId="7" fillId="3" borderId="15" xfId="1" applyFont="1" applyFill="1" applyBorder="1" applyAlignment="1">
      <alignment horizontal="left" vertical="center" wrapText="1"/>
    </xf>
    <xf numFmtId="0" fontId="7" fillId="3" borderId="16" xfId="1" applyFont="1" applyFill="1" applyBorder="1" applyAlignment="1">
      <alignment horizontal="left" vertical="center" wrapText="1"/>
    </xf>
    <xf numFmtId="0" fontId="7" fillId="3" borderId="17" xfId="1" applyFont="1" applyFill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1" xfId="1" applyFont="1" applyBorder="1" applyAlignment="1">
      <alignment horizontal="left" vertical="center" wrapText="1"/>
    </xf>
    <xf numFmtId="0" fontId="4" fillId="3" borderId="6" xfId="1" applyFont="1" applyFill="1" applyBorder="1" applyAlignment="1">
      <alignment horizontal="left" vertical="center" wrapText="1"/>
    </xf>
    <xf numFmtId="0" fontId="7" fillId="0" borderId="15" xfId="1" applyFont="1" applyBorder="1" applyAlignment="1">
      <alignment horizontal="left" vertical="center"/>
    </xf>
    <xf numFmtId="0" fontId="7" fillId="0" borderId="16" xfId="1" applyFont="1" applyBorder="1" applyAlignment="1">
      <alignment horizontal="left" vertical="center"/>
    </xf>
    <xf numFmtId="0" fontId="7" fillId="0" borderId="17" xfId="1" applyFont="1" applyBorder="1" applyAlignment="1">
      <alignment horizontal="left" vertical="center"/>
    </xf>
    <xf numFmtId="0" fontId="4" fillId="3" borderId="10" xfId="1" applyFont="1" applyFill="1" applyBorder="1" applyAlignment="1">
      <alignment horizontal="left" vertical="center" wrapText="1"/>
    </xf>
    <xf numFmtId="0" fontId="4" fillId="0" borderId="12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left" vertical="center" wrapText="1"/>
    </xf>
    <xf numFmtId="0" fontId="4" fillId="0" borderId="14" xfId="1" applyFont="1" applyBorder="1" applyAlignment="1">
      <alignment horizontal="left" vertical="center" wrapText="1"/>
    </xf>
    <xf numFmtId="0" fontId="7" fillId="3" borderId="15" xfId="1" applyFont="1" applyFill="1" applyBorder="1" applyAlignment="1">
      <alignment horizontal="left" vertical="center"/>
    </xf>
    <xf numFmtId="0" fontId="7" fillId="3" borderId="16" xfId="1" applyFont="1" applyFill="1" applyBorder="1" applyAlignment="1">
      <alignment horizontal="left" vertical="center"/>
    </xf>
    <xf numFmtId="0" fontId="7" fillId="3" borderId="17" xfId="1" applyFont="1" applyFill="1" applyBorder="1" applyAlignment="1">
      <alignment horizontal="left" vertical="center"/>
    </xf>
    <xf numFmtId="0" fontId="7" fillId="3" borderId="12" xfId="1" applyFont="1" applyFill="1" applyBorder="1" applyAlignment="1">
      <alignment horizontal="left" vertical="center"/>
    </xf>
    <xf numFmtId="0" fontId="7" fillId="3" borderId="13" xfId="1" applyFont="1" applyFill="1" applyBorder="1" applyAlignment="1">
      <alignment horizontal="left" vertical="center"/>
    </xf>
    <xf numFmtId="0" fontId="7" fillId="3" borderId="14" xfId="1" applyFont="1" applyFill="1" applyBorder="1" applyAlignment="1">
      <alignment horizontal="left" vertical="center"/>
    </xf>
    <xf numFmtId="0" fontId="7" fillId="0" borderId="21" xfId="1" applyFont="1" applyBorder="1" applyAlignment="1">
      <alignment horizontal="left" vertical="center"/>
    </xf>
    <xf numFmtId="0" fontId="7" fillId="0" borderId="22" xfId="1" applyFont="1" applyBorder="1" applyAlignment="1">
      <alignment horizontal="left" vertical="center"/>
    </xf>
    <xf numFmtId="0" fontId="7" fillId="0" borderId="23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19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6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0" borderId="7" xfId="1" applyFont="1" applyBorder="1" applyAlignment="1">
      <alignment horizontal="left" vertical="center" wrapText="1"/>
    </xf>
  </cellXfs>
  <cellStyles count="2">
    <cellStyle name="표준" xfId="0" builtinId="0"/>
    <cellStyle name="표준 2" xfId="1" xr:uid="{F2C30B7F-89A4-405A-9DDF-A990F5AF95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84</xdr:row>
      <xdr:rowOff>244751</xdr:rowOff>
    </xdr:from>
    <xdr:ext cx="733425" cy="247650"/>
    <xdr:sp macro="" textlink="">
      <xdr:nvSpPr>
        <xdr:cNvPr id="2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4B61C6E0-B4D5-4EAF-98E8-6DE680831BE8}"/>
            </a:ext>
          </a:extLst>
        </xdr:cNvPr>
        <xdr:cNvSpPr/>
      </xdr:nvSpPr>
      <xdr:spPr bwMode="auto">
        <a:xfrm>
          <a:off x="0" y="2100925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85</xdr:row>
      <xdr:rowOff>248065</xdr:rowOff>
    </xdr:from>
    <xdr:ext cx="733425" cy="247650"/>
    <xdr:sp macro="" textlink="">
      <xdr:nvSpPr>
        <xdr:cNvPr id="3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62DF2682-F00D-471B-A950-230D8AD4FA83}"/>
            </a:ext>
          </a:extLst>
        </xdr:cNvPr>
        <xdr:cNvSpPr/>
      </xdr:nvSpPr>
      <xdr:spPr bwMode="auto">
        <a:xfrm>
          <a:off x="11595" y="2120306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112644</xdr:colOff>
      <xdr:row>90</xdr:row>
      <xdr:rowOff>18636</xdr:rowOff>
    </xdr:from>
    <xdr:ext cx="676275" cy="236468"/>
    <xdr:sp macro="" textlink="">
      <xdr:nvSpPr>
        <xdr:cNvPr id="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2BE4BACA-D6D5-42DC-9DE1-2E7CB2074D49}"/>
            </a:ext>
          </a:extLst>
        </xdr:cNvPr>
        <xdr:cNvSpPr/>
      </xdr:nvSpPr>
      <xdr:spPr bwMode="auto">
        <a:xfrm>
          <a:off x="4894194" y="222023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90</xdr:row>
      <xdr:rowOff>42241</xdr:rowOff>
    </xdr:from>
    <xdr:ext cx="666750" cy="236468"/>
    <xdr:sp macro="" textlink="">
      <xdr:nvSpPr>
        <xdr:cNvPr id="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F1F71B5-5D89-4072-BD4C-6B1049D6CE56}"/>
            </a:ext>
          </a:extLst>
        </xdr:cNvPr>
        <xdr:cNvSpPr/>
      </xdr:nvSpPr>
      <xdr:spPr bwMode="auto">
        <a:xfrm>
          <a:off x="5134803" y="222259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92</xdr:row>
      <xdr:rowOff>18636</xdr:rowOff>
    </xdr:from>
    <xdr:ext cx="676275" cy="236468"/>
    <xdr:sp macro="" textlink="">
      <xdr:nvSpPr>
        <xdr:cNvPr id="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10E845-DA2B-420B-B5D9-CB9F46F60F33}"/>
            </a:ext>
          </a:extLst>
        </xdr:cNvPr>
        <xdr:cNvSpPr/>
      </xdr:nvSpPr>
      <xdr:spPr bwMode="auto">
        <a:xfrm>
          <a:off x="4894194" y="231167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92</xdr:row>
      <xdr:rowOff>42241</xdr:rowOff>
    </xdr:from>
    <xdr:ext cx="666750" cy="236468"/>
    <xdr:sp macro="" textlink="">
      <xdr:nvSpPr>
        <xdr:cNvPr id="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C10B2F4-2E4C-4EC0-BA72-2106DC685182}"/>
            </a:ext>
          </a:extLst>
        </xdr:cNvPr>
        <xdr:cNvSpPr/>
      </xdr:nvSpPr>
      <xdr:spPr bwMode="auto">
        <a:xfrm>
          <a:off x="5134803" y="23140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93</xdr:row>
      <xdr:rowOff>18636</xdr:rowOff>
    </xdr:from>
    <xdr:ext cx="676275" cy="236468"/>
    <xdr:sp macro="" textlink="">
      <xdr:nvSpPr>
        <xdr:cNvPr id="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61F57396-8A57-4DE8-9689-DBD40837A6C7}"/>
            </a:ext>
          </a:extLst>
        </xdr:cNvPr>
        <xdr:cNvSpPr/>
      </xdr:nvSpPr>
      <xdr:spPr bwMode="auto">
        <a:xfrm>
          <a:off x="4894194" y="232977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93</xdr:row>
      <xdr:rowOff>42241</xdr:rowOff>
    </xdr:from>
    <xdr:ext cx="666750" cy="236468"/>
    <xdr:sp macro="" textlink="">
      <xdr:nvSpPr>
        <xdr:cNvPr id="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B0F2942-9154-4E25-825F-4599ADF1E5C4}"/>
            </a:ext>
          </a:extLst>
        </xdr:cNvPr>
        <xdr:cNvSpPr/>
      </xdr:nvSpPr>
      <xdr:spPr bwMode="auto">
        <a:xfrm>
          <a:off x="5134803" y="23321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94</xdr:row>
      <xdr:rowOff>18636</xdr:rowOff>
    </xdr:from>
    <xdr:ext cx="676275" cy="236468"/>
    <xdr:sp macro="" textlink="">
      <xdr:nvSpPr>
        <xdr:cNvPr id="1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60B4EB65-44F1-43B8-B45F-69D8DB9E7A18}"/>
            </a:ext>
          </a:extLst>
        </xdr:cNvPr>
        <xdr:cNvSpPr/>
      </xdr:nvSpPr>
      <xdr:spPr bwMode="auto">
        <a:xfrm>
          <a:off x="4894194" y="239930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94</xdr:row>
      <xdr:rowOff>42241</xdr:rowOff>
    </xdr:from>
    <xdr:ext cx="666750" cy="236468"/>
    <xdr:sp macro="" textlink="">
      <xdr:nvSpPr>
        <xdr:cNvPr id="1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0BC0961-3F7C-484C-BEF8-760F75855772}"/>
            </a:ext>
          </a:extLst>
        </xdr:cNvPr>
        <xdr:cNvSpPr/>
      </xdr:nvSpPr>
      <xdr:spPr bwMode="auto">
        <a:xfrm>
          <a:off x="5134803" y="2401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95</xdr:row>
      <xdr:rowOff>18636</xdr:rowOff>
    </xdr:from>
    <xdr:ext cx="676275" cy="236468"/>
    <xdr:sp macro="" textlink="">
      <xdr:nvSpPr>
        <xdr:cNvPr id="1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7B97F6C3-9D7C-4699-86FC-D9A70B9BDCB0}"/>
            </a:ext>
          </a:extLst>
        </xdr:cNvPr>
        <xdr:cNvSpPr/>
      </xdr:nvSpPr>
      <xdr:spPr bwMode="auto">
        <a:xfrm>
          <a:off x="4894194" y="244026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95</xdr:row>
      <xdr:rowOff>42241</xdr:rowOff>
    </xdr:from>
    <xdr:ext cx="666750" cy="236468"/>
    <xdr:sp macro="" textlink="">
      <xdr:nvSpPr>
        <xdr:cNvPr id="1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BDC20B3-767E-49B5-9F47-7A19401F276C}"/>
            </a:ext>
          </a:extLst>
        </xdr:cNvPr>
        <xdr:cNvSpPr/>
      </xdr:nvSpPr>
      <xdr:spPr bwMode="auto">
        <a:xfrm>
          <a:off x="5134803" y="24426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96</xdr:row>
      <xdr:rowOff>18636</xdr:rowOff>
    </xdr:from>
    <xdr:ext cx="676275" cy="236468"/>
    <xdr:sp macro="" textlink="">
      <xdr:nvSpPr>
        <xdr:cNvPr id="1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67D9254D-EFEA-46D5-B8BA-4D897A9707F2}"/>
            </a:ext>
          </a:extLst>
        </xdr:cNvPr>
        <xdr:cNvSpPr/>
      </xdr:nvSpPr>
      <xdr:spPr bwMode="auto">
        <a:xfrm>
          <a:off x="4894194" y="249074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96</xdr:row>
      <xdr:rowOff>42241</xdr:rowOff>
    </xdr:from>
    <xdr:ext cx="666750" cy="236468"/>
    <xdr:sp macro="" textlink="">
      <xdr:nvSpPr>
        <xdr:cNvPr id="1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308A20F-B4CB-44AE-85E5-021CD17F2131}"/>
            </a:ext>
          </a:extLst>
        </xdr:cNvPr>
        <xdr:cNvSpPr/>
      </xdr:nvSpPr>
      <xdr:spPr bwMode="auto">
        <a:xfrm>
          <a:off x="5134803" y="2493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97</xdr:row>
      <xdr:rowOff>18636</xdr:rowOff>
    </xdr:from>
    <xdr:ext cx="676275" cy="236468"/>
    <xdr:sp macro="" textlink="">
      <xdr:nvSpPr>
        <xdr:cNvPr id="1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AAF2732D-256F-4917-B6C2-A83092101CD9}"/>
            </a:ext>
          </a:extLst>
        </xdr:cNvPr>
        <xdr:cNvSpPr/>
      </xdr:nvSpPr>
      <xdr:spPr bwMode="auto">
        <a:xfrm>
          <a:off x="4894194" y="254122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97</xdr:row>
      <xdr:rowOff>42241</xdr:rowOff>
    </xdr:from>
    <xdr:ext cx="666750" cy="236468"/>
    <xdr:sp macro="" textlink="">
      <xdr:nvSpPr>
        <xdr:cNvPr id="1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94D21A1-666D-457E-86E6-C3817BBAD86A}"/>
            </a:ext>
          </a:extLst>
        </xdr:cNvPr>
        <xdr:cNvSpPr/>
      </xdr:nvSpPr>
      <xdr:spPr bwMode="auto">
        <a:xfrm>
          <a:off x="5134803" y="25435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93</xdr:row>
      <xdr:rowOff>18636</xdr:rowOff>
    </xdr:from>
    <xdr:ext cx="676275" cy="236468"/>
    <xdr:sp macro="" textlink="">
      <xdr:nvSpPr>
        <xdr:cNvPr id="1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C40A6060-7A94-4BEB-9513-84CD5096746D}"/>
            </a:ext>
          </a:extLst>
        </xdr:cNvPr>
        <xdr:cNvSpPr/>
      </xdr:nvSpPr>
      <xdr:spPr bwMode="auto">
        <a:xfrm>
          <a:off x="4894194" y="232977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93</xdr:row>
      <xdr:rowOff>42241</xdr:rowOff>
    </xdr:from>
    <xdr:ext cx="666750" cy="236468"/>
    <xdr:sp macro="" textlink="">
      <xdr:nvSpPr>
        <xdr:cNvPr id="1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4F45793-8F26-487C-A493-8EEC2DEFE4BC}"/>
            </a:ext>
          </a:extLst>
        </xdr:cNvPr>
        <xdr:cNvSpPr/>
      </xdr:nvSpPr>
      <xdr:spPr bwMode="auto">
        <a:xfrm>
          <a:off x="5134803" y="23321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94</xdr:row>
      <xdr:rowOff>18636</xdr:rowOff>
    </xdr:from>
    <xdr:ext cx="676275" cy="236468"/>
    <xdr:sp macro="" textlink="">
      <xdr:nvSpPr>
        <xdr:cNvPr id="2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25215710-8598-4A1C-92A4-D9741790EC9F}"/>
            </a:ext>
          </a:extLst>
        </xdr:cNvPr>
        <xdr:cNvSpPr/>
      </xdr:nvSpPr>
      <xdr:spPr bwMode="auto">
        <a:xfrm>
          <a:off x="4894194" y="239930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94</xdr:row>
      <xdr:rowOff>42241</xdr:rowOff>
    </xdr:from>
    <xdr:ext cx="666750" cy="236468"/>
    <xdr:sp macro="" textlink="">
      <xdr:nvSpPr>
        <xdr:cNvPr id="2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0E87191-FD24-4119-A3D3-C069CBE8C07B}"/>
            </a:ext>
          </a:extLst>
        </xdr:cNvPr>
        <xdr:cNvSpPr/>
      </xdr:nvSpPr>
      <xdr:spPr bwMode="auto">
        <a:xfrm>
          <a:off x="5134803" y="2401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95</xdr:row>
      <xdr:rowOff>18636</xdr:rowOff>
    </xdr:from>
    <xdr:ext cx="676275" cy="236468"/>
    <xdr:sp macro="" textlink="">
      <xdr:nvSpPr>
        <xdr:cNvPr id="2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DC488EF7-6467-4CB9-94A9-D098AB3AD6D1}"/>
            </a:ext>
          </a:extLst>
        </xdr:cNvPr>
        <xdr:cNvSpPr/>
      </xdr:nvSpPr>
      <xdr:spPr bwMode="auto">
        <a:xfrm>
          <a:off x="4894194" y="244026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95</xdr:row>
      <xdr:rowOff>42241</xdr:rowOff>
    </xdr:from>
    <xdr:ext cx="666750" cy="236468"/>
    <xdr:sp macro="" textlink="">
      <xdr:nvSpPr>
        <xdr:cNvPr id="2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7FB3A70-5372-4625-8A9F-E1C7AE94778F}"/>
            </a:ext>
          </a:extLst>
        </xdr:cNvPr>
        <xdr:cNvSpPr/>
      </xdr:nvSpPr>
      <xdr:spPr bwMode="auto">
        <a:xfrm>
          <a:off x="5134803" y="24426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96</xdr:row>
      <xdr:rowOff>18636</xdr:rowOff>
    </xdr:from>
    <xdr:ext cx="676275" cy="236468"/>
    <xdr:sp macro="" textlink="">
      <xdr:nvSpPr>
        <xdr:cNvPr id="2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2B6EF62-9ED7-4430-B743-13EC69792FCB}"/>
            </a:ext>
          </a:extLst>
        </xdr:cNvPr>
        <xdr:cNvSpPr/>
      </xdr:nvSpPr>
      <xdr:spPr bwMode="auto">
        <a:xfrm>
          <a:off x="4894194" y="249074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96</xdr:row>
      <xdr:rowOff>42241</xdr:rowOff>
    </xdr:from>
    <xdr:ext cx="666750" cy="236468"/>
    <xdr:sp macro="" textlink="">
      <xdr:nvSpPr>
        <xdr:cNvPr id="2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AC023BE-EE87-4772-BC21-AE933A8D9BB9}"/>
            </a:ext>
          </a:extLst>
        </xdr:cNvPr>
        <xdr:cNvSpPr/>
      </xdr:nvSpPr>
      <xdr:spPr bwMode="auto">
        <a:xfrm>
          <a:off x="5134803" y="2493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97</xdr:row>
      <xdr:rowOff>18636</xdr:rowOff>
    </xdr:from>
    <xdr:ext cx="676275" cy="236468"/>
    <xdr:sp macro="" textlink="">
      <xdr:nvSpPr>
        <xdr:cNvPr id="2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2ACA810E-E23E-45DD-99C5-AB67D8A3F0CE}"/>
            </a:ext>
          </a:extLst>
        </xdr:cNvPr>
        <xdr:cNvSpPr/>
      </xdr:nvSpPr>
      <xdr:spPr bwMode="auto">
        <a:xfrm>
          <a:off x="4894194" y="254122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97</xdr:row>
      <xdr:rowOff>42241</xdr:rowOff>
    </xdr:from>
    <xdr:ext cx="666750" cy="236468"/>
    <xdr:sp macro="" textlink="">
      <xdr:nvSpPr>
        <xdr:cNvPr id="2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99DDDE4-9849-4749-ABFF-83A8160F6615}"/>
            </a:ext>
          </a:extLst>
        </xdr:cNvPr>
        <xdr:cNvSpPr/>
      </xdr:nvSpPr>
      <xdr:spPr bwMode="auto">
        <a:xfrm>
          <a:off x="5134803" y="25435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116</xdr:row>
      <xdr:rowOff>18636</xdr:rowOff>
    </xdr:from>
    <xdr:ext cx="676275" cy="236468"/>
    <xdr:sp macro="" textlink="">
      <xdr:nvSpPr>
        <xdr:cNvPr id="2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7FB2B4C5-E2FE-448F-8E08-E1A8EDAC7BA5}"/>
            </a:ext>
          </a:extLst>
        </xdr:cNvPr>
        <xdr:cNvSpPr/>
      </xdr:nvSpPr>
      <xdr:spPr bwMode="auto">
        <a:xfrm>
          <a:off x="4894194" y="304700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116</xdr:row>
      <xdr:rowOff>42241</xdr:rowOff>
    </xdr:from>
    <xdr:ext cx="666750" cy="236468"/>
    <xdr:sp macro="" textlink="">
      <xdr:nvSpPr>
        <xdr:cNvPr id="2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D666A40-E895-4437-9A59-ED7167EE934D}"/>
            </a:ext>
          </a:extLst>
        </xdr:cNvPr>
        <xdr:cNvSpPr/>
      </xdr:nvSpPr>
      <xdr:spPr bwMode="auto">
        <a:xfrm>
          <a:off x="5134803" y="30493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116</xdr:row>
      <xdr:rowOff>18636</xdr:rowOff>
    </xdr:from>
    <xdr:ext cx="676275" cy="236468"/>
    <xdr:sp macro="" textlink="">
      <xdr:nvSpPr>
        <xdr:cNvPr id="3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25968EC7-9047-4E37-B317-CFB13DA84BE2}"/>
            </a:ext>
          </a:extLst>
        </xdr:cNvPr>
        <xdr:cNvSpPr/>
      </xdr:nvSpPr>
      <xdr:spPr bwMode="auto">
        <a:xfrm>
          <a:off x="4894194" y="304700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116</xdr:row>
      <xdr:rowOff>42241</xdr:rowOff>
    </xdr:from>
    <xdr:ext cx="666750" cy="236468"/>
    <xdr:sp macro="" textlink="">
      <xdr:nvSpPr>
        <xdr:cNvPr id="3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5C44E14-F425-4715-BD84-08EACE9B574C}"/>
            </a:ext>
          </a:extLst>
        </xdr:cNvPr>
        <xdr:cNvSpPr/>
      </xdr:nvSpPr>
      <xdr:spPr bwMode="auto">
        <a:xfrm>
          <a:off x="5134803" y="30493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118</xdr:row>
      <xdr:rowOff>18636</xdr:rowOff>
    </xdr:from>
    <xdr:ext cx="676275" cy="236468"/>
    <xdr:sp macro="" textlink="">
      <xdr:nvSpPr>
        <xdr:cNvPr id="3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9FFCBD95-04FD-4F55-8891-D0478FA25259}"/>
            </a:ext>
          </a:extLst>
        </xdr:cNvPr>
        <xdr:cNvSpPr/>
      </xdr:nvSpPr>
      <xdr:spPr bwMode="auto">
        <a:xfrm>
          <a:off x="4894194" y="311653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118</xdr:row>
      <xdr:rowOff>42241</xdr:rowOff>
    </xdr:from>
    <xdr:ext cx="666750" cy="236468"/>
    <xdr:sp macro="" textlink="">
      <xdr:nvSpPr>
        <xdr:cNvPr id="3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461D412-3F6B-4AC7-99F1-8785044913C2}"/>
            </a:ext>
          </a:extLst>
        </xdr:cNvPr>
        <xdr:cNvSpPr/>
      </xdr:nvSpPr>
      <xdr:spPr bwMode="auto">
        <a:xfrm>
          <a:off x="5134803" y="31188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118</xdr:row>
      <xdr:rowOff>18636</xdr:rowOff>
    </xdr:from>
    <xdr:ext cx="676275" cy="236468"/>
    <xdr:sp macro="" textlink="">
      <xdr:nvSpPr>
        <xdr:cNvPr id="3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6D3267DA-2388-4C94-98D5-B13CB01E21B0}"/>
            </a:ext>
          </a:extLst>
        </xdr:cNvPr>
        <xdr:cNvSpPr/>
      </xdr:nvSpPr>
      <xdr:spPr bwMode="auto">
        <a:xfrm>
          <a:off x="4894194" y="311653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118</xdr:row>
      <xdr:rowOff>42241</xdr:rowOff>
    </xdr:from>
    <xdr:ext cx="666750" cy="236468"/>
    <xdr:sp macro="" textlink="">
      <xdr:nvSpPr>
        <xdr:cNvPr id="3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394D93B-3379-427F-B7CF-FD44C80C64E9}"/>
            </a:ext>
          </a:extLst>
        </xdr:cNvPr>
        <xdr:cNvSpPr/>
      </xdr:nvSpPr>
      <xdr:spPr bwMode="auto">
        <a:xfrm>
          <a:off x="5134803" y="31188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119</xdr:row>
      <xdr:rowOff>18636</xdr:rowOff>
    </xdr:from>
    <xdr:ext cx="676275" cy="236468"/>
    <xdr:sp macro="" textlink="">
      <xdr:nvSpPr>
        <xdr:cNvPr id="3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92A39B44-5CFA-4168-A9EC-399036B841E4}"/>
            </a:ext>
          </a:extLst>
        </xdr:cNvPr>
        <xdr:cNvSpPr/>
      </xdr:nvSpPr>
      <xdr:spPr bwMode="auto">
        <a:xfrm>
          <a:off x="4894194" y="316702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119</xdr:row>
      <xdr:rowOff>42241</xdr:rowOff>
    </xdr:from>
    <xdr:ext cx="666750" cy="236468"/>
    <xdr:sp macro="" textlink="">
      <xdr:nvSpPr>
        <xdr:cNvPr id="3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DD0FC4D-6C1E-4DCB-A7B4-AD536F5130A6}"/>
            </a:ext>
          </a:extLst>
        </xdr:cNvPr>
        <xdr:cNvSpPr/>
      </xdr:nvSpPr>
      <xdr:spPr bwMode="auto">
        <a:xfrm>
          <a:off x="5134803" y="31693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119</xdr:row>
      <xdr:rowOff>18636</xdr:rowOff>
    </xdr:from>
    <xdr:ext cx="676275" cy="236468"/>
    <xdr:sp macro="" textlink="">
      <xdr:nvSpPr>
        <xdr:cNvPr id="3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848619DD-004C-4630-AE36-995FC5E1985F}"/>
            </a:ext>
          </a:extLst>
        </xdr:cNvPr>
        <xdr:cNvSpPr/>
      </xdr:nvSpPr>
      <xdr:spPr bwMode="auto">
        <a:xfrm>
          <a:off x="4894194" y="316702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119</xdr:row>
      <xdr:rowOff>42241</xdr:rowOff>
    </xdr:from>
    <xdr:ext cx="666750" cy="236468"/>
    <xdr:sp macro="" textlink="">
      <xdr:nvSpPr>
        <xdr:cNvPr id="3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388B746-2C7E-4E8C-8E0D-DE2A051D7A19}"/>
            </a:ext>
          </a:extLst>
        </xdr:cNvPr>
        <xdr:cNvSpPr/>
      </xdr:nvSpPr>
      <xdr:spPr bwMode="auto">
        <a:xfrm>
          <a:off x="5134803" y="31693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129</xdr:row>
      <xdr:rowOff>18636</xdr:rowOff>
    </xdr:from>
    <xdr:ext cx="676275" cy="236468"/>
    <xdr:sp macro="" textlink="">
      <xdr:nvSpPr>
        <xdr:cNvPr id="4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3D0F09DD-C45A-4211-A34F-9C977AADA805}"/>
            </a:ext>
          </a:extLst>
        </xdr:cNvPr>
        <xdr:cNvSpPr/>
      </xdr:nvSpPr>
      <xdr:spPr bwMode="auto">
        <a:xfrm>
          <a:off x="4894194" y="340705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129</xdr:row>
      <xdr:rowOff>42241</xdr:rowOff>
    </xdr:from>
    <xdr:ext cx="666750" cy="236468"/>
    <xdr:sp macro="" textlink="">
      <xdr:nvSpPr>
        <xdr:cNvPr id="4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85CAC57-AC31-4AB2-8137-3BC77414E1CD}"/>
            </a:ext>
          </a:extLst>
        </xdr:cNvPr>
        <xdr:cNvSpPr/>
      </xdr:nvSpPr>
      <xdr:spPr bwMode="auto">
        <a:xfrm>
          <a:off x="5134803" y="340941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129</xdr:row>
      <xdr:rowOff>18636</xdr:rowOff>
    </xdr:from>
    <xdr:ext cx="676275" cy="236468"/>
    <xdr:sp macro="" textlink="">
      <xdr:nvSpPr>
        <xdr:cNvPr id="4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4A5E5898-07EC-46CE-B1BC-E2335A914B8B}"/>
            </a:ext>
          </a:extLst>
        </xdr:cNvPr>
        <xdr:cNvSpPr/>
      </xdr:nvSpPr>
      <xdr:spPr bwMode="auto">
        <a:xfrm>
          <a:off x="4894194" y="340705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129</xdr:row>
      <xdr:rowOff>42241</xdr:rowOff>
    </xdr:from>
    <xdr:ext cx="666750" cy="236468"/>
    <xdr:sp macro="" textlink="">
      <xdr:nvSpPr>
        <xdr:cNvPr id="4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98B547C-72CF-4D9C-941C-68E5033336B7}"/>
            </a:ext>
          </a:extLst>
        </xdr:cNvPr>
        <xdr:cNvSpPr/>
      </xdr:nvSpPr>
      <xdr:spPr bwMode="auto">
        <a:xfrm>
          <a:off x="5134803" y="340941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135</xdr:row>
      <xdr:rowOff>18636</xdr:rowOff>
    </xdr:from>
    <xdr:ext cx="676275" cy="236468"/>
    <xdr:sp macro="" textlink="">
      <xdr:nvSpPr>
        <xdr:cNvPr id="4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7094D438-70C9-44D9-A676-0005720FF4A6}"/>
            </a:ext>
          </a:extLst>
        </xdr:cNvPr>
        <xdr:cNvSpPr/>
      </xdr:nvSpPr>
      <xdr:spPr bwMode="auto">
        <a:xfrm>
          <a:off x="4894194" y="354230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4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E8395E9-7035-4FF6-A5D9-490F914ECD36}"/>
            </a:ext>
          </a:extLst>
        </xdr:cNvPr>
        <xdr:cNvSpPr/>
      </xdr:nvSpPr>
      <xdr:spPr bwMode="auto">
        <a:xfrm>
          <a:off x="5134803" y="3544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135</xdr:row>
      <xdr:rowOff>18636</xdr:rowOff>
    </xdr:from>
    <xdr:ext cx="676275" cy="236468"/>
    <xdr:sp macro="" textlink="">
      <xdr:nvSpPr>
        <xdr:cNvPr id="4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AD2BC6B5-DBD5-428E-9693-73FBD179304E}"/>
            </a:ext>
          </a:extLst>
        </xdr:cNvPr>
        <xdr:cNvSpPr/>
      </xdr:nvSpPr>
      <xdr:spPr bwMode="auto">
        <a:xfrm>
          <a:off x="4894194" y="354230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4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0026131-76CD-4878-8C31-9898B6C99A07}"/>
            </a:ext>
          </a:extLst>
        </xdr:cNvPr>
        <xdr:cNvSpPr/>
      </xdr:nvSpPr>
      <xdr:spPr bwMode="auto">
        <a:xfrm>
          <a:off x="5134803" y="3544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136</xdr:row>
      <xdr:rowOff>18636</xdr:rowOff>
    </xdr:from>
    <xdr:ext cx="676275" cy="236468"/>
    <xdr:sp macro="" textlink="">
      <xdr:nvSpPr>
        <xdr:cNvPr id="4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F3E07BCF-C6EE-4046-9558-7C93C8458679}"/>
            </a:ext>
          </a:extLst>
        </xdr:cNvPr>
        <xdr:cNvSpPr/>
      </xdr:nvSpPr>
      <xdr:spPr bwMode="auto">
        <a:xfrm>
          <a:off x="4894194" y="356040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4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ACF55EB-B84F-4428-800B-07ED5C94887B}"/>
            </a:ext>
          </a:extLst>
        </xdr:cNvPr>
        <xdr:cNvSpPr/>
      </xdr:nvSpPr>
      <xdr:spPr bwMode="auto">
        <a:xfrm>
          <a:off x="5134803" y="35627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136</xdr:row>
      <xdr:rowOff>18636</xdr:rowOff>
    </xdr:from>
    <xdr:ext cx="676275" cy="236468"/>
    <xdr:sp macro="" textlink="">
      <xdr:nvSpPr>
        <xdr:cNvPr id="5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3EACCD6F-C456-4D9A-931F-85E774FB630B}"/>
            </a:ext>
          </a:extLst>
        </xdr:cNvPr>
        <xdr:cNvSpPr/>
      </xdr:nvSpPr>
      <xdr:spPr bwMode="auto">
        <a:xfrm>
          <a:off x="4894194" y="356040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5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1CA10F3-5436-499B-B5A0-1F57BE4235C2}"/>
            </a:ext>
          </a:extLst>
        </xdr:cNvPr>
        <xdr:cNvSpPr/>
      </xdr:nvSpPr>
      <xdr:spPr bwMode="auto">
        <a:xfrm>
          <a:off x="5134803" y="35627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143</xdr:row>
      <xdr:rowOff>18636</xdr:rowOff>
    </xdr:from>
    <xdr:ext cx="676275" cy="236468"/>
    <xdr:sp macro="" textlink="">
      <xdr:nvSpPr>
        <xdr:cNvPr id="5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2E87FE38-BAC6-405D-ABA4-36DECBCE1565}"/>
            </a:ext>
          </a:extLst>
        </xdr:cNvPr>
        <xdr:cNvSpPr/>
      </xdr:nvSpPr>
      <xdr:spPr bwMode="auto">
        <a:xfrm>
          <a:off x="4894194" y="368613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143</xdr:row>
      <xdr:rowOff>42241</xdr:rowOff>
    </xdr:from>
    <xdr:ext cx="666750" cy="236468"/>
    <xdr:sp macro="" textlink="">
      <xdr:nvSpPr>
        <xdr:cNvPr id="5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CC50C25-F058-4BF6-A8CC-72CF4E5788E5}"/>
            </a:ext>
          </a:extLst>
        </xdr:cNvPr>
        <xdr:cNvSpPr/>
      </xdr:nvSpPr>
      <xdr:spPr bwMode="auto">
        <a:xfrm>
          <a:off x="5134803" y="368849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143</xdr:row>
      <xdr:rowOff>18636</xdr:rowOff>
    </xdr:from>
    <xdr:ext cx="676275" cy="236468"/>
    <xdr:sp macro="" textlink="">
      <xdr:nvSpPr>
        <xdr:cNvPr id="5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20439B5-8CE8-49F7-A982-8A450DA45A4E}"/>
            </a:ext>
          </a:extLst>
        </xdr:cNvPr>
        <xdr:cNvSpPr/>
      </xdr:nvSpPr>
      <xdr:spPr bwMode="auto">
        <a:xfrm>
          <a:off x="4894194" y="368613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143</xdr:row>
      <xdr:rowOff>42241</xdr:rowOff>
    </xdr:from>
    <xdr:ext cx="666750" cy="236468"/>
    <xdr:sp macro="" textlink="">
      <xdr:nvSpPr>
        <xdr:cNvPr id="5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CEA543F-E28F-4361-9118-C9BB74961D0D}"/>
            </a:ext>
          </a:extLst>
        </xdr:cNvPr>
        <xdr:cNvSpPr/>
      </xdr:nvSpPr>
      <xdr:spPr bwMode="auto">
        <a:xfrm>
          <a:off x="5134803" y="368849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148</xdr:row>
      <xdr:rowOff>18636</xdr:rowOff>
    </xdr:from>
    <xdr:ext cx="676275" cy="236468"/>
    <xdr:sp macro="" textlink="">
      <xdr:nvSpPr>
        <xdr:cNvPr id="5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28D674B8-A8BA-4EF5-BE43-45AB1200DACD}"/>
            </a:ext>
          </a:extLst>
        </xdr:cNvPr>
        <xdr:cNvSpPr/>
      </xdr:nvSpPr>
      <xdr:spPr bwMode="auto">
        <a:xfrm>
          <a:off x="4894194" y="380614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148</xdr:row>
      <xdr:rowOff>42241</xdr:rowOff>
    </xdr:from>
    <xdr:ext cx="666750" cy="236468"/>
    <xdr:sp macro="" textlink="">
      <xdr:nvSpPr>
        <xdr:cNvPr id="5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8D3C9F8-D87E-4B3B-8865-2BEEC3A731D7}"/>
            </a:ext>
          </a:extLst>
        </xdr:cNvPr>
        <xdr:cNvSpPr/>
      </xdr:nvSpPr>
      <xdr:spPr bwMode="auto">
        <a:xfrm>
          <a:off x="5134803" y="380850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148</xdr:row>
      <xdr:rowOff>18636</xdr:rowOff>
    </xdr:from>
    <xdr:ext cx="676275" cy="236468"/>
    <xdr:sp macro="" textlink="">
      <xdr:nvSpPr>
        <xdr:cNvPr id="5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D2808EA3-BAED-4AA0-A95C-28FA8F0D71CD}"/>
            </a:ext>
          </a:extLst>
        </xdr:cNvPr>
        <xdr:cNvSpPr/>
      </xdr:nvSpPr>
      <xdr:spPr bwMode="auto">
        <a:xfrm>
          <a:off x="4894194" y="380614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148</xdr:row>
      <xdr:rowOff>42241</xdr:rowOff>
    </xdr:from>
    <xdr:ext cx="666750" cy="236468"/>
    <xdr:sp macro="" textlink="">
      <xdr:nvSpPr>
        <xdr:cNvPr id="5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D0FE6D4-D9C3-43B9-A74A-E0E0B7E6077C}"/>
            </a:ext>
          </a:extLst>
        </xdr:cNvPr>
        <xdr:cNvSpPr/>
      </xdr:nvSpPr>
      <xdr:spPr bwMode="auto">
        <a:xfrm>
          <a:off x="5134803" y="380850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155</xdr:row>
      <xdr:rowOff>18636</xdr:rowOff>
    </xdr:from>
    <xdr:ext cx="676275" cy="236468"/>
    <xdr:sp macro="" textlink="">
      <xdr:nvSpPr>
        <xdr:cNvPr id="6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15317222-D540-4F34-8D6E-AF97EA58B5E3}"/>
            </a:ext>
          </a:extLst>
        </xdr:cNvPr>
        <xdr:cNvSpPr/>
      </xdr:nvSpPr>
      <xdr:spPr bwMode="auto">
        <a:xfrm>
          <a:off x="4894194" y="396331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155</xdr:row>
      <xdr:rowOff>42241</xdr:rowOff>
    </xdr:from>
    <xdr:ext cx="666750" cy="236468"/>
    <xdr:sp macro="" textlink="">
      <xdr:nvSpPr>
        <xdr:cNvPr id="6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C1E7ED3-95A9-4A78-85D7-FE7348DFC5C2}"/>
            </a:ext>
          </a:extLst>
        </xdr:cNvPr>
        <xdr:cNvSpPr/>
      </xdr:nvSpPr>
      <xdr:spPr bwMode="auto">
        <a:xfrm>
          <a:off x="5134803" y="39656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155</xdr:row>
      <xdr:rowOff>18636</xdr:rowOff>
    </xdr:from>
    <xdr:ext cx="676275" cy="236468"/>
    <xdr:sp macro="" textlink="">
      <xdr:nvSpPr>
        <xdr:cNvPr id="6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AAEBD5EB-1C3C-411B-963A-AF29E791B3AE}"/>
            </a:ext>
          </a:extLst>
        </xdr:cNvPr>
        <xdr:cNvSpPr/>
      </xdr:nvSpPr>
      <xdr:spPr bwMode="auto">
        <a:xfrm>
          <a:off x="4894194" y="3963311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155</xdr:row>
      <xdr:rowOff>42241</xdr:rowOff>
    </xdr:from>
    <xdr:ext cx="666750" cy="236468"/>
    <xdr:sp macro="" textlink="">
      <xdr:nvSpPr>
        <xdr:cNvPr id="6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AE423C0-BCBD-45F5-AFC1-ABF73A455174}"/>
            </a:ext>
          </a:extLst>
        </xdr:cNvPr>
        <xdr:cNvSpPr/>
      </xdr:nvSpPr>
      <xdr:spPr bwMode="auto">
        <a:xfrm>
          <a:off x="5134803" y="39656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156</xdr:row>
      <xdr:rowOff>18636</xdr:rowOff>
    </xdr:from>
    <xdr:ext cx="676275" cy="236468"/>
    <xdr:sp macro="" textlink="">
      <xdr:nvSpPr>
        <xdr:cNvPr id="6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86138B65-0360-4E91-B6F5-8CE1873E3F0B}"/>
            </a:ext>
          </a:extLst>
        </xdr:cNvPr>
        <xdr:cNvSpPr/>
      </xdr:nvSpPr>
      <xdr:spPr bwMode="auto">
        <a:xfrm>
          <a:off x="4894194" y="400712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156</xdr:row>
      <xdr:rowOff>42241</xdr:rowOff>
    </xdr:from>
    <xdr:ext cx="666750" cy="236468"/>
    <xdr:sp macro="" textlink="">
      <xdr:nvSpPr>
        <xdr:cNvPr id="6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3E7293E-C0DF-49C5-BFFA-EECA39B9278F}"/>
            </a:ext>
          </a:extLst>
        </xdr:cNvPr>
        <xdr:cNvSpPr/>
      </xdr:nvSpPr>
      <xdr:spPr bwMode="auto">
        <a:xfrm>
          <a:off x="5134803" y="400948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156</xdr:row>
      <xdr:rowOff>18636</xdr:rowOff>
    </xdr:from>
    <xdr:ext cx="676275" cy="236468"/>
    <xdr:sp macro="" textlink="">
      <xdr:nvSpPr>
        <xdr:cNvPr id="6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3EA28DB3-A0C0-4E32-9D5E-858C11FF789A}"/>
            </a:ext>
          </a:extLst>
        </xdr:cNvPr>
        <xdr:cNvSpPr/>
      </xdr:nvSpPr>
      <xdr:spPr bwMode="auto">
        <a:xfrm>
          <a:off x="4894194" y="400712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156</xdr:row>
      <xdr:rowOff>42241</xdr:rowOff>
    </xdr:from>
    <xdr:ext cx="666750" cy="236468"/>
    <xdr:sp macro="" textlink="">
      <xdr:nvSpPr>
        <xdr:cNvPr id="6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CB4E022-D1B3-421C-A7B6-58E1D998379A}"/>
            </a:ext>
          </a:extLst>
        </xdr:cNvPr>
        <xdr:cNvSpPr/>
      </xdr:nvSpPr>
      <xdr:spPr bwMode="auto">
        <a:xfrm>
          <a:off x="5134803" y="400948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168</xdr:row>
      <xdr:rowOff>18636</xdr:rowOff>
    </xdr:from>
    <xdr:ext cx="676275" cy="236468"/>
    <xdr:sp macro="" textlink="">
      <xdr:nvSpPr>
        <xdr:cNvPr id="6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24E7A20F-53A4-4D34-A148-F2D65FBEFD36}"/>
            </a:ext>
          </a:extLst>
        </xdr:cNvPr>
        <xdr:cNvSpPr/>
      </xdr:nvSpPr>
      <xdr:spPr bwMode="auto">
        <a:xfrm>
          <a:off x="4894194" y="436526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168</xdr:row>
      <xdr:rowOff>42241</xdr:rowOff>
    </xdr:from>
    <xdr:ext cx="666750" cy="236468"/>
    <xdr:sp macro="" textlink="">
      <xdr:nvSpPr>
        <xdr:cNvPr id="6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C75DBB0-21A6-4183-97CD-C3EE8E3EAD48}"/>
            </a:ext>
          </a:extLst>
        </xdr:cNvPr>
        <xdr:cNvSpPr/>
      </xdr:nvSpPr>
      <xdr:spPr bwMode="auto">
        <a:xfrm>
          <a:off x="5134803" y="43676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168</xdr:row>
      <xdr:rowOff>18636</xdr:rowOff>
    </xdr:from>
    <xdr:ext cx="676275" cy="236468"/>
    <xdr:sp macro="" textlink="">
      <xdr:nvSpPr>
        <xdr:cNvPr id="7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8906C53-A593-4D88-B5DB-0CB29A86EA03}"/>
            </a:ext>
          </a:extLst>
        </xdr:cNvPr>
        <xdr:cNvSpPr/>
      </xdr:nvSpPr>
      <xdr:spPr bwMode="auto">
        <a:xfrm>
          <a:off x="4894194" y="436526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168</xdr:row>
      <xdr:rowOff>42241</xdr:rowOff>
    </xdr:from>
    <xdr:ext cx="666750" cy="236468"/>
    <xdr:sp macro="" textlink="">
      <xdr:nvSpPr>
        <xdr:cNvPr id="7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CEFF529-C5C1-41FE-9F6B-F3E0F0843AFA}"/>
            </a:ext>
          </a:extLst>
        </xdr:cNvPr>
        <xdr:cNvSpPr/>
      </xdr:nvSpPr>
      <xdr:spPr bwMode="auto">
        <a:xfrm>
          <a:off x="5134803" y="43676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169</xdr:row>
      <xdr:rowOff>18636</xdr:rowOff>
    </xdr:from>
    <xdr:ext cx="676275" cy="236468"/>
    <xdr:sp macro="" textlink="">
      <xdr:nvSpPr>
        <xdr:cNvPr id="7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E02C9AFB-753A-40AE-B400-3686475C1B14}"/>
            </a:ext>
          </a:extLst>
        </xdr:cNvPr>
        <xdr:cNvSpPr/>
      </xdr:nvSpPr>
      <xdr:spPr bwMode="auto">
        <a:xfrm>
          <a:off x="4894194" y="440717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169</xdr:row>
      <xdr:rowOff>42241</xdr:rowOff>
    </xdr:from>
    <xdr:ext cx="666750" cy="236468"/>
    <xdr:sp macro="" textlink="">
      <xdr:nvSpPr>
        <xdr:cNvPr id="7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B090193-FE01-4421-BDAE-6B6E6CE931BA}"/>
            </a:ext>
          </a:extLst>
        </xdr:cNvPr>
        <xdr:cNvSpPr/>
      </xdr:nvSpPr>
      <xdr:spPr bwMode="auto">
        <a:xfrm>
          <a:off x="5134803" y="44095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169</xdr:row>
      <xdr:rowOff>18636</xdr:rowOff>
    </xdr:from>
    <xdr:ext cx="676275" cy="236468"/>
    <xdr:sp macro="" textlink="">
      <xdr:nvSpPr>
        <xdr:cNvPr id="7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33810F8B-C334-4AE4-A385-7F97F0F71BCC}"/>
            </a:ext>
          </a:extLst>
        </xdr:cNvPr>
        <xdr:cNvSpPr/>
      </xdr:nvSpPr>
      <xdr:spPr bwMode="auto">
        <a:xfrm>
          <a:off x="4894194" y="440717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169</xdr:row>
      <xdr:rowOff>42241</xdr:rowOff>
    </xdr:from>
    <xdr:ext cx="666750" cy="236468"/>
    <xdr:sp macro="" textlink="">
      <xdr:nvSpPr>
        <xdr:cNvPr id="7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1CF07F3-13EC-48E3-A791-92BCFC5CC9BF}"/>
            </a:ext>
          </a:extLst>
        </xdr:cNvPr>
        <xdr:cNvSpPr/>
      </xdr:nvSpPr>
      <xdr:spPr bwMode="auto">
        <a:xfrm>
          <a:off x="5134803" y="44095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170</xdr:row>
      <xdr:rowOff>18636</xdr:rowOff>
    </xdr:from>
    <xdr:ext cx="676275" cy="236468"/>
    <xdr:sp macro="" textlink="">
      <xdr:nvSpPr>
        <xdr:cNvPr id="7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80548CD9-8F6A-4386-B7A4-659F589C17A7}"/>
            </a:ext>
          </a:extLst>
        </xdr:cNvPr>
        <xdr:cNvSpPr/>
      </xdr:nvSpPr>
      <xdr:spPr bwMode="auto">
        <a:xfrm>
          <a:off x="4894194" y="444527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170</xdr:row>
      <xdr:rowOff>42241</xdr:rowOff>
    </xdr:from>
    <xdr:ext cx="666750" cy="236468"/>
    <xdr:sp macro="" textlink="">
      <xdr:nvSpPr>
        <xdr:cNvPr id="7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D0EFDE9-B3CC-4D09-95ED-9491855E81A3}"/>
            </a:ext>
          </a:extLst>
        </xdr:cNvPr>
        <xdr:cNvSpPr/>
      </xdr:nvSpPr>
      <xdr:spPr bwMode="auto">
        <a:xfrm>
          <a:off x="5134803" y="4447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170</xdr:row>
      <xdr:rowOff>18636</xdr:rowOff>
    </xdr:from>
    <xdr:ext cx="676275" cy="236468"/>
    <xdr:sp macro="" textlink="">
      <xdr:nvSpPr>
        <xdr:cNvPr id="7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604A528-CD8F-4709-B602-AB456466B313}"/>
            </a:ext>
          </a:extLst>
        </xdr:cNvPr>
        <xdr:cNvSpPr/>
      </xdr:nvSpPr>
      <xdr:spPr bwMode="auto">
        <a:xfrm>
          <a:off x="4894194" y="444527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170</xdr:row>
      <xdr:rowOff>42241</xdr:rowOff>
    </xdr:from>
    <xdr:ext cx="666750" cy="236468"/>
    <xdr:sp macro="" textlink="">
      <xdr:nvSpPr>
        <xdr:cNvPr id="7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1EE403E-D1E4-4A53-8290-83AEC8849547}"/>
            </a:ext>
          </a:extLst>
        </xdr:cNvPr>
        <xdr:cNvSpPr/>
      </xdr:nvSpPr>
      <xdr:spPr bwMode="auto">
        <a:xfrm>
          <a:off x="5134803" y="4447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171</xdr:row>
      <xdr:rowOff>18636</xdr:rowOff>
    </xdr:from>
    <xdr:ext cx="676275" cy="236468"/>
    <xdr:sp macro="" textlink="">
      <xdr:nvSpPr>
        <xdr:cNvPr id="8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79B8507C-A96D-4350-B5A7-4CBDD49B218A}"/>
            </a:ext>
          </a:extLst>
        </xdr:cNvPr>
        <xdr:cNvSpPr/>
      </xdr:nvSpPr>
      <xdr:spPr bwMode="auto">
        <a:xfrm>
          <a:off x="4894194" y="450528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171</xdr:row>
      <xdr:rowOff>42241</xdr:rowOff>
    </xdr:from>
    <xdr:ext cx="666750" cy="236468"/>
    <xdr:sp macro="" textlink="">
      <xdr:nvSpPr>
        <xdr:cNvPr id="8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05DCD6C-9472-46CC-8E72-BB393C49C6B8}"/>
            </a:ext>
          </a:extLst>
        </xdr:cNvPr>
        <xdr:cNvSpPr/>
      </xdr:nvSpPr>
      <xdr:spPr bwMode="auto">
        <a:xfrm>
          <a:off x="5134803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171</xdr:row>
      <xdr:rowOff>18636</xdr:rowOff>
    </xdr:from>
    <xdr:ext cx="676275" cy="236468"/>
    <xdr:sp macro="" textlink="">
      <xdr:nvSpPr>
        <xdr:cNvPr id="8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4CE29576-12C7-4F0C-8F67-7015BA7306D6}"/>
            </a:ext>
          </a:extLst>
        </xdr:cNvPr>
        <xdr:cNvSpPr/>
      </xdr:nvSpPr>
      <xdr:spPr bwMode="auto">
        <a:xfrm>
          <a:off x="4894194" y="450528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171</xdr:row>
      <xdr:rowOff>42241</xdr:rowOff>
    </xdr:from>
    <xdr:ext cx="666750" cy="236468"/>
    <xdr:sp macro="" textlink="">
      <xdr:nvSpPr>
        <xdr:cNvPr id="8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5E8616A-0EBE-447A-B1D1-46B84A7DE43D}"/>
            </a:ext>
          </a:extLst>
        </xdr:cNvPr>
        <xdr:cNvSpPr/>
      </xdr:nvSpPr>
      <xdr:spPr bwMode="auto">
        <a:xfrm>
          <a:off x="5134803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174</xdr:row>
      <xdr:rowOff>18636</xdr:rowOff>
    </xdr:from>
    <xdr:ext cx="676275" cy="236468"/>
    <xdr:sp macro="" textlink="">
      <xdr:nvSpPr>
        <xdr:cNvPr id="8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7A894606-36AE-42A8-99B3-69CCD846562E}"/>
            </a:ext>
          </a:extLst>
        </xdr:cNvPr>
        <xdr:cNvSpPr/>
      </xdr:nvSpPr>
      <xdr:spPr bwMode="auto">
        <a:xfrm>
          <a:off x="4894194" y="463291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174</xdr:row>
      <xdr:rowOff>42241</xdr:rowOff>
    </xdr:from>
    <xdr:ext cx="666750" cy="236468"/>
    <xdr:sp macro="" textlink="">
      <xdr:nvSpPr>
        <xdr:cNvPr id="8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9304158-FA76-4631-89BF-71E5A0ACE6EA}"/>
            </a:ext>
          </a:extLst>
        </xdr:cNvPr>
        <xdr:cNvSpPr/>
      </xdr:nvSpPr>
      <xdr:spPr bwMode="auto">
        <a:xfrm>
          <a:off x="5134803" y="463527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174</xdr:row>
      <xdr:rowOff>18636</xdr:rowOff>
    </xdr:from>
    <xdr:ext cx="676275" cy="236468"/>
    <xdr:sp macro="" textlink="">
      <xdr:nvSpPr>
        <xdr:cNvPr id="8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FFC7575B-8B7D-496F-AF26-F8DB8865A6B1}"/>
            </a:ext>
          </a:extLst>
        </xdr:cNvPr>
        <xdr:cNvSpPr/>
      </xdr:nvSpPr>
      <xdr:spPr bwMode="auto">
        <a:xfrm>
          <a:off x="4894194" y="463291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174</xdr:row>
      <xdr:rowOff>42241</xdr:rowOff>
    </xdr:from>
    <xdr:ext cx="666750" cy="236468"/>
    <xdr:sp macro="" textlink="">
      <xdr:nvSpPr>
        <xdr:cNvPr id="8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2599796-70CF-41B9-B2B6-055F0AB788BA}"/>
            </a:ext>
          </a:extLst>
        </xdr:cNvPr>
        <xdr:cNvSpPr/>
      </xdr:nvSpPr>
      <xdr:spPr bwMode="auto">
        <a:xfrm>
          <a:off x="5134803" y="463527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175</xdr:row>
      <xdr:rowOff>18636</xdr:rowOff>
    </xdr:from>
    <xdr:ext cx="676275" cy="236468"/>
    <xdr:sp macro="" textlink="">
      <xdr:nvSpPr>
        <xdr:cNvPr id="8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E2F919BE-81AE-499E-A173-188FEAA7699C}"/>
            </a:ext>
          </a:extLst>
        </xdr:cNvPr>
        <xdr:cNvSpPr/>
      </xdr:nvSpPr>
      <xdr:spPr bwMode="auto">
        <a:xfrm>
          <a:off x="4894194" y="467482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8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DE54CBB-5840-43AE-B708-E2BF3FE8E1F1}"/>
            </a:ext>
          </a:extLst>
        </xdr:cNvPr>
        <xdr:cNvSpPr/>
      </xdr:nvSpPr>
      <xdr:spPr bwMode="auto">
        <a:xfrm>
          <a:off x="5134803" y="46771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175</xdr:row>
      <xdr:rowOff>18636</xdr:rowOff>
    </xdr:from>
    <xdr:ext cx="676275" cy="236468"/>
    <xdr:sp macro="" textlink="">
      <xdr:nvSpPr>
        <xdr:cNvPr id="9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B14BBDDD-D0EB-4086-AB3C-EEDC6C37F13C}"/>
            </a:ext>
          </a:extLst>
        </xdr:cNvPr>
        <xdr:cNvSpPr/>
      </xdr:nvSpPr>
      <xdr:spPr bwMode="auto">
        <a:xfrm>
          <a:off x="4894194" y="4674828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9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703E018-57C9-4AE2-A62C-AEAE5ED515AD}"/>
            </a:ext>
          </a:extLst>
        </xdr:cNvPr>
        <xdr:cNvSpPr/>
      </xdr:nvSpPr>
      <xdr:spPr bwMode="auto">
        <a:xfrm>
          <a:off x="5134803" y="46771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77</xdr:row>
      <xdr:rowOff>18636</xdr:rowOff>
    </xdr:from>
    <xdr:ext cx="676275" cy="236468"/>
    <xdr:sp macro="" textlink="">
      <xdr:nvSpPr>
        <xdr:cNvPr id="9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161DB2AC-DDC3-487F-8B9D-24B402115916}"/>
            </a:ext>
          </a:extLst>
        </xdr:cNvPr>
        <xdr:cNvSpPr/>
      </xdr:nvSpPr>
      <xdr:spPr bwMode="auto">
        <a:xfrm>
          <a:off x="4894194" y="19001961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77</xdr:row>
      <xdr:rowOff>42241</xdr:rowOff>
    </xdr:from>
    <xdr:ext cx="666750" cy="236468"/>
    <xdr:sp macro="" textlink="">
      <xdr:nvSpPr>
        <xdr:cNvPr id="9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A7210FB-1B85-4B09-8151-2C0B66938FF3}"/>
            </a:ext>
          </a:extLst>
        </xdr:cNvPr>
        <xdr:cNvSpPr/>
      </xdr:nvSpPr>
      <xdr:spPr bwMode="auto">
        <a:xfrm>
          <a:off x="5134803" y="190255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0</xdr:col>
      <xdr:colOff>0</xdr:colOff>
      <xdr:row>98</xdr:row>
      <xdr:rowOff>244751</xdr:rowOff>
    </xdr:from>
    <xdr:ext cx="733425" cy="247650"/>
    <xdr:sp macro="" textlink="">
      <xdr:nvSpPr>
        <xdr:cNvPr id="94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C06840A6-C69E-4D1E-A12E-D6B6EC9BA306}"/>
            </a:ext>
          </a:extLst>
        </xdr:cNvPr>
        <xdr:cNvSpPr/>
      </xdr:nvSpPr>
      <xdr:spPr bwMode="auto">
        <a:xfrm>
          <a:off x="0" y="2611465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99</xdr:row>
      <xdr:rowOff>248065</xdr:rowOff>
    </xdr:from>
    <xdr:ext cx="733425" cy="247650"/>
    <xdr:sp macro="" textlink="">
      <xdr:nvSpPr>
        <xdr:cNvPr id="95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85B4B2BF-A78A-4252-B7D1-1F864D437855}"/>
            </a:ext>
          </a:extLst>
        </xdr:cNvPr>
        <xdr:cNvSpPr/>
      </xdr:nvSpPr>
      <xdr:spPr bwMode="auto">
        <a:xfrm>
          <a:off x="11595" y="26298940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104</xdr:row>
      <xdr:rowOff>244751</xdr:rowOff>
    </xdr:from>
    <xdr:ext cx="733425" cy="247650"/>
    <xdr:sp macro="" textlink="">
      <xdr:nvSpPr>
        <xdr:cNvPr id="96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8E4704F7-EE06-4C9D-8DB0-5FFF859863E6}"/>
            </a:ext>
          </a:extLst>
        </xdr:cNvPr>
        <xdr:cNvSpPr/>
      </xdr:nvSpPr>
      <xdr:spPr bwMode="auto">
        <a:xfrm>
          <a:off x="0" y="27933926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105</xdr:row>
      <xdr:rowOff>248065</xdr:rowOff>
    </xdr:from>
    <xdr:ext cx="733425" cy="247650"/>
    <xdr:sp macro="" textlink="">
      <xdr:nvSpPr>
        <xdr:cNvPr id="97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8015D798-F6CD-4E0F-ABE3-4EDC8E2D93D2}"/>
            </a:ext>
          </a:extLst>
        </xdr:cNvPr>
        <xdr:cNvSpPr/>
      </xdr:nvSpPr>
      <xdr:spPr bwMode="auto">
        <a:xfrm>
          <a:off x="11595" y="2811821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110</xdr:row>
      <xdr:rowOff>244751</xdr:rowOff>
    </xdr:from>
    <xdr:ext cx="733425" cy="247650"/>
    <xdr:sp macro="" textlink="">
      <xdr:nvSpPr>
        <xdr:cNvPr id="98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8008E713-B066-4B69-A3C1-6B499BEC73EB}"/>
            </a:ext>
          </a:extLst>
        </xdr:cNvPr>
        <xdr:cNvSpPr/>
      </xdr:nvSpPr>
      <xdr:spPr bwMode="auto">
        <a:xfrm>
          <a:off x="0" y="2954365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111</xdr:row>
      <xdr:rowOff>248065</xdr:rowOff>
    </xdr:from>
    <xdr:ext cx="733425" cy="247650"/>
    <xdr:sp macro="" textlink="">
      <xdr:nvSpPr>
        <xdr:cNvPr id="99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A770E869-4086-424E-982A-23843E34511E}"/>
            </a:ext>
          </a:extLst>
        </xdr:cNvPr>
        <xdr:cNvSpPr/>
      </xdr:nvSpPr>
      <xdr:spPr bwMode="auto">
        <a:xfrm>
          <a:off x="11595" y="29727940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149</xdr:row>
      <xdr:rowOff>244751</xdr:rowOff>
    </xdr:from>
    <xdr:ext cx="733425" cy="247650"/>
    <xdr:sp macro="" textlink="">
      <xdr:nvSpPr>
        <xdr:cNvPr id="100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611505ED-6360-4E2E-AE87-E0464C9249FF}"/>
            </a:ext>
          </a:extLst>
        </xdr:cNvPr>
        <xdr:cNvSpPr/>
      </xdr:nvSpPr>
      <xdr:spPr bwMode="auto">
        <a:xfrm>
          <a:off x="0" y="3870670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150</xdr:row>
      <xdr:rowOff>248065</xdr:rowOff>
    </xdr:from>
    <xdr:ext cx="733425" cy="247650"/>
    <xdr:sp macro="" textlink="">
      <xdr:nvSpPr>
        <xdr:cNvPr id="101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7CDE5DFB-9E59-40F9-B200-120F6C3671B7}"/>
            </a:ext>
          </a:extLst>
        </xdr:cNvPr>
        <xdr:cNvSpPr/>
      </xdr:nvSpPr>
      <xdr:spPr bwMode="auto">
        <a:xfrm>
          <a:off x="11595" y="38890990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157</xdr:row>
      <xdr:rowOff>244751</xdr:rowOff>
    </xdr:from>
    <xdr:ext cx="733425" cy="247650"/>
    <xdr:sp macro="" textlink="">
      <xdr:nvSpPr>
        <xdr:cNvPr id="102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23D99992-7256-4E50-BA30-B0B05F56B32B}"/>
            </a:ext>
          </a:extLst>
        </xdr:cNvPr>
        <xdr:cNvSpPr/>
      </xdr:nvSpPr>
      <xdr:spPr bwMode="auto">
        <a:xfrm>
          <a:off x="0" y="40525976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158</xdr:row>
      <xdr:rowOff>248065</xdr:rowOff>
    </xdr:from>
    <xdr:ext cx="733425" cy="247650"/>
    <xdr:sp macro="" textlink="">
      <xdr:nvSpPr>
        <xdr:cNvPr id="103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69D2F75C-4E7A-4445-9F29-9A52D52C0D7D}"/>
            </a:ext>
          </a:extLst>
        </xdr:cNvPr>
        <xdr:cNvSpPr/>
      </xdr:nvSpPr>
      <xdr:spPr bwMode="auto">
        <a:xfrm>
          <a:off x="11595" y="4071026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1420053</xdr:colOff>
      <xdr:row>195</xdr:row>
      <xdr:rowOff>42241</xdr:rowOff>
    </xdr:from>
    <xdr:ext cx="666750" cy="236468"/>
    <xdr:sp macro="" textlink="">
      <xdr:nvSpPr>
        <xdr:cNvPr id="10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8265138-FF9D-4A26-AFF3-52EB5B76ACEF}"/>
            </a:ext>
          </a:extLst>
        </xdr:cNvPr>
        <xdr:cNvSpPr/>
      </xdr:nvSpPr>
      <xdr:spPr bwMode="auto">
        <a:xfrm>
          <a:off x="172278" y="52544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0</xdr:col>
      <xdr:colOff>1420053</xdr:colOff>
      <xdr:row>195</xdr:row>
      <xdr:rowOff>42241</xdr:rowOff>
    </xdr:from>
    <xdr:ext cx="666750" cy="236468"/>
    <xdr:sp macro="" textlink="">
      <xdr:nvSpPr>
        <xdr:cNvPr id="10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9524031-F4B6-454B-AFB0-5265F353698C}"/>
            </a:ext>
          </a:extLst>
        </xdr:cNvPr>
        <xdr:cNvSpPr/>
      </xdr:nvSpPr>
      <xdr:spPr bwMode="auto">
        <a:xfrm>
          <a:off x="172278" y="52544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2</xdr:col>
      <xdr:colOff>1420053</xdr:colOff>
      <xdr:row>195</xdr:row>
      <xdr:rowOff>42241</xdr:rowOff>
    </xdr:from>
    <xdr:ext cx="666750" cy="236468"/>
    <xdr:sp macro="" textlink="">
      <xdr:nvSpPr>
        <xdr:cNvPr id="10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73D4FE5-5CA5-4F52-B990-53259E5689A6}"/>
            </a:ext>
          </a:extLst>
        </xdr:cNvPr>
        <xdr:cNvSpPr/>
      </xdr:nvSpPr>
      <xdr:spPr bwMode="auto">
        <a:xfrm>
          <a:off x="1877253" y="52544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2</xdr:col>
      <xdr:colOff>1420053</xdr:colOff>
      <xdr:row>195</xdr:row>
      <xdr:rowOff>42241</xdr:rowOff>
    </xdr:from>
    <xdr:ext cx="666750" cy="236468"/>
    <xdr:sp macro="" textlink="">
      <xdr:nvSpPr>
        <xdr:cNvPr id="10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B1BC5C7-0EA2-4AE3-811D-79942571BD88}"/>
            </a:ext>
          </a:extLst>
        </xdr:cNvPr>
        <xdr:cNvSpPr/>
      </xdr:nvSpPr>
      <xdr:spPr bwMode="auto">
        <a:xfrm>
          <a:off x="1877253" y="52544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195</xdr:row>
      <xdr:rowOff>42241</xdr:rowOff>
    </xdr:from>
    <xdr:ext cx="666750" cy="236468"/>
    <xdr:sp macro="" textlink="">
      <xdr:nvSpPr>
        <xdr:cNvPr id="10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EA57D51-4307-4897-98BB-4CA019E74E97}"/>
            </a:ext>
          </a:extLst>
        </xdr:cNvPr>
        <xdr:cNvSpPr/>
      </xdr:nvSpPr>
      <xdr:spPr bwMode="auto">
        <a:xfrm>
          <a:off x="4287078" y="52544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195</xdr:row>
      <xdr:rowOff>42241</xdr:rowOff>
    </xdr:from>
    <xdr:ext cx="666750" cy="236468"/>
    <xdr:sp macro="" textlink="">
      <xdr:nvSpPr>
        <xdr:cNvPr id="10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2A881FB-A269-4E30-95EA-2951B96648E2}"/>
            </a:ext>
          </a:extLst>
        </xdr:cNvPr>
        <xdr:cNvSpPr/>
      </xdr:nvSpPr>
      <xdr:spPr bwMode="auto">
        <a:xfrm>
          <a:off x="4287078" y="52544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3</xdr:col>
      <xdr:colOff>1420053</xdr:colOff>
      <xdr:row>195</xdr:row>
      <xdr:rowOff>42241</xdr:rowOff>
    </xdr:from>
    <xdr:ext cx="666750" cy="236468"/>
    <xdr:sp macro="" textlink="">
      <xdr:nvSpPr>
        <xdr:cNvPr id="11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028215E-E12E-4F7F-9F44-0332F1893F68}"/>
            </a:ext>
          </a:extLst>
        </xdr:cNvPr>
        <xdr:cNvSpPr/>
      </xdr:nvSpPr>
      <xdr:spPr bwMode="auto">
        <a:xfrm>
          <a:off x="2944053" y="52544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3</xdr:col>
      <xdr:colOff>1420053</xdr:colOff>
      <xdr:row>195</xdr:row>
      <xdr:rowOff>42241</xdr:rowOff>
    </xdr:from>
    <xdr:ext cx="666750" cy="236468"/>
    <xdr:sp macro="" textlink="">
      <xdr:nvSpPr>
        <xdr:cNvPr id="11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633020B-D1C1-4699-A90E-16D19BA10620}"/>
            </a:ext>
          </a:extLst>
        </xdr:cNvPr>
        <xdr:cNvSpPr/>
      </xdr:nvSpPr>
      <xdr:spPr bwMode="auto">
        <a:xfrm>
          <a:off x="2944053" y="52544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6</xdr:col>
      <xdr:colOff>1420053</xdr:colOff>
      <xdr:row>195</xdr:row>
      <xdr:rowOff>42241</xdr:rowOff>
    </xdr:from>
    <xdr:ext cx="666750" cy="236468"/>
    <xdr:sp macro="" textlink="">
      <xdr:nvSpPr>
        <xdr:cNvPr id="11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636C676-323E-4960-915F-C3FBBBF9C7C4}"/>
            </a:ext>
          </a:extLst>
        </xdr:cNvPr>
        <xdr:cNvSpPr/>
      </xdr:nvSpPr>
      <xdr:spPr bwMode="auto">
        <a:xfrm>
          <a:off x="4782378" y="52544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6</xdr:col>
      <xdr:colOff>1420053</xdr:colOff>
      <xdr:row>195</xdr:row>
      <xdr:rowOff>42241</xdr:rowOff>
    </xdr:from>
    <xdr:ext cx="666750" cy="236468"/>
    <xdr:sp macro="" textlink="">
      <xdr:nvSpPr>
        <xdr:cNvPr id="11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373BBBC-CF17-4C96-8CD9-EF9461A0C331}"/>
            </a:ext>
          </a:extLst>
        </xdr:cNvPr>
        <xdr:cNvSpPr/>
      </xdr:nvSpPr>
      <xdr:spPr bwMode="auto">
        <a:xfrm>
          <a:off x="4782378" y="525440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93</xdr:row>
      <xdr:rowOff>42241</xdr:rowOff>
    </xdr:from>
    <xdr:ext cx="666750" cy="236468"/>
    <xdr:sp macro="" textlink="">
      <xdr:nvSpPr>
        <xdr:cNvPr id="11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3B84D2B-FF7B-4747-BFB9-086C8F3079BE}"/>
            </a:ext>
          </a:extLst>
        </xdr:cNvPr>
        <xdr:cNvSpPr/>
      </xdr:nvSpPr>
      <xdr:spPr bwMode="auto">
        <a:xfrm>
          <a:off x="5134803" y="23321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94</xdr:row>
      <xdr:rowOff>42241</xdr:rowOff>
    </xdr:from>
    <xdr:ext cx="666750" cy="236468"/>
    <xdr:sp macro="" textlink="">
      <xdr:nvSpPr>
        <xdr:cNvPr id="11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F49C67E-98DD-4CBF-A4FA-BC8A377F6C82}"/>
            </a:ext>
          </a:extLst>
        </xdr:cNvPr>
        <xdr:cNvSpPr/>
      </xdr:nvSpPr>
      <xdr:spPr bwMode="auto">
        <a:xfrm>
          <a:off x="5134803" y="2401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95</xdr:row>
      <xdr:rowOff>42241</xdr:rowOff>
    </xdr:from>
    <xdr:ext cx="666750" cy="236468"/>
    <xdr:sp macro="" textlink="">
      <xdr:nvSpPr>
        <xdr:cNvPr id="11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7963834-68AC-4252-BF08-65ACCD3D2093}"/>
            </a:ext>
          </a:extLst>
        </xdr:cNvPr>
        <xdr:cNvSpPr/>
      </xdr:nvSpPr>
      <xdr:spPr bwMode="auto">
        <a:xfrm>
          <a:off x="5134803" y="24426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96</xdr:row>
      <xdr:rowOff>42241</xdr:rowOff>
    </xdr:from>
    <xdr:ext cx="666750" cy="236468"/>
    <xdr:sp macro="" textlink="">
      <xdr:nvSpPr>
        <xdr:cNvPr id="11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C59A3B6-76A3-41A8-9A2B-F4FC80E85AC5}"/>
            </a:ext>
          </a:extLst>
        </xdr:cNvPr>
        <xdr:cNvSpPr/>
      </xdr:nvSpPr>
      <xdr:spPr bwMode="auto">
        <a:xfrm>
          <a:off x="5134803" y="2493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97</xdr:row>
      <xdr:rowOff>42241</xdr:rowOff>
    </xdr:from>
    <xdr:ext cx="666750" cy="236468"/>
    <xdr:sp macro="" textlink="">
      <xdr:nvSpPr>
        <xdr:cNvPr id="11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A3DE289-7E77-41DB-B994-9ABECFAF3312}"/>
            </a:ext>
          </a:extLst>
        </xdr:cNvPr>
        <xdr:cNvSpPr/>
      </xdr:nvSpPr>
      <xdr:spPr bwMode="auto">
        <a:xfrm>
          <a:off x="5134803" y="25435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0</xdr:col>
      <xdr:colOff>0</xdr:colOff>
      <xdr:row>99</xdr:row>
      <xdr:rowOff>244751</xdr:rowOff>
    </xdr:from>
    <xdr:ext cx="733425" cy="247650"/>
    <xdr:sp macro="" textlink="">
      <xdr:nvSpPr>
        <xdr:cNvPr id="119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908B6A25-3270-445F-A815-156B0C3A4E90}"/>
            </a:ext>
          </a:extLst>
        </xdr:cNvPr>
        <xdr:cNvSpPr/>
      </xdr:nvSpPr>
      <xdr:spPr bwMode="auto">
        <a:xfrm>
          <a:off x="0" y="26295626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105</xdr:row>
      <xdr:rowOff>244751</xdr:rowOff>
    </xdr:from>
    <xdr:ext cx="733425" cy="247650"/>
    <xdr:sp macro="" textlink="">
      <xdr:nvSpPr>
        <xdr:cNvPr id="120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32FEAF53-D7BF-429B-8C86-006FBB752647}"/>
            </a:ext>
          </a:extLst>
        </xdr:cNvPr>
        <xdr:cNvSpPr/>
      </xdr:nvSpPr>
      <xdr:spPr bwMode="auto">
        <a:xfrm>
          <a:off x="0" y="2811490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111</xdr:row>
      <xdr:rowOff>244751</xdr:rowOff>
    </xdr:from>
    <xdr:ext cx="733425" cy="247650"/>
    <xdr:sp macro="" textlink="">
      <xdr:nvSpPr>
        <xdr:cNvPr id="121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48369540-C333-41DD-BB1E-0757B1769BF9}"/>
            </a:ext>
          </a:extLst>
        </xdr:cNvPr>
        <xdr:cNvSpPr/>
      </xdr:nvSpPr>
      <xdr:spPr bwMode="auto">
        <a:xfrm>
          <a:off x="0" y="29724626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171</xdr:row>
      <xdr:rowOff>42241</xdr:rowOff>
    </xdr:from>
    <xdr:ext cx="666750" cy="236468"/>
    <xdr:sp macro="" textlink="">
      <xdr:nvSpPr>
        <xdr:cNvPr id="12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51CE1440-FE60-42D5-9DF3-C4F8CFB453BB}"/>
            </a:ext>
          </a:extLst>
        </xdr:cNvPr>
        <xdr:cNvSpPr/>
      </xdr:nvSpPr>
      <xdr:spPr bwMode="auto">
        <a:xfrm>
          <a:off x="4781550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171</xdr:row>
      <xdr:rowOff>42241</xdr:rowOff>
    </xdr:from>
    <xdr:ext cx="666750" cy="236468"/>
    <xdr:sp macro="" textlink="">
      <xdr:nvSpPr>
        <xdr:cNvPr id="12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024D16C-D702-4DCB-BE33-83957F4F0B29}"/>
            </a:ext>
          </a:extLst>
        </xdr:cNvPr>
        <xdr:cNvSpPr/>
      </xdr:nvSpPr>
      <xdr:spPr bwMode="auto">
        <a:xfrm>
          <a:off x="5134803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171</xdr:row>
      <xdr:rowOff>42241</xdr:rowOff>
    </xdr:from>
    <xdr:ext cx="666750" cy="236468"/>
    <xdr:sp macro="" textlink="">
      <xdr:nvSpPr>
        <xdr:cNvPr id="12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C8D30CF1-262C-46FC-8C5B-D4E36DA7B271}"/>
            </a:ext>
          </a:extLst>
        </xdr:cNvPr>
        <xdr:cNvSpPr/>
      </xdr:nvSpPr>
      <xdr:spPr bwMode="auto">
        <a:xfrm>
          <a:off x="4781550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171</xdr:row>
      <xdr:rowOff>42241</xdr:rowOff>
    </xdr:from>
    <xdr:ext cx="666750" cy="236468"/>
    <xdr:sp macro="" textlink="">
      <xdr:nvSpPr>
        <xdr:cNvPr id="12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99F5D147-B1B9-49E8-9EF8-54BAF8FE3AAE}"/>
            </a:ext>
          </a:extLst>
        </xdr:cNvPr>
        <xdr:cNvSpPr/>
      </xdr:nvSpPr>
      <xdr:spPr bwMode="auto">
        <a:xfrm>
          <a:off x="5134803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171</xdr:row>
      <xdr:rowOff>18636</xdr:rowOff>
    </xdr:from>
    <xdr:ext cx="676275" cy="236468"/>
    <xdr:sp macro="" textlink="">
      <xdr:nvSpPr>
        <xdr:cNvPr id="12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FF2177FB-7D59-4D48-83B7-40395E3BCA68}"/>
            </a:ext>
          </a:extLst>
        </xdr:cNvPr>
        <xdr:cNvSpPr/>
      </xdr:nvSpPr>
      <xdr:spPr bwMode="auto">
        <a:xfrm>
          <a:off x="4894194" y="450528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171</xdr:row>
      <xdr:rowOff>42241</xdr:rowOff>
    </xdr:from>
    <xdr:ext cx="666750" cy="236468"/>
    <xdr:sp macro="" textlink="">
      <xdr:nvSpPr>
        <xdr:cNvPr id="12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2ED0903-20C2-4FD9-9857-1762B812BBA5}"/>
            </a:ext>
          </a:extLst>
        </xdr:cNvPr>
        <xdr:cNvSpPr/>
      </xdr:nvSpPr>
      <xdr:spPr bwMode="auto">
        <a:xfrm>
          <a:off x="5134803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92</xdr:row>
      <xdr:rowOff>42241</xdr:rowOff>
    </xdr:from>
    <xdr:ext cx="666750" cy="236468"/>
    <xdr:sp macro="" textlink="">
      <xdr:nvSpPr>
        <xdr:cNvPr id="12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23E1892-1680-484B-A8F5-8D8BF3D37016}"/>
            </a:ext>
          </a:extLst>
        </xdr:cNvPr>
        <xdr:cNvSpPr/>
      </xdr:nvSpPr>
      <xdr:spPr bwMode="auto">
        <a:xfrm>
          <a:off x="5134803" y="23140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93</xdr:row>
      <xdr:rowOff>42241</xdr:rowOff>
    </xdr:from>
    <xdr:ext cx="666750" cy="236468"/>
    <xdr:sp macro="" textlink="">
      <xdr:nvSpPr>
        <xdr:cNvPr id="12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3FC3069-4B96-4174-ADAD-7E59EE6AB903}"/>
            </a:ext>
          </a:extLst>
        </xdr:cNvPr>
        <xdr:cNvSpPr/>
      </xdr:nvSpPr>
      <xdr:spPr bwMode="auto">
        <a:xfrm>
          <a:off x="5134803" y="23321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94</xdr:row>
      <xdr:rowOff>42241</xdr:rowOff>
    </xdr:from>
    <xdr:ext cx="666750" cy="236468"/>
    <xdr:sp macro="" textlink="">
      <xdr:nvSpPr>
        <xdr:cNvPr id="13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B8C1D21-F321-4B25-AADC-F936904021AE}"/>
            </a:ext>
          </a:extLst>
        </xdr:cNvPr>
        <xdr:cNvSpPr/>
      </xdr:nvSpPr>
      <xdr:spPr bwMode="auto">
        <a:xfrm>
          <a:off x="5134803" y="2401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95</xdr:row>
      <xdr:rowOff>42241</xdr:rowOff>
    </xdr:from>
    <xdr:ext cx="666750" cy="236468"/>
    <xdr:sp macro="" textlink="">
      <xdr:nvSpPr>
        <xdr:cNvPr id="13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194F882-0452-4339-B789-9A71A52C8344}"/>
            </a:ext>
          </a:extLst>
        </xdr:cNvPr>
        <xdr:cNvSpPr/>
      </xdr:nvSpPr>
      <xdr:spPr bwMode="auto">
        <a:xfrm>
          <a:off x="5134803" y="24426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96</xdr:row>
      <xdr:rowOff>42241</xdr:rowOff>
    </xdr:from>
    <xdr:ext cx="666750" cy="236468"/>
    <xdr:sp macro="" textlink="">
      <xdr:nvSpPr>
        <xdr:cNvPr id="13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16D8F73-1415-4E71-8E36-5CDE8FE9C67D}"/>
            </a:ext>
          </a:extLst>
        </xdr:cNvPr>
        <xdr:cNvSpPr/>
      </xdr:nvSpPr>
      <xdr:spPr bwMode="auto">
        <a:xfrm>
          <a:off x="5134803" y="2493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97</xdr:row>
      <xdr:rowOff>42241</xdr:rowOff>
    </xdr:from>
    <xdr:ext cx="666750" cy="236468"/>
    <xdr:sp macro="" textlink="">
      <xdr:nvSpPr>
        <xdr:cNvPr id="13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EFCF736-CBCA-4108-997F-506134FFC9ED}"/>
            </a:ext>
          </a:extLst>
        </xdr:cNvPr>
        <xdr:cNvSpPr/>
      </xdr:nvSpPr>
      <xdr:spPr bwMode="auto">
        <a:xfrm>
          <a:off x="5134803" y="25435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92</xdr:row>
      <xdr:rowOff>42241</xdr:rowOff>
    </xdr:from>
    <xdr:ext cx="666750" cy="236468"/>
    <xdr:sp macro="" textlink="">
      <xdr:nvSpPr>
        <xdr:cNvPr id="13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ECE7AF6-C1AB-4CA8-8E98-231B0D86C7EC}"/>
            </a:ext>
          </a:extLst>
        </xdr:cNvPr>
        <xdr:cNvSpPr/>
      </xdr:nvSpPr>
      <xdr:spPr bwMode="auto">
        <a:xfrm>
          <a:off x="4287078" y="23140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93</xdr:row>
      <xdr:rowOff>42241</xdr:rowOff>
    </xdr:from>
    <xdr:ext cx="666750" cy="236468"/>
    <xdr:sp macro="" textlink="">
      <xdr:nvSpPr>
        <xdr:cNvPr id="13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742CFF0-A1F8-489A-8E8A-C37B58B0682F}"/>
            </a:ext>
          </a:extLst>
        </xdr:cNvPr>
        <xdr:cNvSpPr/>
      </xdr:nvSpPr>
      <xdr:spPr bwMode="auto">
        <a:xfrm>
          <a:off x="4287078" y="233213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94</xdr:row>
      <xdr:rowOff>42241</xdr:rowOff>
    </xdr:from>
    <xdr:ext cx="666750" cy="236468"/>
    <xdr:sp macro="" textlink="">
      <xdr:nvSpPr>
        <xdr:cNvPr id="13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8E05B3D-1AAB-4B44-A4A0-3B8DD8DBA0D7}"/>
            </a:ext>
          </a:extLst>
        </xdr:cNvPr>
        <xdr:cNvSpPr/>
      </xdr:nvSpPr>
      <xdr:spPr bwMode="auto">
        <a:xfrm>
          <a:off x="4287078" y="2401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95</xdr:row>
      <xdr:rowOff>42241</xdr:rowOff>
    </xdr:from>
    <xdr:ext cx="666750" cy="236468"/>
    <xdr:sp macro="" textlink="">
      <xdr:nvSpPr>
        <xdr:cNvPr id="13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8AF4E39-C55C-4622-AD84-0B03463EB11B}"/>
            </a:ext>
          </a:extLst>
        </xdr:cNvPr>
        <xdr:cNvSpPr/>
      </xdr:nvSpPr>
      <xdr:spPr bwMode="auto">
        <a:xfrm>
          <a:off x="4287078" y="244262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96</xdr:row>
      <xdr:rowOff>42241</xdr:rowOff>
    </xdr:from>
    <xdr:ext cx="666750" cy="236468"/>
    <xdr:sp macro="" textlink="">
      <xdr:nvSpPr>
        <xdr:cNvPr id="13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32FBC9D-99C2-44A6-AD8C-3407B0822B99}"/>
            </a:ext>
          </a:extLst>
        </xdr:cNvPr>
        <xdr:cNvSpPr/>
      </xdr:nvSpPr>
      <xdr:spPr bwMode="auto">
        <a:xfrm>
          <a:off x="4287078" y="249310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97</xdr:row>
      <xdr:rowOff>42241</xdr:rowOff>
    </xdr:from>
    <xdr:ext cx="666750" cy="236468"/>
    <xdr:sp macro="" textlink="">
      <xdr:nvSpPr>
        <xdr:cNvPr id="13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0D86584-EC1C-45C4-8FC8-5716BE6119B7}"/>
            </a:ext>
          </a:extLst>
        </xdr:cNvPr>
        <xdr:cNvSpPr/>
      </xdr:nvSpPr>
      <xdr:spPr bwMode="auto">
        <a:xfrm>
          <a:off x="4287078" y="25435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116</xdr:row>
      <xdr:rowOff>42241</xdr:rowOff>
    </xdr:from>
    <xdr:ext cx="666750" cy="236468"/>
    <xdr:sp macro="" textlink="">
      <xdr:nvSpPr>
        <xdr:cNvPr id="14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9B2C6A8-DD9C-42A3-A305-6621AA760DCB}"/>
            </a:ext>
          </a:extLst>
        </xdr:cNvPr>
        <xdr:cNvSpPr/>
      </xdr:nvSpPr>
      <xdr:spPr bwMode="auto">
        <a:xfrm>
          <a:off x="5134803" y="30493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116</xdr:row>
      <xdr:rowOff>42241</xdr:rowOff>
    </xdr:from>
    <xdr:ext cx="666750" cy="236468"/>
    <xdr:sp macro="" textlink="">
      <xdr:nvSpPr>
        <xdr:cNvPr id="14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3EEAF13-AE9F-48B4-9165-8BAA6CCCD77C}"/>
            </a:ext>
          </a:extLst>
        </xdr:cNvPr>
        <xdr:cNvSpPr/>
      </xdr:nvSpPr>
      <xdr:spPr bwMode="auto">
        <a:xfrm>
          <a:off x="5134803" y="30493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116</xdr:row>
      <xdr:rowOff>42241</xdr:rowOff>
    </xdr:from>
    <xdr:ext cx="666750" cy="236468"/>
    <xdr:sp macro="" textlink="">
      <xdr:nvSpPr>
        <xdr:cNvPr id="14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22E078E-F3D6-4723-87FF-0921466879E6}"/>
            </a:ext>
          </a:extLst>
        </xdr:cNvPr>
        <xdr:cNvSpPr/>
      </xdr:nvSpPr>
      <xdr:spPr bwMode="auto">
        <a:xfrm>
          <a:off x="5134803" y="30493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116</xdr:row>
      <xdr:rowOff>42241</xdr:rowOff>
    </xdr:from>
    <xdr:ext cx="666750" cy="236468"/>
    <xdr:sp macro="" textlink="">
      <xdr:nvSpPr>
        <xdr:cNvPr id="14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C5B326E-BDBB-409E-8D3E-58A5DBDAF5B7}"/>
            </a:ext>
          </a:extLst>
        </xdr:cNvPr>
        <xdr:cNvSpPr/>
      </xdr:nvSpPr>
      <xdr:spPr bwMode="auto">
        <a:xfrm>
          <a:off x="5134803" y="30493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116</xdr:row>
      <xdr:rowOff>42241</xdr:rowOff>
    </xdr:from>
    <xdr:ext cx="666750" cy="236468"/>
    <xdr:sp macro="" textlink="">
      <xdr:nvSpPr>
        <xdr:cNvPr id="14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7BA5E38-53D6-4011-BCBD-D4304CDD9C23}"/>
            </a:ext>
          </a:extLst>
        </xdr:cNvPr>
        <xdr:cNvSpPr/>
      </xdr:nvSpPr>
      <xdr:spPr bwMode="auto">
        <a:xfrm>
          <a:off x="4287078" y="30493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116</xdr:row>
      <xdr:rowOff>42241</xdr:rowOff>
    </xdr:from>
    <xdr:ext cx="666750" cy="236468"/>
    <xdr:sp macro="" textlink="">
      <xdr:nvSpPr>
        <xdr:cNvPr id="14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9E5F8E5-3DD4-440E-BCD1-E5EE37B90A47}"/>
            </a:ext>
          </a:extLst>
        </xdr:cNvPr>
        <xdr:cNvSpPr/>
      </xdr:nvSpPr>
      <xdr:spPr bwMode="auto">
        <a:xfrm>
          <a:off x="4287078" y="30493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116</xdr:row>
      <xdr:rowOff>42241</xdr:rowOff>
    </xdr:from>
    <xdr:ext cx="666750" cy="236468"/>
    <xdr:sp macro="" textlink="">
      <xdr:nvSpPr>
        <xdr:cNvPr id="14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6A96D50-23B8-4BA7-A56A-1D80C56756C5}"/>
            </a:ext>
          </a:extLst>
        </xdr:cNvPr>
        <xdr:cNvSpPr/>
      </xdr:nvSpPr>
      <xdr:spPr bwMode="auto">
        <a:xfrm>
          <a:off x="4287078" y="30493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116</xdr:row>
      <xdr:rowOff>42241</xdr:rowOff>
    </xdr:from>
    <xdr:ext cx="666750" cy="236468"/>
    <xdr:sp macro="" textlink="">
      <xdr:nvSpPr>
        <xdr:cNvPr id="14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18D3B42-CC10-4FD7-A948-F407A1C4D394}"/>
            </a:ext>
          </a:extLst>
        </xdr:cNvPr>
        <xdr:cNvSpPr/>
      </xdr:nvSpPr>
      <xdr:spPr bwMode="auto">
        <a:xfrm>
          <a:off x="4287078" y="30493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118</xdr:row>
      <xdr:rowOff>42241</xdr:rowOff>
    </xdr:from>
    <xdr:ext cx="666750" cy="236468"/>
    <xdr:sp macro="" textlink="">
      <xdr:nvSpPr>
        <xdr:cNvPr id="14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F350B46-002B-4C73-944D-C8D97C429596}"/>
            </a:ext>
          </a:extLst>
        </xdr:cNvPr>
        <xdr:cNvSpPr/>
      </xdr:nvSpPr>
      <xdr:spPr bwMode="auto">
        <a:xfrm>
          <a:off x="4287078" y="31188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118</xdr:row>
      <xdr:rowOff>42241</xdr:rowOff>
    </xdr:from>
    <xdr:ext cx="666750" cy="236468"/>
    <xdr:sp macro="" textlink="">
      <xdr:nvSpPr>
        <xdr:cNvPr id="14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35121CF-163A-495B-AE99-A2E9BE74CC8C}"/>
            </a:ext>
          </a:extLst>
        </xdr:cNvPr>
        <xdr:cNvSpPr/>
      </xdr:nvSpPr>
      <xdr:spPr bwMode="auto">
        <a:xfrm>
          <a:off x="4287078" y="31188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118</xdr:row>
      <xdr:rowOff>42241</xdr:rowOff>
    </xdr:from>
    <xdr:ext cx="666750" cy="236468"/>
    <xdr:sp macro="" textlink="">
      <xdr:nvSpPr>
        <xdr:cNvPr id="15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50EA6FC-BD86-4EAB-B6D0-2D3ACB8F7D13}"/>
            </a:ext>
          </a:extLst>
        </xdr:cNvPr>
        <xdr:cNvSpPr/>
      </xdr:nvSpPr>
      <xdr:spPr bwMode="auto">
        <a:xfrm>
          <a:off x="4287078" y="31188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118</xdr:row>
      <xdr:rowOff>42241</xdr:rowOff>
    </xdr:from>
    <xdr:ext cx="666750" cy="236468"/>
    <xdr:sp macro="" textlink="">
      <xdr:nvSpPr>
        <xdr:cNvPr id="15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8AEAD30-1484-4BA7-934E-F70921EA4171}"/>
            </a:ext>
          </a:extLst>
        </xdr:cNvPr>
        <xdr:cNvSpPr/>
      </xdr:nvSpPr>
      <xdr:spPr bwMode="auto">
        <a:xfrm>
          <a:off x="4287078" y="31188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119</xdr:row>
      <xdr:rowOff>42241</xdr:rowOff>
    </xdr:from>
    <xdr:ext cx="666750" cy="236468"/>
    <xdr:sp macro="" textlink="">
      <xdr:nvSpPr>
        <xdr:cNvPr id="15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7B3A03D-1BCC-48C2-B994-F6F187E123B6}"/>
            </a:ext>
          </a:extLst>
        </xdr:cNvPr>
        <xdr:cNvSpPr/>
      </xdr:nvSpPr>
      <xdr:spPr bwMode="auto">
        <a:xfrm>
          <a:off x="4287078" y="31693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119</xdr:row>
      <xdr:rowOff>42241</xdr:rowOff>
    </xdr:from>
    <xdr:ext cx="666750" cy="236468"/>
    <xdr:sp macro="" textlink="">
      <xdr:nvSpPr>
        <xdr:cNvPr id="15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859A247-5720-4AC2-9367-2799947A2C53}"/>
            </a:ext>
          </a:extLst>
        </xdr:cNvPr>
        <xdr:cNvSpPr/>
      </xdr:nvSpPr>
      <xdr:spPr bwMode="auto">
        <a:xfrm>
          <a:off x="4287078" y="31693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119</xdr:row>
      <xdr:rowOff>42241</xdr:rowOff>
    </xdr:from>
    <xdr:ext cx="666750" cy="236468"/>
    <xdr:sp macro="" textlink="">
      <xdr:nvSpPr>
        <xdr:cNvPr id="15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B0FFAE1-3471-4171-A42F-31BE5A84D153}"/>
            </a:ext>
          </a:extLst>
        </xdr:cNvPr>
        <xdr:cNvSpPr/>
      </xdr:nvSpPr>
      <xdr:spPr bwMode="auto">
        <a:xfrm>
          <a:off x="4287078" y="31693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119</xdr:row>
      <xdr:rowOff>42241</xdr:rowOff>
    </xdr:from>
    <xdr:ext cx="666750" cy="236468"/>
    <xdr:sp macro="" textlink="">
      <xdr:nvSpPr>
        <xdr:cNvPr id="15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3F49C48-44EB-4E08-86E2-E84C58954C55}"/>
            </a:ext>
          </a:extLst>
        </xdr:cNvPr>
        <xdr:cNvSpPr/>
      </xdr:nvSpPr>
      <xdr:spPr bwMode="auto">
        <a:xfrm>
          <a:off x="4287078" y="31693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118</xdr:row>
      <xdr:rowOff>42241</xdr:rowOff>
    </xdr:from>
    <xdr:ext cx="666750" cy="236468"/>
    <xdr:sp macro="" textlink="">
      <xdr:nvSpPr>
        <xdr:cNvPr id="15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B7FC3C1-36A3-4435-8F17-94A6E4449EFA}"/>
            </a:ext>
          </a:extLst>
        </xdr:cNvPr>
        <xdr:cNvSpPr/>
      </xdr:nvSpPr>
      <xdr:spPr bwMode="auto">
        <a:xfrm>
          <a:off x="5134803" y="31188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118</xdr:row>
      <xdr:rowOff>42241</xdr:rowOff>
    </xdr:from>
    <xdr:ext cx="666750" cy="236468"/>
    <xdr:sp macro="" textlink="">
      <xdr:nvSpPr>
        <xdr:cNvPr id="15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5FBF2F7-F0EE-43C3-BF3F-A450717CAE5C}"/>
            </a:ext>
          </a:extLst>
        </xdr:cNvPr>
        <xdr:cNvSpPr/>
      </xdr:nvSpPr>
      <xdr:spPr bwMode="auto">
        <a:xfrm>
          <a:off x="5134803" y="31188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118</xdr:row>
      <xdr:rowOff>42241</xdr:rowOff>
    </xdr:from>
    <xdr:ext cx="666750" cy="236468"/>
    <xdr:sp macro="" textlink="">
      <xdr:nvSpPr>
        <xdr:cNvPr id="15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FE1730C-E0CC-4EAE-B574-83096397132B}"/>
            </a:ext>
          </a:extLst>
        </xdr:cNvPr>
        <xdr:cNvSpPr/>
      </xdr:nvSpPr>
      <xdr:spPr bwMode="auto">
        <a:xfrm>
          <a:off x="5134803" y="31188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118</xdr:row>
      <xdr:rowOff>42241</xdr:rowOff>
    </xdr:from>
    <xdr:ext cx="666750" cy="236468"/>
    <xdr:sp macro="" textlink="">
      <xdr:nvSpPr>
        <xdr:cNvPr id="15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59A9178-7676-46A2-B77D-BD5E7506732C}"/>
            </a:ext>
          </a:extLst>
        </xdr:cNvPr>
        <xdr:cNvSpPr/>
      </xdr:nvSpPr>
      <xdr:spPr bwMode="auto">
        <a:xfrm>
          <a:off x="5134803" y="311889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119</xdr:row>
      <xdr:rowOff>42241</xdr:rowOff>
    </xdr:from>
    <xdr:ext cx="666750" cy="236468"/>
    <xdr:sp macro="" textlink="">
      <xdr:nvSpPr>
        <xdr:cNvPr id="16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C6421C0-12DE-4C71-AA48-086157DF277D}"/>
            </a:ext>
          </a:extLst>
        </xdr:cNvPr>
        <xdr:cNvSpPr/>
      </xdr:nvSpPr>
      <xdr:spPr bwMode="auto">
        <a:xfrm>
          <a:off x="5134803" y="31693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119</xdr:row>
      <xdr:rowOff>42241</xdr:rowOff>
    </xdr:from>
    <xdr:ext cx="666750" cy="236468"/>
    <xdr:sp macro="" textlink="">
      <xdr:nvSpPr>
        <xdr:cNvPr id="16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A9EDAB1-C4E4-469E-B8DA-10A9CE1E3B4B}"/>
            </a:ext>
          </a:extLst>
        </xdr:cNvPr>
        <xdr:cNvSpPr/>
      </xdr:nvSpPr>
      <xdr:spPr bwMode="auto">
        <a:xfrm>
          <a:off x="5134803" y="31693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119</xdr:row>
      <xdr:rowOff>42241</xdr:rowOff>
    </xdr:from>
    <xdr:ext cx="666750" cy="236468"/>
    <xdr:sp macro="" textlink="">
      <xdr:nvSpPr>
        <xdr:cNvPr id="16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CCE379B-F707-47EB-8E90-7B9FFC9D2F39}"/>
            </a:ext>
          </a:extLst>
        </xdr:cNvPr>
        <xdr:cNvSpPr/>
      </xdr:nvSpPr>
      <xdr:spPr bwMode="auto">
        <a:xfrm>
          <a:off x="5134803" y="31693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119</xdr:row>
      <xdr:rowOff>42241</xdr:rowOff>
    </xdr:from>
    <xdr:ext cx="666750" cy="236468"/>
    <xdr:sp macro="" textlink="">
      <xdr:nvSpPr>
        <xdr:cNvPr id="16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48B595B-4291-4CE9-AA05-53A5632559EC}"/>
            </a:ext>
          </a:extLst>
        </xdr:cNvPr>
        <xdr:cNvSpPr/>
      </xdr:nvSpPr>
      <xdr:spPr bwMode="auto">
        <a:xfrm>
          <a:off x="5134803" y="316938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129</xdr:row>
      <xdr:rowOff>42241</xdr:rowOff>
    </xdr:from>
    <xdr:ext cx="666750" cy="236468"/>
    <xdr:sp macro="" textlink="">
      <xdr:nvSpPr>
        <xdr:cNvPr id="16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4FD8D15-D7F8-4552-8A12-D7F0B38F9AC6}"/>
            </a:ext>
          </a:extLst>
        </xdr:cNvPr>
        <xdr:cNvSpPr/>
      </xdr:nvSpPr>
      <xdr:spPr bwMode="auto">
        <a:xfrm>
          <a:off x="5134803" y="340941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129</xdr:row>
      <xdr:rowOff>42241</xdr:rowOff>
    </xdr:from>
    <xdr:ext cx="666750" cy="236468"/>
    <xdr:sp macro="" textlink="">
      <xdr:nvSpPr>
        <xdr:cNvPr id="16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C485551-8D57-43D5-8071-88FC68EB9E73}"/>
            </a:ext>
          </a:extLst>
        </xdr:cNvPr>
        <xdr:cNvSpPr/>
      </xdr:nvSpPr>
      <xdr:spPr bwMode="auto">
        <a:xfrm>
          <a:off x="5134803" y="340941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129</xdr:row>
      <xdr:rowOff>42241</xdr:rowOff>
    </xdr:from>
    <xdr:ext cx="666750" cy="236468"/>
    <xdr:sp macro="" textlink="">
      <xdr:nvSpPr>
        <xdr:cNvPr id="16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96CB647-50F2-4B8E-B601-37B9CA68D13A}"/>
            </a:ext>
          </a:extLst>
        </xdr:cNvPr>
        <xdr:cNvSpPr/>
      </xdr:nvSpPr>
      <xdr:spPr bwMode="auto">
        <a:xfrm>
          <a:off x="5134803" y="340941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129</xdr:row>
      <xdr:rowOff>42241</xdr:rowOff>
    </xdr:from>
    <xdr:ext cx="666750" cy="236468"/>
    <xdr:sp macro="" textlink="">
      <xdr:nvSpPr>
        <xdr:cNvPr id="16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D7B1C92-4707-4E62-BB75-B18BE3779B54}"/>
            </a:ext>
          </a:extLst>
        </xdr:cNvPr>
        <xdr:cNvSpPr/>
      </xdr:nvSpPr>
      <xdr:spPr bwMode="auto">
        <a:xfrm>
          <a:off x="5134803" y="340941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129</xdr:row>
      <xdr:rowOff>42241</xdr:rowOff>
    </xdr:from>
    <xdr:ext cx="666750" cy="236468"/>
    <xdr:sp macro="" textlink="">
      <xdr:nvSpPr>
        <xdr:cNvPr id="16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D52F5B7-349E-4F6A-B093-E8165D5ABBB1}"/>
            </a:ext>
          </a:extLst>
        </xdr:cNvPr>
        <xdr:cNvSpPr/>
      </xdr:nvSpPr>
      <xdr:spPr bwMode="auto">
        <a:xfrm>
          <a:off x="4287078" y="340941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129</xdr:row>
      <xdr:rowOff>42241</xdr:rowOff>
    </xdr:from>
    <xdr:ext cx="666750" cy="236468"/>
    <xdr:sp macro="" textlink="">
      <xdr:nvSpPr>
        <xdr:cNvPr id="16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75B5290-1BA8-4684-A1B5-5DBA5A5FBB3A}"/>
            </a:ext>
          </a:extLst>
        </xdr:cNvPr>
        <xdr:cNvSpPr/>
      </xdr:nvSpPr>
      <xdr:spPr bwMode="auto">
        <a:xfrm>
          <a:off x="4287078" y="340941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129</xdr:row>
      <xdr:rowOff>42241</xdr:rowOff>
    </xdr:from>
    <xdr:ext cx="666750" cy="236468"/>
    <xdr:sp macro="" textlink="">
      <xdr:nvSpPr>
        <xdr:cNvPr id="17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5C90B42-DB85-40BD-A7F7-9BBE89B9C542}"/>
            </a:ext>
          </a:extLst>
        </xdr:cNvPr>
        <xdr:cNvSpPr/>
      </xdr:nvSpPr>
      <xdr:spPr bwMode="auto">
        <a:xfrm>
          <a:off x="4287078" y="340941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129</xdr:row>
      <xdr:rowOff>42241</xdr:rowOff>
    </xdr:from>
    <xdr:ext cx="666750" cy="236468"/>
    <xdr:sp macro="" textlink="">
      <xdr:nvSpPr>
        <xdr:cNvPr id="17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6816678-CA76-4AEE-A318-1958648E8226}"/>
            </a:ext>
          </a:extLst>
        </xdr:cNvPr>
        <xdr:cNvSpPr/>
      </xdr:nvSpPr>
      <xdr:spPr bwMode="auto">
        <a:xfrm>
          <a:off x="4287078" y="340941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17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446D54C-0CD5-4DFC-99F1-5B24FAE06A6E}"/>
            </a:ext>
          </a:extLst>
        </xdr:cNvPr>
        <xdr:cNvSpPr/>
      </xdr:nvSpPr>
      <xdr:spPr bwMode="auto">
        <a:xfrm>
          <a:off x="5134803" y="3544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17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33290B6-9C4E-4237-BDC3-55CE4D22EF83}"/>
            </a:ext>
          </a:extLst>
        </xdr:cNvPr>
        <xdr:cNvSpPr/>
      </xdr:nvSpPr>
      <xdr:spPr bwMode="auto">
        <a:xfrm>
          <a:off x="5134803" y="3544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17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01AE54F-5FAF-4F55-8EA7-E6612D102807}"/>
            </a:ext>
          </a:extLst>
        </xdr:cNvPr>
        <xdr:cNvSpPr/>
      </xdr:nvSpPr>
      <xdr:spPr bwMode="auto">
        <a:xfrm>
          <a:off x="5134803" y="3544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135</xdr:row>
      <xdr:rowOff>42241</xdr:rowOff>
    </xdr:from>
    <xdr:ext cx="666750" cy="236468"/>
    <xdr:sp macro="" textlink="">
      <xdr:nvSpPr>
        <xdr:cNvPr id="17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B1D8765-B6D1-40F1-A664-B0B1A7242AA3}"/>
            </a:ext>
          </a:extLst>
        </xdr:cNvPr>
        <xdr:cNvSpPr/>
      </xdr:nvSpPr>
      <xdr:spPr bwMode="auto">
        <a:xfrm>
          <a:off x="5134803" y="3544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17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0FD275A-4CFC-4D17-BAE6-1C2A29A3D3B6}"/>
            </a:ext>
          </a:extLst>
        </xdr:cNvPr>
        <xdr:cNvSpPr/>
      </xdr:nvSpPr>
      <xdr:spPr bwMode="auto">
        <a:xfrm>
          <a:off x="5134803" y="35627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17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C57B0A9-230F-4D1A-BCC3-767433A9F626}"/>
            </a:ext>
          </a:extLst>
        </xdr:cNvPr>
        <xdr:cNvSpPr/>
      </xdr:nvSpPr>
      <xdr:spPr bwMode="auto">
        <a:xfrm>
          <a:off x="5134803" y="35627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17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A64B9A7-5B9D-486B-A952-D6764DAD3C84}"/>
            </a:ext>
          </a:extLst>
        </xdr:cNvPr>
        <xdr:cNvSpPr/>
      </xdr:nvSpPr>
      <xdr:spPr bwMode="auto">
        <a:xfrm>
          <a:off x="5134803" y="35627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136</xdr:row>
      <xdr:rowOff>42241</xdr:rowOff>
    </xdr:from>
    <xdr:ext cx="666750" cy="236468"/>
    <xdr:sp macro="" textlink="">
      <xdr:nvSpPr>
        <xdr:cNvPr id="17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7359F78-8185-4753-94FB-F49842169319}"/>
            </a:ext>
          </a:extLst>
        </xdr:cNvPr>
        <xdr:cNvSpPr/>
      </xdr:nvSpPr>
      <xdr:spPr bwMode="auto">
        <a:xfrm>
          <a:off x="5134803" y="35627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135</xdr:row>
      <xdr:rowOff>42241</xdr:rowOff>
    </xdr:from>
    <xdr:ext cx="666750" cy="236468"/>
    <xdr:sp macro="" textlink="">
      <xdr:nvSpPr>
        <xdr:cNvPr id="18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02B4607-07C2-4FAD-80C0-84170EC7B18E}"/>
            </a:ext>
          </a:extLst>
        </xdr:cNvPr>
        <xdr:cNvSpPr/>
      </xdr:nvSpPr>
      <xdr:spPr bwMode="auto">
        <a:xfrm>
          <a:off x="4287078" y="3544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135</xdr:row>
      <xdr:rowOff>42241</xdr:rowOff>
    </xdr:from>
    <xdr:ext cx="666750" cy="236468"/>
    <xdr:sp macro="" textlink="">
      <xdr:nvSpPr>
        <xdr:cNvPr id="18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82588F5-024C-4EAF-AA8F-09A52CAA18AD}"/>
            </a:ext>
          </a:extLst>
        </xdr:cNvPr>
        <xdr:cNvSpPr/>
      </xdr:nvSpPr>
      <xdr:spPr bwMode="auto">
        <a:xfrm>
          <a:off x="4287078" y="3544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135</xdr:row>
      <xdr:rowOff>42241</xdr:rowOff>
    </xdr:from>
    <xdr:ext cx="666750" cy="236468"/>
    <xdr:sp macro="" textlink="">
      <xdr:nvSpPr>
        <xdr:cNvPr id="18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65E7445-E5E4-43AB-B617-313ABE067B81}"/>
            </a:ext>
          </a:extLst>
        </xdr:cNvPr>
        <xdr:cNvSpPr/>
      </xdr:nvSpPr>
      <xdr:spPr bwMode="auto">
        <a:xfrm>
          <a:off x="4287078" y="3544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135</xdr:row>
      <xdr:rowOff>42241</xdr:rowOff>
    </xdr:from>
    <xdr:ext cx="666750" cy="236468"/>
    <xdr:sp macro="" textlink="">
      <xdr:nvSpPr>
        <xdr:cNvPr id="18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0A6A405-6FED-43B9-8A5D-48D5991D54A5}"/>
            </a:ext>
          </a:extLst>
        </xdr:cNvPr>
        <xdr:cNvSpPr/>
      </xdr:nvSpPr>
      <xdr:spPr bwMode="auto">
        <a:xfrm>
          <a:off x="4287078" y="354466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136</xdr:row>
      <xdr:rowOff>42241</xdr:rowOff>
    </xdr:from>
    <xdr:ext cx="666750" cy="236468"/>
    <xdr:sp macro="" textlink="">
      <xdr:nvSpPr>
        <xdr:cNvPr id="18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930AD5B-462E-400C-BD87-4CE692C89D30}"/>
            </a:ext>
          </a:extLst>
        </xdr:cNvPr>
        <xdr:cNvSpPr/>
      </xdr:nvSpPr>
      <xdr:spPr bwMode="auto">
        <a:xfrm>
          <a:off x="4287078" y="35627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136</xdr:row>
      <xdr:rowOff>42241</xdr:rowOff>
    </xdr:from>
    <xdr:ext cx="666750" cy="236468"/>
    <xdr:sp macro="" textlink="">
      <xdr:nvSpPr>
        <xdr:cNvPr id="18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CB12734-E129-4889-AD26-9E32C535A5CE}"/>
            </a:ext>
          </a:extLst>
        </xdr:cNvPr>
        <xdr:cNvSpPr/>
      </xdr:nvSpPr>
      <xdr:spPr bwMode="auto">
        <a:xfrm>
          <a:off x="4287078" y="35627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136</xdr:row>
      <xdr:rowOff>42241</xdr:rowOff>
    </xdr:from>
    <xdr:ext cx="666750" cy="236468"/>
    <xdr:sp macro="" textlink="">
      <xdr:nvSpPr>
        <xdr:cNvPr id="18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9B86A8E-AA12-40DC-9DBB-D05B9F95617D}"/>
            </a:ext>
          </a:extLst>
        </xdr:cNvPr>
        <xdr:cNvSpPr/>
      </xdr:nvSpPr>
      <xdr:spPr bwMode="auto">
        <a:xfrm>
          <a:off x="4287078" y="35627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136</xdr:row>
      <xdr:rowOff>42241</xdr:rowOff>
    </xdr:from>
    <xdr:ext cx="666750" cy="236468"/>
    <xdr:sp macro="" textlink="">
      <xdr:nvSpPr>
        <xdr:cNvPr id="18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6A971AA-875C-49A1-ADAF-F9E3BD339615}"/>
            </a:ext>
          </a:extLst>
        </xdr:cNvPr>
        <xdr:cNvSpPr/>
      </xdr:nvSpPr>
      <xdr:spPr bwMode="auto">
        <a:xfrm>
          <a:off x="4287078" y="356276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143</xdr:row>
      <xdr:rowOff>42241</xdr:rowOff>
    </xdr:from>
    <xdr:ext cx="666750" cy="236468"/>
    <xdr:sp macro="" textlink="">
      <xdr:nvSpPr>
        <xdr:cNvPr id="18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0B056A3-2168-40CA-B0DD-DDB1D72E6732}"/>
            </a:ext>
          </a:extLst>
        </xdr:cNvPr>
        <xdr:cNvSpPr/>
      </xdr:nvSpPr>
      <xdr:spPr bwMode="auto">
        <a:xfrm>
          <a:off x="5134803" y="368849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143</xdr:row>
      <xdr:rowOff>42241</xdr:rowOff>
    </xdr:from>
    <xdr:ext cx="666750" cy="236468"/>
    <xdr:sp macro="" textlink="">
      <xdr:nvSpPr>
        <xdr:cNvPr id="18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8E23F56-F60A-4343-B3CC-640E9BBE459C}"/>
            </a:ext>
          </a:extLst>
        </xdr:cNvPr>
        <xdr:cNvSpPr/>
      </xdr:nvSpPr>
      <xdr:spPr bwMode="auto">
        <a:xfrm>
          <a:off x="5134803" y="368849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143</xdr:row>
      <xdr:rowOff>42241</xdr:rowOff>
    </xdr:from>
    <xdr:ext cx="666750" cy="236468"/>
    <xdr:sp macro="" textlink="">
      <xdr:nvSpPr>
        <xdr:cNvPr id="19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306847A-BBB8-4643-9000-582A5C95844F}"/>
            </a:ext>
          </a:extLst>
        </xdr:cNvPr>
        <xdr:cNvSpPr/>
      </xdr:nvSpPr>
      <xdr:spPr bwMode="auto">
        <a:xfrm>
          <a:off x="5134803" y="368849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143</xdr:row>
      <xdr:rowOff>42241</xdr:rowOff>
    </xdr:from>
    <xdr:ext cx="666750" cy="236468"/>
    <xdr:sp macro="" textlink="">
      <xdr:nvSpPr>
        <xdr:cNvPr id="19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7ECF0ED-C653-49F3-9892-0390539B3B0F}"/>
            </a:ext>
          </a:extLst>
        </xdr:cNvPr>
        <xdr:cNvSpPr/>
      </xdr:nvSpPr>
      <xdr:spPr bwMode="auto">
        <a:xfrm>
          <a:off x="5134803" y="368849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143</xdr:row>
      <xdr:rowOff>42241</xdr:rowOff>
    </xdr:from>
    <xdr:ext cx="666750" cy="236468"/>
    <xdr:sp macro="" textlink="">
      <xdr:nvSpPr>
        <xdr:cNvPr id="19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65F481D-DB7C-422C-8D92-9DD429BD10D8}"/>
            </a:ext>
          </a:extLst>
        </xdr:cNvPr>
        <xdr:cNvSpPr/>
      </xdr:nvSpPr>
      <xdr:spPr bwMode="auto">
        <a:xfrm>
          <a:off x="4287078" y="368849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143</xdr:row>
      <xdr:rowOff>42241</xdr:rowOff>
    </xdr:from>
    <xdr:ext cx="666750" cy="236468"/>
    <xdr:sp macro="" textlink="">
      <xdr:nvSpPr>
        <xdr:cNvPr id="19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B480E5E-48C4-4BBD-93A8-534F846D935F}"/>
            </a:ext>
          </a:extLst>
        </xdr:cNvPr>
        <xdr:cNvSpPr/>
      </xdr:nvSpPr>
      <xdr:spPr bwMode="auto">
        <a:xfrm>
          <a:off x="4287078" y="368849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143</xdr:row>
      <xdr:rowOff>42241</xdr:rowOff>
    </xdr:from>
    <xdr:ext cx="666750" cy="236468"/>
    <xdr:sp macro="" textlink="">
      <xdr:nvSpPr>
        <xdr:cNvPr id="19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2D9E64C-1048-4032-954B-38C9CB927319}"/>
            </a:ext>
          </a:extLst>
        </xdr:cNvPr>
        <xdr:cNvSpPr/>
      </xdr:nvSpPr>
      <xdr:spPr bwMode="auto">
        <a:xfrm>
          <a:off x="4287078" y="368849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143</xdr:row>
      <xdr:rowOff>42241</xdr:rowOff>
    </xdr:from>
    <xdr:ext cx="666750" cy="236468"/>
    <xdr:sp macro="" textlink="">
      <xdr:nvSpPr>
        <xdr:cNvPr id="19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4FB00D7-5958-4841-B831-93EAB9226C52}"/>
            </a:ext>
          </a:extLst>
        </xdr:cNvPr>
        <xdr:cNvSpPr/>
      </xdr:nvSpPr>
      <xdr:spPr bwMode="auto">
        <a:xfrm>
          <a:off x="4287078" y="368849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148</xdr:row>
      <xdr:rowOff>42241</xdr:rowOff>
    </xdr:from>
    <xdr:ext cx="666750" cy="236468"/>
    <xdr:sp macro="" textlink="">
      <xdr:nvSpPr>
        <xdr:cNvPr id="19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D0C9898-A5F7-473E-A65E-4188DC6783CB}"/>
            </a:ext>
          </a:extLst>
        </xdr:cNvPr>
        <xdr:cNvSpPr/>
      </xdr:nvSpPr>
      <xdr:spPr bwMode="auto">
        <a:xfrm>
          <a:off x="4287078" y="380850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148</xdr:row>
      <xdr:rowOff>42241</xdr:rowOff>
    </xdr:from>
    <xdr:ext cx="666750" cy="236468"/>
    <xdr:sp macro="" textlink="">
      <xdr:nvSpPr>
        <xdr:cNvPr id="19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C75D50C-96DA-4E6D-8806-990503B48CA5}"/>
            </a:ext>
          </a:extLst>
        </xdr:cNvPr>
        <xdr:cNvSpPr/>
      </xdr:nvSpPr>
      <xdr:spPr bwMode="auto">
        <a:xfrm>
          <a:off x="4287078" y="380850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148</xdr:row>
      <xdr:rowOff>42241</xdr:rowOff>
    </xdr:from>
    <xdr:ext cx="666750" cy="236468"/>
    <xdr:sp macro="" textlink="">
      <xdr:nvSpPr>
        <xdr:cNvPr id="19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50B2094-113E-42D2-93F3-2702B5E16C3F}"/>
            </a:ext>
          </a:extLst>
        </xdr:cNvPr>
        <xdr:cNvSpPr/>
      </xdr:nvSpPr>
      <xdr:spPr bwMode="auto">
        <a:xfrm>
          <a:off x="4287078" y="380850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148</xdr:row>
      <xdr:rowOff>42241</xdr:rowOff>
    </xdr:from>
    <xdr:ext cx="666750" cy="236468"/>
    <xdr:sp macro="" textlink="">
      <xdr:nvSpPr>
        <xdr:cNvPr id="19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DE77E11-597D-4CEF-90E2-4410A0F79548}"/>
            </a:ext>
          </a:extLst>
        </xdr:cNvPr>
        <xdr:cNvSpPr/>
      </xdr:nvSpPr>
      <xdr:spPr bwMode="auto">
        <a:xfrm>
          <a:off x="4287078" y="380850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148</xdr:row>
      <xdr:rowOff>42241</xdr:rowOff>
    </xdr:from>
    <xdr:ext cx="666750" cy="236468"/>
    <xdr:sp macro="" textlink="">
      <xdr:nvSpPr>
        <xdr:cNvPr id="20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1B7A10F-8C61-4CBA-9C10-148FA70FD659}"/>
            </a:ext>
          </a:extLst>
        </xdr:cNvPr>
        <xdr:cNvSpPr/>
      </xdr:nvSpPr>
      <xdr:spPr bwMode="auto">
        <a:xfrm>
          <a:off x="5134803" y="380850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148</xdr:row>
      <xdr:rowOff>42241</xdr:rowOff>
    </xdr:from>
    <xdr:ext cx="666750" cy="236468"/>
    <xdr:sp macro="" textlink="">
      <xdr:nvSpPr>
        <xdr:cNvPr id="20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A98767E-9E94-4671-AB55-85EB3406EA4D}"/>
            </a:ext>
          </a:extLst>
        </xdr:cNvPr>
        <xdr:cNvSpPr/>
      </xdr:nvSpPr>
      <xdr:spPr bwMode="auto">
        <a:xfrm>
          <a:off x="5134803" y="380850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148</xdr:row>
      <xdr:rowOff>42241</xdr:rowOff>
    </xdr:from>
    <xdr:ext cx="666750" cy="236468"/>
    <xdr:sp macro="" textlink="">
      <xdr:nvSpPr>
        <xdr:cNvPr id="20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766FB2D-F64E-4112-9A31-179C2095AA6E}"/>
            </a:ext>
          </a:extLst>
        </xdr:cNvPr>
        <xdr:cNvSpPr/>
      </xdr:nvSpPr>
      <xdr:spPr bwMode="auto">
        <a:xfrm>
          <a:off x="5134803" y="380850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148</xdr:row>
      <xdr:rowOff>42241</xdr:rowOff>
    </xdr:from>
    <xdr:ext cx="666750" cy="236468"/>
    <xdr:sp macro="" textlink="">
      <xdr:nvSpPr>
        <xdr:cNvPr id="20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96A8621-2154-4ABB-AF99-322841DE7AE4}"/>
            </a:ext>
          </a:extLst>
        </xdr:cNvPr>
        <xdr:cNvSpPr/>
      </xdr:nvSpPr>
      <xdr:spPr bwMode="auto">
        <a:xfrm>
          <a:off x="5134803" y="380850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155</xdr:row>
      <xdr:rowOff>42241</xdr:rowOff>
    </xdr:from>
    <xdr:ext cx="666750" cy="236468"/>
    <xdr:sp macro="" textlink="">
      <xdr:nvSpPr>
        <xdr:cNvPr id="20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EC83C81-6EB0-40EE-A02E-C346727D5075}"/>
            </a:ext>
          </a:extLst>
        </xdr:cNvPr>
        <xdr:cNvSpPr/>
      </xdr:nvSpPr>
      <xdr:spPr bwMode="auto">
        <a:xfrm>
          <a:off x="5134803" y="39656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155</xdr:row>
      <xdr:rowOff>42241</xdr:rowOff>
    </xdr:from>
    <xdr:ext cx="666750" cy="236468"/>
    <xdr:sp macro="" textlink="">
      <xdr:nvSpPr>
        <xdr:cNvPr id="20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0FA784F-87EF-4C0D-A406-3A4A1C889FF7}"/>
            </a:ext>
          </a:extLst>
        </xdr:cNvPr>
        <xdr:cNvSpPr/>
      </xdr:nvSpPr>
      <xdr:spPr bwMode="auto">
        <a:xfrm>
          <a:off x="5134803" y="39656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155</xdr:row>
      <xdr:rowOff>42241</xdr:rowOff>
    </xdr:from>
    <xdr:ext cx="666750" cy="236468"/>
    <xdr:sp macro="" textlink="">
      <xdr:nvSpPr>
        <xdr:cNvPr id="20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E77E908-41A1-4AAD-8FF7-86BFD89DD8B6}"/>
            </a:ext>
          </a:extLst>
        </xdr:cNvPr>
        <xdr:cNvSpPr/>
      </xdr:nvSpPr>
      <xdr:spPr bwMode="auto">
        <a:xfrm>
          <a:off x="5134803" y="39656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155</xdr:row>
      <xdr:rowOff>42241</xdr:rowOff>
    </xdr:from>
    <xdr:ext cx="666750" cy="236468"/>
    <xdr:sp macro="" textlink="">
      <xdr:nvSpPr>
        <xdr:cNvPr id="20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DA1E634-40B9-427C-BA6D-C449773C8EDF}"/>
            </a:ext>
          </a:extLst>
        </xdr:cNvPr>
        <xdr:cNvSpPr/>
      </xdr:nvSpPr>
      <xdr:spPr bwMode="auto">
        <a:xfrm>
          <a:off x="5134803" y="39656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156</xdr:row>
      <xdr:rowOff>42241</xdr:rowOff>
    </xdr:from>
    <xdr:ext cx="666750" cy="236468"/>
    <xdr:sp macro="" textlink="">
      <xdr:nvSpPr>
        <xdr:cNvPr id="20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197A150-5161-4D1E-AAFF-916D2477C5E1}"/>
            </a:ext>
          </a:extLst>
        </xdr:cNvPr>
        <xdr:cNvSpPr/>
      </xdr:nvSpPr>
      <xdr:spPr bwMode="auto">
        <a:xfrm>
          <a:off x="5134803" y="400948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156</xdr:row>
      <xdr:rowOff>42241</xdr:rowOff>
    </xdr:from>
    <xdr:ext cx="666750" cy="236468"/>
    <xdr:sp macro="" textlink="">
      <xdr:nvSpPr>
        <xdr:cNvPr id="20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58743C7-4CE1-47D2-AEAE-C88B3A8A04FF}"/>
            </a:ext>
          </a:extLst>
        </xdr:cNvPr>
        <xdr:cNvSpPr/>
      </xdr:nvSpPr>
      <xdr:spPr bwMode="auto">
        <a:xfrm>
          <a:off x="5134803" y="400948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156</xdr:row>
      <xdr:rowOff>42241</xdr:rowOff>
    </xdr:from>
    <xdr:ext cx="666750" cy="236468"/>
    <xdr:sp macro="" textlink="">
      <xdr:nvSpPr>
        <xdr:cNvPr id="21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C4E2BA8-DC47-4392-B2F7-E849FADBF8F5}"/>
            </a:ext>
          </a:extLst>
        </xdr:cNvPr>
        <xdr:cNvSpPr/>
      </xdr:nvSpPr>
      <xdr:spPr bwMode="auto">
        <a:xfrm>
          <a:off x="5134803" y="400948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156</xdr:row>
      <xdr:rowOff>42241</xdr:rowOff>
    </xdr:from>
    <xdr:ext cx="666750" cy="236468"/>
    <xdr:sp macro="" textlink="">
      <xdr:nvSpPr>
        <xdr:cNvPr id="21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FE77C93-D263-41A7-AD58-8AA04EF37B39}"/>
            </a:ext>
          </a:extLst>
        </xdr:cNvPr>
        <xdr:cNvSpPr/>
      </xdr:nvSpPr>
      <xdr:spPr bwMode="auto">
        <a:xfrm>
          <a:off x="5134803" y="400948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155</xdr:row>
      <xdr:rowOff>42241</xdr:rowOff>
    </xdr:from>
    <xdr:ext cx="666750" cy="236468"/>
    <xdr:sp macro="" textlink="">
      <xdr:nvSpPr>
        <xdr:cNvPr id="21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665B43D-89D2-497F-ABE2-8EA3D490D040}"/>
            </a:ext>
          </a:extLst>
        </xdr:cNvPr>
        <xdr:cNvSpPr/>
      </xdr:nvSpPr>
      <xdr:spPr bwMode="auto">
        <a:xfrm>
          <a:off x="4287078" y="39656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155</xdr:row>
      <xdr:rowOff>42241</xdr:rowOff>
    </xdr:from>
    <xdr:ext cx="666750" cy="236468"/>
    <xdr:sp macro="" textlink="">
      <xdr:nvSpPr>
        <xdr:cNvPr id="21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03E319B-C273-4BEC-922D-364C46F3F074}"/>
            </a:ext>
          </a:extLst>
        </xdr:cNvPr>
        <xdr:cNvSpPr/>
      </xdr:nvSpPr>
      <xdr:spPr bwMode="auto">
        <a:xfrm>
          <a:off x="4287078" y="39656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155</xdr:row>
      <xdr:rowOff>42241</xdr:rowOff>
    </xdr:from>
    <xdr:ext cx="666750" cy="236468"/>
    <xdr:sp macro="" textlink="">
      <xdr:nvSpPr>
        <xdr:cNvPr id="21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222D233-A0B1-439A-AA07-5A6592C75542}"/>
            </a:ext>
          </a:extLst>
        </xdr:cNvPr>
        <xdr:cNvSpPr/>
      </xdr:nvSpPr>
      <xdr:spPr bwMode="auto">
        <a:xfrm>
          <a:off x="4287078" y="39656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155</xdr:row>
      <xdr:rowOff>42241</xdr:rowOff>
    </xdr:from>
    <xdr:ext cx="666750" cy="236468"/>
    <xdr:sp macro="" textlink="">
      <xdr:nvSpPr>
        <xdr:cNvPr id="21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146D57D-46BF-4BD7-8DB4-C65B80759BC2}"/>
            </a:ext>
          </a:extLst>
        </xdr:cNvPr>
        <xdr:cNvSpPr/>
      </xdr:nvSpPr>
      <xdr:spPr bwMode="auto">
        <a:xfrm>
          <a:off x="4287078" y="3965671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156</xdr:row>
      <xdr:rowOff>42241</xdr:rowOff>
    </xdr:from>
    <xdr:ext cx="666750" cy="236468"/>
    <xdr:sp macro="" textlink="">
      <xdr:nvSpPr>
        <xdr:cNvPr id="21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AD5519F-C739-4E76-A169-35F90171B551}"/>
            </a:ext>
          </a:extLst>
        </xdr:cNvPr>
        <xdr:cNvSpPr/>
      </xdr:nvSpPr>
      <xdr:spPr bwMode="auto">
        <a:xfrm>
          <a:off x="4287078" y="400948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156</xdr:row>
      <xdr:rowOff>42241</xdr:rowOff>
    </xdr:from>
    <xdr:ext cx="666750" cy="236468"/>
    <xdr:sp macro="" textlink="">
      <xdr:nvSpPr>
        <xdr:cNvPr id="21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E520C2F-E092-4ACC-A8D2-D853EB3E644D}"/>
            </a:ext>
          </a:extLst>
        </xdr:cNvPr>
        <xdr:cNvSpPr/>
      </xdr:nvSpPr>
      <xdr:spPr bwMode="auto">
        <a:xfrm>
          <a:off x="4287078" y="400948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156</xdr:row>
      <xdr:rowOff>42241</xdr:rowOff>
    </xdr:from>
    <xdr:ext cx="666750" cy="236468"/>
    <xdr:sp macro="" textlink="">
      <xdr:nvSpPr>
        <xdr:cNvPr id="21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43B24CE-4284-4197-A4E2-3D7E1A226B2F}"/>
            </a:ext>
          </a:extLst>
        </xdr:cNvPr>
        <xdr:cNvSpPr/>
      </xdr:nvSpPr>
      <xdr:spPr bwMode="auto">
        <a:xfrm>
          <a:off x="4287078" y="400948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156</xdr:row>
      <xdr:rowOff>42241</xdr:rowOff>
    </xdr:from>
    <xdr:ext cx="666750" cy="236468"/>
    <xdr:sp macro="" textlink="">
      <xdr:nvSpPr>
        <xdr:cNvPr id="21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BE84AFF5-49B7-4997-A062-E35BDE7B6533}"/>
            </a:ext>
          </a:extLst>
        </xdr:cNvPr>
        <xdr:cNvSpPr/>
      </xdr:nvSpPr>
      <xdr:spPr bwMode="auto">
        <a:xfrm>
          <a:off x="4287078" y="400948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168</xdr:row>
      <xdr:rowOff>42241</xdr:rowOff>
    </xdr:from>
    <xdr:ext cx="666750" cy="236468"/>
    <xdr:sp macro="" textlink="">
      <xdr:nvSpPr>
        <xdr:cNvPr id="22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C43FCCA-E421-4A50-BEBB-07EB5360D4DF}"/>
            </a:ext>
          </a:extLst>
        </xdr:cNvPr>
        <xdr:cNvSpPr/>
      </xdr:nvSpPr>
      <xdr:spPr bwMode="auto">
        <a:xfrm>
          <a:off x="5134803" y="43676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168</xdr:row>
      <xdr:rowOff>42241</xdr:rowOff>
    </xdr:from>
    <xdr:ext cx="666750" cy="236468"/>
    <xdr:sp macro="" textlink="">
      <xdr:nvSpPr>
        <xdr:cNvPr id="22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A7066CF-CAC3-4EBD-81ED-8B928336BBD0}"/>
            </a:ext>
          </a:extLst>
        </xdr:cNvPr>
        <xdr:cNvSpPr/>
      </xdr:nvSpPr>
      <xdr:spPr bwMode="auto">
        <a:xfrm>
          <a:off x="5134803" y="43676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168</xdr:row>
      <xdr:rowOff>42241</xdr:rowOff>
    </xdr:from>
    <xdr:ext cx="666750" cy="236468"/>
    <xdr:sp macro="" textlink="">
      <xdr:nvSpPr>
        <xdr:cNvPr id="22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64E616C-D20E-4231-9C5C-9F2CED7B685C}"/>
            </a:ext>
          </a:extLst>
        </xdr:cNvPr>
        <xdr:cNvSpPr/>
      </xdr:nvSpPr>
      <xdr:spPr bwMode="auto">
        <a:xfrm>
          <a:off x="5134803" y="43676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168</xdr:row>
      <xdr:rowOff>42241</xdr:rowOff>
    </xdr:from>
    <xdr:ext cx="666750" cy="236468"/>
    <xdr:sp macro="" textlink="">
      <xdr:nvSpPr>
        <xdr:cNvPr id="22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D26C311-5F3D-4185-8C2F-30D39ED15B2F}"/>
            </a:ext>
          </a:extLst>
        </xdr:cNvPr>
        <xdr:cNvSpPr/>
      </xdr:nvSpPr>
      <xdr:spPr bwMode="auto">
        <a:xfrm>
          <a:off x="5134803" y="43676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169</xdr:row>
      <xdr:rowOff>42241</xdr:rowOff>
    </xdr:from>
    <xdr:ext cx="666750" cy="236468"/>
    <xdr:sp macro="" textlink="">
      <xdr:nvSpPr>
        <xdr:cNvPr id="22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351A10B-5FFD-410E-90C9-C3BDABEA39DD}"/>
            </a:ext>
          </a:extLst>
        </xdr:cNvPr>
        <xdr:cNvSpPr/>
      </xdr:nvSpPr>
      <xdr:spPr bwMode="auto">
        <a:xfrm>
          <a:off x="5134803" y="44095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169</xdr:row>
      <xdr:rowOff>42241</xdr:rowOff>
    </xdr:from>
    <xdr:ext cx="666750" cy="236468"/>
    <xdr:sp macro="" textlink="">
      <xdr:nvSpPr>
        <xdr:cNvPr id="22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2D44BD5-2D5B-4869-916F-8791EF4C69EF}"/>
            </a:ext>
          </a:extLst>
        </xdr:cNvPr>
        <xdr:cNvSpPr/>
      </xdr:nvSpPr>
      <xdr:spPr bwMode="auto">
        <a:xfrm>
          <a:off x="5134803" y="44095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169</xdr:row>
      <xdr:rowOff>42241</xdr:rowOff>
    </xdr:from>
    <xdr:ext cx="666750" cy="236468"/>
    <xdr:sp macro="" textlink="">
      <xdr:nvSpPr>
        <xdr:cNvPr id="22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A67BEA3-A808-44A4-B958-2130A12CE42C}"/>
            </a:ext>
          </a:extLst>
        </xdr:cNvPr>
        <xdr:cNvSpPr/>
      </xdr:nvSpPr>
      <xdr:spPr bwMode="auto">
        <a:xfrm>
          <a:off x="5134803" y="44095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169</xdr:row>
      <xdr:rowOff>42241</xdr:rowOff>
    </xdr:from>
    <xdr:ext cx="666750" cy="236468"/>
    <xdr:sp macro="" textlink="">
      <xdr:nvSpPr>
        <xdr:cNvPr id="22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1EC52E4-129C-482D-85BE-A225B2A2BAF1}"/>
            </a:ext>
          </a:extLst>
        </xdr:cNvPr>
        <xdr:cNvSpPr/>
      </xdr:nvSpPr>
      <xdr:spPr bwMode="auto">
        <a:xfrm>
          <a:off x="5134803" y="44095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170</xdr:row>
      <xdr:rowOff>42241</xdr:rowOff>
    </xdr:from>
    <xdr:ext cx="666750" cy="236468"/>
    <xdr:sp macro="" textlink="">
      <xdr:nvSpPr>
        <xdr:cNvPr id="22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62FC256-D50A-4C3E-8B5E-89ECE8C2A8FB}"/>
            </a:ext>
          </a:extLst>
        </xdr:cNvPr>
        <xdr:cNvSpPr/>
      </xdr:nvSpPr>
      <xdr:spPr bwMode="auto">
        <a:xfrm>
          <a:off x="5134803" y="4447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170</xdr:row>
      <xdr:rowOff>42241</xdr:rowOff>
    </xdr:from>
    <xdr:ext cx="666750" cy="236468"/>
    <xdr:sp macro="" textlink="">
      <xdr:nvSpPr>
        <xdr:cNvPr id="22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664F843-4145-47B7-96F5-18FC73DF6004}"/>
            </a:ext>
          </a:extLst>
        </xdr:cNvPr>
        <xdr:cNvSpPr/>
      </xdr:nvSpPr>
      <xdr:spPr bwMode="auto">
        <a:xfrm>
          <a:off x="5134803" y="4447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170</xdr:row>
      <xdr:rowOff>42241</xdr:rowOff>
    </xdr:from>
    <xdr:ext cx="666750" cy="236468"/>
    <xdr:sp macro="" textlink="">
      <xdr:nvSpPr>
        <xdr:cNvPr id="23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9BF4F52-A704-4ED6-BAF1-C0C3B025DD4B}"/>
            </a:ext>
          </a:extLst>
        </xdr:cNvPr>
        <xdr:cNvSpPr/>
      </xdr:nvSpPr>
      <xdr:spPr bwMode="auto">
        <a:xfrm>
          <a:off x="5134803" y="4447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170</xdr:row>
      <xdr:rowOff>42241</xdr:rowOff>
    </xdr:from>
    <xdr:ext cx="666750" cy="236468"/>
    <xdr:sp macro="" textlink="">
      <xdr:nvSpPr>
        <xdr:cNvPr id="23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A43E027-70FE-4CAE-AE41-7C50B6771C8F}"/>
            </a:ext>
          </a:extLst>
        </xdr:cNvPr>
        <xdr:cNvSpPr/>
      </xdr:nvSpPr>
      <xdr:spPr bwMode="auto">
        <a:xfrm>
          <a:off x="5134803" y="4447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171</xdr:row>
      <xdr:rowOff>42241</xdr:rowOff>
    </xdr:from>
    <xdr:ext cx="666750" cy="236468"/>
    <xdr:sp macro="" textlink="">
      <xdr:nvSpPr>
        <xdr:cNvPr id="23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EA9DFA4C-A45D-4B9D-A4D4-D6D839EBFFF7}"/>
            </a:ext>
          </a:extLst>
        </xdr:cNvPr>
        <xdr:cNvSpPr/>
      </xdr:nvSpPr>
      <xdr:spPr bwMode="auto">
        <a:xfrm>
          <a:off x="5134803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171</xdr:row>
      <xdr:rowOff>42241</xdr:rowOff>
    </xdr:from>
    <xdr:ext cx="666750" cy="236468"/>
    <xdr:sp macro="" textlink="">
      <xdr:nvSpPr>
        <xdr:cNvPr id="23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32F5671-DB9E-481F-B779-483B59833D58}"/>
            </a:ext>
          </a:extLst>
        </xdr:cNvPr>
        <xdr:cNvSpPr/>
      </xdr:nvSpPr>
      <xdr:spPr bwMode="auto">
        <a:xfrm>
          <a:off x="5134803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171</xdr:row>
      <xdr:rowOff>42241</xdr:rowOff>
    </xdr:from>
    <xdr:ext cx="666750" cy="236468"/>
    <xdr:sp macro="" textlink="">
      <xdr:nvSpPr>
        <xdr:cNvPr id="23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C9CEE869-EBE5-4327-9250-EEF7C98A4C8B}"/>
            </a:ext>
          </a:extLst>
        </xdr:cNvPr>
        <xdr:cNvSpPr/>
      </xdr:nvSpPr>
      <xdr:spPr bwMode="auto">
        <a:xfrm>
          <a:off x="5134803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171</xdr:row>
      <xdr:rowOff>42241</xdr:rowOff>
    </xdr:from>
    <xdr:ext cx="666750" cy="236468"/>
    <xdr:sp macro="" textlink="">
      <xdr:nvSpPr>
        <xdr:cNvPr id="23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A2DA316-2D30-4CD5-BB21-10428AE6547F}"/>
            </a:ext>
          </a:extLst>
        </xdr:cNvPr>
        <xdr:cNvSpPr/>
      </xdr:nvSpPr>
      <xdr:spPr bwMode="auto">
        <a:xfrm>
          <a:off x="5134803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168</xdr:row>
      <xdr:rowOff>42241</xdr:rowOff>
    </xdr:from>
    <xdr:ext cx="666750" cy="236468"/>
    <xdr:sp macro="" textlink="">
      <xdr:nvSpPr>
        <xdr:cNvPr id="23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FAF17F9-6F6C-4CE1-BFA4-582524692C31}"/>
            </a:ext>
          </a:extLst>
        </xdr:cNvPr>
        <xdr:cNvSpPr/>
      </xdr:nvSpPr>
      <xdr:spPr bwMode="auto">
        <a:xfrm>
          <a:off x="4287078" y="43676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168</xdr:row>
      <xdr:rowOff>42241</xdr:rowOff>
    </xdr:from>
    <xdr:ext cx="666750" cy="236468"/>
    <xdr:sp macro="" textlink="">
      <xdr:nvSpPr>
        <xdr:cNvPr id="23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8D9DC95-04F2-418A-8222-987CB83129AA}"/>
            </a:ext>
          </a:extLst>
        </xdr:cNvPr>
        <xdr:cNvSpPr/>
      </xdr:nvSpPr>
      <xdr:spPr bwMode="auto">
        <a:xfrm>
          <a:off x="4287078" y="43676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168</xdr:row>
      <xdr:rowOff>42241</xdr:rowOff>
    </xdr:from>
    <xdr:ext cx="666750" cy="236468"/>
    <xdr:sp macro="" textlink="">
      <xdr:nvSpPr>
        <xdr:cNvPr id="23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68E5F20B-000A-417B-91B6-66A4B9B4F4AA}"/>
            </a:ext>
          </a:extLst>
        </xdr:cNvPr>
        <xdr:cNvSpPr/>
      </xdr:nvSpPr>
      <xdr:spPr bwMode="auto">
        <a:xfrm>
          <a:off x="4287078" y="43676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168</xdr:row>
      <xdr:rowOff>42241</xdr:rowOff>
    </xdr:from>
    <xdr:ext cx="666750" cy="236468"/>
    <xdr:sp macro="" textlink="">
      <xdr:nvSpPr>
        <xdr:cNvPr id="23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415F87D-67EF-43E2-85BC-D487DF76A68C}"/>
            </a:ext>
          </a:extLst>
        </xdr:cNvPr>
        <xdr:cNvSpPr/>
      </xdr:nvSpPr>
      <xdr:spPr bwMode="auto">
        <a:xfrm>
          <a:off x="4287078" y="436762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169</xdr:row>
      <xdr:rowOff>42241</xdr:rowOff>
    </xdr:from>
    <xdr:ext cx="666750" cy="236468"/>
    <xdr:sp macro="" textlink="">
      <xdr:nvSpPr>
        <xdr:cNvPr id="24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A248F61-1470-4494-85A8-8DD1B1171F0A}"/>
            </a:ext>
          </a:extLst>
        </xdr:cNvPr>
        <xdr:cNvSpPr/>
      </xdr:nvSpPr>
      <xdr:spPr bwMode="auto">
        <a:xfrm>
          <a:off x="4287078" y="44095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169</xdr:row>
      <xdr:rowOff>42241</xdr:rowOff>
    </xdr:from>
    <xdr:ext cx="666750" cy="236468"/>
    <xdr:sp macro="" textlink="">
      <xdr:nvSpPr>
        <xdr:cNvPr id="24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E18C567-D432-4F34-A90C-2FFBF2400804}"/>
            </a:ext>
          </a:extLst>
        </xdr:cNvPr>
        <xdr:cNvSpPr/>
      </xdr:nvSpPr>
      <xdr:spPr bwMode="auto">
        <a:xfrm>
          <a:off x="4287078" y="44095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169</xdr:row>
      <xdr:rowOff>42241</xdr:rowOff>
    </xdr:from>
    <xdr:ext cx="666750" cy="236468"/>
    <xdr:sp macro="" textlink="">
      <xdr:nvSpPr>
        <xdr:cNvPr id="24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FACF7AC8-C764-4BA0-9B0C-FF329E98B5BB}"/>
            </a:ext>
          </a:extLst>
        </xdr:cNvPr>
        <xdr:cNvSpPr/>
      </xdr:nvSpPr>
      <xdr:spPr bwMode="auto">
        <a:xfrm>
          <a:off x="4287078" y="44095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169</xdr:row>
      <xdr:rowOff>42241</xdr:rowOff>
    </xdr:from>
    <xdr:ext cx="666750" cy="236468"/>
    <xdr:sp macro="" textlink="">
      <xdr:nvSpPr>
        <xdr:cNvPr id="24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F4DE212-8F80-4E1F-9D4A-306CA5853270}"/>
            </a:ext>
          </a:extLst>
        </xdr:cNvPr>
        <xdr:cNvSpPr/>
      </xdr:nvSpPr>
      <xdr:spPr bwMode="auto">
        <a:xfrm>
          <a:off x="4287078" y="44095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170</xdr:row>
      <xdr:rowOff>42241</xdr:rowOff>
    </xdr:from>
    <xdr:ext cx="666750" cy="236468"/>
    <xdr:sp macro="" textlink="">
      <xdr:nvSpPr>
        <xdr:cNvPr id="24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81927F2-5DC5-4875-89A2-435EFE40AA3B}"/>
            </a:ext>
          </a:extLst>
        </xdr:cNvPr>
        <xdr:cNvSpPr/>
      </xdr:nvSpPr>
      <xdr:spPr bwMode="auto">
        <a:xfrm>
          <a:off x="4287078" y="4447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170</xdr:row>
      <xdr:rowOff>42241</xdr:rowOff>
    </xdr:from>
    <xdr:ext cx="666750" cy="236468"/>
    <xdr:sp macro="" textlink="">
      <xdr:nvSpPr>
        <xdr:cNvPr id="24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9A6C02D-8B99-427C-9E5A-C1B53F89FABD}"/>
            </a:ext>
          </a:extLst>
        </xdr:cNvPr>
        <xdr:cNvSpPr/>
      </xdr:nvSpPr>
      <xdr:spPr bwMode="auto">
        <a:xfrm>
          <a:off x="4287078" y="4447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170</xdr:row>
      <xdr:rowOff>42241</xdr:rowOff>
    </xdr:from>
    <xdr:ext cx="666750" cy="236468"/>
    <xdr:sp macro="" textlink="">
      <xdr:nvSpPr>
        <xdr:cNvPr id="24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58FE954-82AB-47A8-AE29-D2DF09A664CC}"/>
            </a:ext>
          </a:extLst>
        </xdr:cNvPr>
        <xdr:cNvSpPr/>
      </xdr:nvSpPr>
      <xdr:spPr bwMode="auto">
        <a:xfrm>
          <a:off x="4287078" y="4447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170</xdr:row>
      <xdr:rowOff>42241</xdr:rowOff>
    </xdr:from>
    <xdr:ext cx="666750" cy="236468"/>
    <xdr:sp macro="" textlink="">
      <xdr:nvSpPr>
        <xdr:cNvPr id="24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D805751-3295-4C44-8BC3-0360DA3BCBF4}"/>
            </a:ext>
          </a:extLst>
        </xdr:cNvPr>
        <xdr:cNvSpPr/>
      </xdr:nvSpPr>
      <xdr:spPr bwMode="auto">
        <a:xfrm>
          <a:off x="4287078" y="44476366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171</xdr:row>
      <xdr:rowOff>42241</xdr:rowOff>
    </xdr:from>
    <xdr:ext cx="666750" cy="236468"/>
    <xdr:sp macro="" textlink="">
      <xdr:nvSpPr>
        <xdr:cNvPr id="24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17CAE1A-B9B3-4917-A230-DF1989B29465}"/>
            </a:ext>
          </a:extLst>
        </xdr:cNvPr>
        <xdr:cNvSpPr/>
      </xdr:nvSpPr>
      <xdr:spPr bwMode="auto">
        <a:xfrm>
          <a:off x="4287078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171</xdr:row>
      <xdr:rowOff>42241</xdr:rowOff>
    </xdr:from>
    <xdr:ext cx="666750" cy="236468"/>
    <xdr:sp macro="" textlink="">
      <xdr:nvSpPr>
        <xdr:cNvPr id="24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8F1AEAF-53BF-42C6-89D7-76BEA77EFEC8}"/>
            </a:ext>
          </a:extLst>
        </xdr:cNvPr>
        <xdr:cNvSpPr/>
      </xdr:nvSpPr>
      <xdr:spPr bwMode="auto">
        <a:xfrm>
          <a:off x="4287078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171</xdr:row>
      <xdr:rowOff>42241</xdr:rowOff>
    </xdr:from>
    <xdr:ext cx="666750" cy="236468"/>
    <xdr:sp macro="" textlink="">
      <xdr:nvSpPr>
        <xdr:cNvPr id="25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DA2286B-EB32-4064-8345-94DD995CAF23}"/>
            </a:ext>
          </a:extLst>
        </xdr:cNvPr>
        <xdr:cNvSpPr/>
      </xdr:nvSpPr>
      <xdr:spPr bwMode="auto">
        <a:xfrm>
          <a:off x="4287078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171</xdr:row>
      <xdr:rowOff>42241</xdr:rowOff>
    </xdr:from>
    <xdr:ext cx="666750" cy="236468"/>
    <xdr:sp macro="" textlink="">
      <xdr:nvSpPr>
        <xdr:cNvPr id="25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BD2BEB7-4387-43ED-8F2A-E22D5B218855}"/>
            </a:ext>
          </a:extLst>
        </xdr:cNvPr>
        <xdr:cNvSpPr/>
      </xdr:nvSpPr>
      <xdr:spPr bwMode="auto">
        <a:xfrm>
          <a:off x="4287078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9</xdr:col>
      <xdr:colOff>1420053</xdr:colOff>
      <xdr:row>171</xdr:row>
      <xdr:rowOff>42241</xdr:rowOff>
    </xdr:from>
    <xdr:ext cx="666750" cy="236468"/>
    <xdr:sp macro="" textlink="">
      <xdr:nvSpPr>
        <xdr:cNvPr id="25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7F5A177-5172-46F5-8BD2-1E4F9D16D400}"/>
            </a:ext>
          </a:extLst>
        </xdr:cNvPr>
        <xdr:cNvSpPr/>
      </xdr:nvSpPr>
      <xdr:spPr bwMode="auto">
        <a:xfrm>
          <a:off x="5677728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9</xdr:col>
      <xdr:colOff>1420053</xdr:colOff>
      <xdr:row>171</xdr:row>
      <xdr:rowOff>42241</xdr:rowOff>
    </xdr:from>
    <xdr:ext cx="666750" cy="236468"/>
    <xdr:sp macro="" textlink="">
      <xdr:nvSpPr>
        <xdr:cNvPr id="25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4D1DDFF4-BED4-4377-A231-A5E688C11251}"/>
            </a:ext>
          </a:extLst>
        </xdr:cNvPr>
        <xdr:cNvSpPr/>
      </xdr:nvSpPr>
      <xdr:spPr bwMode="auto">
        <a:xfrm>
          <a:off x="5677728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9</xdr:col>
      <xdr:colOff>1420053</xdr:colOff>
      <xdr:row>171</xdr:row>
      <xdr:rowOff>42241</xdr:rowOff>
    </xdr:from>
    <xdr:ext cx="666750" cy="236468"/>
    <xdr:sp macro="" textlink="">
      <xdr:nvSpPr>
        <xdr:cNvPr id="25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D9CB460-01B2-415D-982D-A965AE174545}"/>
            </a:ext>
          </a:extLst>
        </xdr:cNvPr>
        <xdr:cNvSpPr/>
      </xdr:nvSpPr>
      <xdr:spPr bwMode="auto">
        <a:xfrm>
          <a:off x="5677728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9</xdr:col>
      <xdr:colOff>1420053</xdr:colOff>
      <xdr:row>171</xdr:row>
      <xdr:rowOff>42241</xdr:rowOff>
    </xdr:from>
    <xdr:ext cx="666750" cy="236468"/>
    <xdr:sp macro="" textlink="">
      <xdr:nvSpPr>
        <xdr:cNvPr id="25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2933407-08E2-47E6-95E2-67EB2F27E1FC}"/>
            </a:ext>
          </a:extLst>
        </xdr:cNvPr>
        <xdr:cNvSpPr/>
      </xdr:nvSpPr>
      <xdr:spPr bwMode="auto">
        <a:xfrm>
          <a:off x="5677728" y="450764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174</xdr:row>
      <xdr:rowOff>42241</xdr:rowOff>
    </xdr:from>
    <xdr:ext cx="666750" cy="236468"/>
    <xdr:sp macro="" textlink="">
      <xdr:nvSpPr>
        <xdr:cNvPr id="25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5AC03808-3A82-4BA1-A8A5-3784EBA97CA2}"/>
            </a:ext>
          </a:extLst>
        </xdr:cNvPr>
        <xdr:cNvSpPr/>
      </xdr:nvSpPr>
      <xdr:spPr bwMode="auto">
        <a:xfrm>
          <a:off x="5134803" y="463527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174</xdr:row>
      <xdr:rowOff>42241</xdr:rowOff>
    </xdr:from>
    <xdr:ext cx="666750" cy="236468"/>
    <xdr:sp macro="" textlink="">
      <xdr:nvSpPr>
        <xdr:cNvPr id="25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A18544E-15D8-4C80-8B8F-2331675CB472}"/>
            </a:ext>
          </a:extLst>
        </xdr:cNvPr>
        <xdr:cNvSpPr/>
      </xdr:nvSpPr>
      <xdr:spPr bwMode="auto">
        <a:xfrm>
          <a:off x="5134803" y="463527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174</xdr:row>
      <xdr:rowOff>42241</xdr:rowOff>
    </xdr:from>
    <xdr:ext cx="666750" cy="236468"/>
    <xdr:sp macro="" textlink="">
      <xdr:nvSpPr>
        <xdr:cNvPr id="25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9E2CB03-AF44-46D6-897B-1DADE4A18357}"/>
            </a:ext>
          </a:extLst>
        </xdr:cNvPr>
        <xdr:cNvSpPr/>
      </xdr:nvSpPr>
      <xdr:spPr bwMode="auto">
        <a:xfrm>
          <a:off x="5134803" y="463527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174</xdr:row>
      <xdr:rowOff>42241</xdr:rowOff>
    </xdr:from>
    <xdr:ext cx="666750" cy="236468"/>
    <xdr:sp macro="" textlink="">
      <xdr:nvSpPr>
        <xdr:cNvPr id="25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78C0AB8-13FD-4854-B609-EBA4B1276DEF}"/>
            </a:ext>
          </a:extLst>
        </xdr:cNvPr>
        <xdr:cNvSpPr/>
      </xdr:nvSpPr>
      <xdr:spPr bwMode="auto">
        <a:xfrm>
          <a:off x="5134803" y="463527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26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9446DBE5-16A7-4E0F-8088-0F004D06BDDF}"/>
            </a:ext>
          </a:extLst>
        </xdr:cNvPr>
        <xdr:cNvSpPr/>
      </xdr:nvSpPr>
      <xdr:spPr bwMode="auto">
        <a:xfrm>
          <a:off x="5134803" y="46771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26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B2D98B6-4894-476B-89E7-EF7A72BBF5B1}"/>
            </a:ext>
          </a:extLst>
        </xdr:cNvPr>
        <xdr:cNvSpPr/>
      </xdr:nvSpPr>
      <xdr:spPr bwMode="auto">
        <a:xfrm>
          <a:off x="5134803" y="46771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26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D3BB31A-D3AC-46BE-A4C7-02B47FBFF8E7}"/>
            </a:ext>
          </a:extLst>
        </xdr:cNvPr>
        <xdr:cNvSpPr/>
      </xdr:nvSpPr>
      <xdr:spPr bwMode="auto">
        <a:xfrm>
          <a:off x="5134803" y="46771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175</xdr:row>
      <xdr:rowOff>42241</xdr:rowOff>
    </xdr:from>
    <xdr:ext cx="666750" cy="236468"/>
    <xdr:sp macro="" textlink="">
      <xdr:nvSpPr>
        <xdr:cNvPr id="26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3EAD3B11-A592-40F5-9083-1441CFF09A17}"/>
            </a:ext>
          </a:extLst>
        </xdr:cNvPr>
        <xdr:cNvSpPr/>
      </xdr:nvSpPr>
      <xdr:spPr bwMode="auto">
        <a:xfrm>
          <a:off x="5134803" y="46771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174</xdr:row>
      <xdr:rowOff>42241</xdr:rowOff>
    </xdr:from>
    <xdr:ext cx="666750" cy="236468"/>
    <xdr:sp macro="" textlink="">
      <xdr:nvSpPr>
        <xdr:cNvPr id="26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20772C4F-9424-46AD-B066-D0284468B7C2}"/>
            </a:ext>
          </a:extLst>
        </xdr:cNvPr>
        <xdr:cNvSpPr/>
      </xdr:nvSpPr>
      <xdr:spPr bwMode="auto">
        <a:xfrm>
          <a:off x="4287078" y="463527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174</xdr:row>
      <xdr:rowOff>42241</xdr:rowOff>
    </xdr:from>
    <xdr:ext cx="666750" cy="236468"/>
    <xdr:sp macro="" textlink="">
      <xdr:nvSpPr>
        <xdr:cNvPr id="26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C85E412-6217-4AAB-AF1D-47E9636EF78D}"/>
            </a:ext>
          </a:extLst>
        </xdr:cNvPr>
        <xdr:cNvSpPr/>
      </xdr:nvSpPr>
      <xdr:spPr bwMode="auto">
        <a:xfrm>
          <a:off x="4287078" y="463527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174</xdr:row>
      <xdr:rowOff>42241</xdr:rowOff>
    </xdr:from>
    <xdr:ext cx="666750" cy="236468"/>
    <xdr:sp macro="" textlink="">
      <xdr:nvSpPr>
        <xdr:cNvPr id="26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88E29088-E018-483C-B10F-02F757BB0D03}"/>
            </a:ext>
          </a:extLst>
        </xdr:cNvPr>
        <xdr:cNvSpPr/>
      </xdr:nvSpPr>
      <xdr:spPr bwMode="auto">
        <a:xfrm>
          <a:off x="4287078" y="463527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174</xdr:row>
      <xdr:rowOff>42241</xdr:rowOff>
    </xdr:from>
    <xdr:ext cx="666750" cy="236468"/>
    <xdr:sp macro="" textlink="">
      <xdr:nvSpPr>
        <xdr:cNvPr id="26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1670FECC-F48E-49EC-9303-6A35B1019967}"/>
            </a:ext>
          </a:extLst>
        </xdr:cNvPr>
        <xdr:cNvSpPr/>
      </xdr:nvSpPr>
      <xdr:spPr bwMode="auto">
        <a:xfrm>
          <a:off x="4287078" y="463527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175</xdr:row>
      <xdr:rowOff>42241</xdr:rowOff>
    </xdr:from>
    <xdr:ext cx="666750" cy="236468"/>
    <xdr:sp macro="" textlink="">
      <xdr:nvSpPr>
        <xdr:cNvPr id="26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D9A81738-E4D3-4706-A2A6-F4A56E61747A}"/>
            </a:ext>
          </a:extLst>
        </xdr:cNvPr>
        <xdr:cNvSpPr/>
      </xdr:nvSpPr>
      <xdr:spPr bwMode="auto">
        <a:xfrm>
          <a:off x="4287078" y="46771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175</xdr:row>
      <xdr:rowOff>42241</xdr:rowOff>
    </xdr:from>
    <xdr:ext cx="666750" cy="236468"/>
    <xdr:sp macro="" textlink="">
      <xdr:nvSpPr>
        <xdr:cNvPr id="26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AED08577-AD26-4289-B567-3892D4E3953A}"/>
            </a:ext>
          </a:extLst>
        </xdr:cNvPr>
        <xdr:cNvSpPr/>
      </xdr:nvSpPr>
      <xdr:spPr bwMode="auto">
        <a:xfrm>
          <a:off x="4287078" y="46771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175</xdr:row>
      <xdr:rowOff>42241</xdr:rowOff>
    </xdr:from>
    <xdr:ext cx="666750" cy="236468"/>
    <xdr:sp macro="" textlink="">
      <xdr:nvSpPr>
        <xdr:cNvPr id="27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77C95D78-7019-4714-8775-7750C40179BE}"/>
            </a:ext>
          </a:extLst>
        </xdr:cNvPr>
        <xdr:cNvSpPr/>
      </xdr:nvSpPr>
      <xdr:spPr bwMode="auto">
        <a:xfrm>
          <a:off x="4287078" y="46771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175</xdr:row>
      <xdr:rowOff>42241</xdr:rowOff>
    </xdr:from>
    <xdr:ext cx="666750" cy="236468"/>
    <xdr:sp macro="" textlink="">
      <xdr:nvSpPr>
        <xdr:cNvPr id="27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710EF70-0586-4A31-91C3-568BD3E1FC81}"/>
            </a:ext>
          </a:extLst>
        </xdr:cNvPr>
        <xdr:cNvSpPr/>
      </xdr:nvSpPr>
      <xdr:spPr bwMode="auto">
        <a:xfrm>
          <a:off x="4287078" y="4677189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DD63-2D56-4DC9-A29E-3EF5F1777CCD}">
  <sheetPr>
    <tabColor rgb="FFFF0000"/>
  </sheetPr>
  <dimension ref="A1:W208"/>
  <sheetViews>
    <sheetView tabSelected="1" workbookViewId="0">
      <selection activeCell="C4" sqref="C4"/>
    </sheetView>
  </sheetViews>
  <sheetFormatPr defaultColWidth="9" defaultRowHeight="13.5" outlineLevelCol="1" x14ac:dyDescent="0.3"/>
  <cols>
    <col min="1" max="1" width="2.25" style="38" customWidth="1"/>
    <col min="2" max="2" width="3.75" style="37" customWidth="1"/>
    <col min="3" max="3" width="18.75" style="38" customWidth="1"/>
    <col min="4" max="4" width="13.875" style="38" customWidth="1"/>
    <col min="5" max="5" width="4.375" style="38" customWidth="1"/>
    <col min="6" max="6" width="13.25" style="38" customWidth="1"/>
    <col min="7" max="7" width="6.5" style="38" customWidth="1"/>
    <col min="8" max="8" width="4.625" style="38" customWidth="1"/>
    <col min="9" max="9" width="3" style="38" customWidth="1"/>
    <col min="10" max="10" width="4.125" style="38" customWidth="1"/>
    <col min="11" max="11" width="7.125" style="7" customWidth="1"/>
    <col min="12" max="12" width="4" style="7" customWidth="1"/>
    <col min="13" max="13" width="14.75" style="7" customWidth="1"/>
    <col min="14" max="14" width="2.75" style="7" customWidth="1"/>
    <col min="15" max="15" width="2.75" style="7" hidden="1" customWidth="1" outlineLevel="1"/>
    <col min="16" max="16" width="3.25" style="7" hidden="1" customWidth="1" outlineLevel="1"/>
    <col min="17" max="17" width="3.75" style="7" hidden="1" customWidth="1" outlineLevel="1"/>
    <col min="18" max="20" width="3.25" style="7" hidden="1" customWidth="1" outlineLevel="1"/>
    <col min="21" max="21" width="3.875" style="7" hidden="1" customWidth="1" outlineLevel="1"/>
    <col min="22" max="22" width="2.625" style="7" hidden="1" customWidth="1" outlineLevel="1"/>
    <col min="23" max="23" width="9" style="7" collapsed="1"/>
    <col min="24" max="16384" width="9" style="7"/>
  </cols>
  <sheetData>
    <row r="1" spans="1:22" ht="28.15" customHeigh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O1" s="177" t="s">
        <v>81</v>
      </c>
      <c r="P1" s="177"/>
      <c r="Q1" s="177"/>
      <c r="R1" s="177"/>
      <c r="S1" s="177"/>
      <c r="T1" s="177"/>
      <c r="U1" s="177"/>
    </row>
    <row r="2" spans="1:22" s="2" customFormat="1" ht="21.75" customHeight="1" x14ac:dyDescent="0.3">
      <c r="A2" s="178" t="s">
        <v>78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22" s="2" customFormat="1" ht="14.25" x14ac:dyDescent="0.3">
      <c r="B3" s="8"/>
    </row>
    <row r="4" spans="1:22" s="2" customFormat="1" ht="14.25" x14ac:dyDescent="0.3">
      <c r="A4" s="8"/>
      <c r="B4" s="8"/>
      <c r="C4" s="8" t="s">
        <v>1</v>
      </c>
      <c r="D4" s="9"/>
      <c r="E4" s="10"/>
      <c r="F4" s="10"/>
    </row>
    <row r="5" spans="1:22" s="2" customFormat="1" ht="14.25" x14ac:dyDescent="0.3">
      <c r="A5" s="8"/>
      <c r="B5" s="8"/>
      <c r="C5" s="8" t="s">
        <v>2</v>
      </c>
      <c r="D5" s="11"/>
      <c r="E5" s="12"/>
      <c r="F5" s="12"/>
    </row>
    <row r="6" spans="1:22" s="2" customFormat="1" ht="14.25" x14ac:dyDescent="0.3">
      <c r="B6" s="8"/>
    </row>
    <row r="7" spans="1:22" s="2" customFormat="1" ht="15" thickBot="1" x14ac:dyDescent="0.35">
      <c r="A7" s="39" t="s">
        <v>79</v>
      </c>
      <c r="B7" s="40"/>
      <c r="C7" s="13"/>
      <c r="D7" s="13"/>
      <c r="E7" s="13"/>
      <c r="F7" s="13"/>
      <c r="G7" s="13"/>
    </row>
    <row r="8" spans="1:22" s="2" customFormat="1" ht="15" thickBot="1" x14ac:dyDescent="0.35">
      <c r="A8" s="173" t="s">
        <v>3</v>
      </c>
      <c r="B8" s="174"/>
      <c r="C8" s="174"/>
      <c r="D8" s="174"/>
      <c r="E8" s="174"/>
      <c r="F8" s="174"/>
      <c r="G8" s="175"/>
      <c r="H8" s="173" t="s">
        <v>4</v>
      </c>
      <c r="I8" s="174"/>
      <c r="J8" s="174"/>
      <c r="K8" s="174"/>
      <c r="L8" s="174"/>
      <c r="M8" s="175"/>
      <c r="O8" s="41" t="s">
        <v>82</v>
      </c>
      <c r="P8" s="41" t="s">
        <v>83</v>
      </c>
      <c r="Q8" s="41" t="s">
        <v>84</v>
      </c>
      <c r="R8" s="41" t="s">
        <v>85</v>
      </c>
      <c r="S8" s="41" t="s">
        <v>85</v>
      </c>
      <c r="T8" s="41" t="s">
        <v>86</v>
      </c>
      <c r="U8" s="41" t="s">
        <v>87</v>
      </c>
    </row>
    <row r="9" spans="1:22" s="2" customFormat="1" ht="14.25" x14ac:dyDescent="0.3">
      <c r="A9" s="179" t="s">
        <v>5</v>
      </c>
      <c r="B9" s="180"/>
      <c r="C9" s="180"/>
      <c r="D9" s="180"/>
      <c r="E9" s="180"/>
      <c r="F9" s="180"/>
      <c r="G9" s="181"/>
      <c r="H9" s="42" t="s">
        <v>88</v>
      </c>
      <c r="I9" s="43" t="s">
        <v>89</v>
      </c>
      <c r="J9" s="42" t="s">
        <v>88</v>
      </c>
      <c r="K9" s="43" t="s">
        <v>87</v>
      </c>
      <c r="M9" s="20"/>
      <c r="N9" s="44" t="str">
        <f>IF(OR(R9=1,S9=1),"*","")</f>
        <v/>
      </c>
      <c r="O9" s="41"/>
      <c r="P9" s="41"/>
      <c r="Q9" s="41"/>
      <c r="R9" s="41">
        <f>IF(H9="[V]",1,0)</f>
        <v>0</v>
      </c>
      <c r="S9" s="41"/>
      <c r="T9" s="41"/>
      <c r="U9" s="41">
        <f>IF(J9="[V]",1,0)</f>
        <v>0</v>
      </c>
    </row>
    <row r="10" spans="1:22" s="2" customFormat="1" ht="49.9" customHeight="1" thickBot="1" x14ac:dyDescent="0.35">
      <c r="A10" s="168" t="s">
        <v>6</v>
      </c>
      <c r="B10" s="148"/>
      <c r="C10" s="148"/>
      <c r="D10" s="148"/>
      <c r="E10" s="148"/>
      <c r="F10" s="148"/>
      <c r="G10" s="169"/>
      <c r="H10" s="170" t="s">
        <v>7</v>
      </c>
      <c r="I10" s="171"/>
      <c r="J10" s="171"/>
      <c r="K10" s="171"/>
      <c r="L10" s="171"/>
      <c r="M10" s="172"/>
      <c r="N10" s="44" t="str">
        <f t="shared" ref="N10:N73" si="0">IF(OR(R10=1,S10=1),"*","")</f>
        <v/>
      </c>
      <c r="O10" s="41"/>
      <c r="P10" s="41"/>
      <c r="Q10" s="41"/>
      <c r="R10" s="41"/>
      <c r="S10" s="41"/>
      <c r="T10" s="41"/>
      <c r="U10" s="41"/>
      <c r="V10" s="45"/>
    </row>
    <row r="11" spans="1:22" s="2" customFormat="1" ht="14.25" x14ac:dyDescent="0.3">
      <c r="A11" s="17" t="s">
        <v>8</v>
      </c>
      <c r="B11" s="46"/>
      <c r="C11" s="17"/>
      <c r="D11" s="18"/>
      <c r="E11" s="18"/>
      <c r="F11" s="18"/>
      <c r="G11" s="18"/>
      <c r="N11" s="44" t="str">
        <f t="shared" si="0"/>
        <v/>
      </c>
      <c r="O11" s="41"/>
      <c r="P11" s="41"/>
      <c r="Q11" s="41"/>
      <c r="R11" s="41"/>
      <c r="S11" s="41"/>
      <c r="T11" s="41"/>
      <c r="U11" s="41"/>
    </row>
    <row r="12" spans="1:22" s="10" customFormat="1" ht="14.25" x14ac:dyDescent="0.3">
      <c r="A12" s="19" t="s">
        <v>80</v>
      </c>
      <c r="B12" s="47"/>
      <c r="C12" s="19"/>
      <c r="N12" s="44" t="str">
        <f t="shared" si="0"/>
        <v/>
      </c>
      <c r="O12" s="48"/>
      <c r="P12" s="48"/>
      <c r="Q12" s="48"/>
      <c r="R12" s="48"/>
      <c r="S12" s="48"/>
      <c r="T12" s="48"/>
      <c r="U12" s="48"/>
    </row>
    <row r="13" spans="1:22" s="10" customFormat="1" ht="40.5" customHeight="1" x14ac:dyDescent="0.3">
      <c r="A13" s="148" t="s">
        <v>90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44" t="str">
        <f t="shared" si="0"/>
        <v/>
      </c>
      <c r="O13" s="48"/>
      <c r="P13" s="48"/>
      <c r="Q13" s="48"/>
      <c r="R13" s="48"/>
      <c r="S13" s="48"/>
      <c r="T13" s="48"/>
      <c r="U13" s="48"/>
    </row>
    <row r="14" spans="1:22" s="10" customFormat="1" ht="34.15" customHeight="1" x14ac:dyDescent="0.3">
      <c r="A14" s="148" t="s">
        <v>9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44" t="str">
        <f t="shared" si="0"/>
        <v/>
      </c>
      <c r="O14" s="48"/>
      <c r="P14" s="48"/>
      <c r="Q14" s="48"/>
      <c r="R14" s="48"/>
      <c r="S14" s="48"/>
      <c r="T14" s="48"/>
      <c r="U14" s="48"/>
    </row>
    <row r="15" spans="1:22" s="2" customFormat="1" ht="30" customHeight="1" x14ac:dyDescent="0.3">
      <c r="A15" s="148" t="s">
        <v>10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44" t="str">
        <f t="shared" si="0"/>
        <v/>
      </c>
      <c r="O15" s="41"/>
      <c r="P15" s="41"/>
      <c r="Q15" s="41"/>
      <c r="R15" s="41"/>
      <c r="S15" s="41"/>
      <c r="T15" s="41"/>
      <c r="U15" s="41"/>
    </row>
    <row r="16" spans="1:22" s="2" customFormat="1" ht="11.45" customHeight="1" thickBot="1" x14ac:dyDescent="0.35">
      <c r="A16" s="16"/>
      <c r="B16" s="49"/>
      <c r="C16" s="16"/>
      <c r="D16" s="16"/>
      <c r="E16" s="16"/>
      <c r="F16" s="16"/>
      <c r="G16" s="16"/>
      <c r="H16" s="16"/>
      <c r="I16" s="16"/>
      <c r="J16" s="16"/>
      <c r="N16" s="44" t="str">
        <f t="shared" si="0"/>
        <v/>
      </c>
      <c r="O16" s="41"/>
      <c r="P16" s="41"/>
      <c r="Q16" s="41"/>
      <c r="R16" s="41"/>
      <c r="S16" s="41"/>
      <c r="T16" s="41"/>
      <c r="U16" s="41"/>
    </row>
    <row r="17" spans="1:21" s="2" customFormat="1" ht="15" thickBot="1" x14ac:dyDescent="0.35">
      <c r="A17" s="173" t="s">
        <v>3</v>
      </c>
      <c r="B17" s="174"/>
      <c r="C17" s="174"/>
      <c r="D17" s="174"/>
      <c r="E17" s="174"/>
      <c r="F17" s="174"/>
      <c r="G17" s="175"/>
      <c r="H17" s="173" t="s">
        <v>4</v>
      </c>
      <c r="I17" s="174"/>
      <c r="J17" s="174"/>
      <c r="K17" s="174"/>
      <c r="L17" s="174"/>
      <c r="M17" s="175"/>
      <c r="N17" s="44" t="str">
        <f t="shared" si="0"/>
        <v/>
      </c>
      <c r="O17" s="41"/>
      <c r="P17" s="41"/>
      <c r="Q17" s="41"/>
      <c r="R17" s="41"/>
      <c r="S17" s="41"/>
      <c r="T17" s="41"/>
      <c r="U17" s="41"/>
    </row>
    <row r="18" spans="1:21" s="2" customFormat="1" ht="18" customHeight="1" x14ac:dyDescent="0.3">
      <c r="A18" s="165" t="s">
        <v>11</v>
      </c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7"/>
      <c r="N18" s="44" t="str">
        <f t="shared" si="0"/>
        <v/>
      </c>
      <c r="O18" s="41"/>
      <c r="P18" s="41"/>
      <c r="Q18" s="41"/>
      <c r="R18" s="41"/>
      <c r="S18" s="41"/>
      <c r="T18" s="41"/>
      <c r="U18" s="41"/>
    </row>
    <row r="19" spans="1:21" s="2" customFormat="1" ht="17.45" customHeight="1" x14ac:dyDescent="0.3">
      <c r="A19" s="110" t="s">
        <v>12</v>
      </c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47"/>
      <c r="N19" s="44" t="str">
        <f t="shared" si="0"/>
        <v/>
      </c>
      <c r="O19" s="41"/>
      <c r="P19" s="41"/>
      <c r="Q19" s="41"/>
      <c r="R19" s="41"/>
      <c r="S19" s="41"/>
      <c r="T19" s="41"/>
      <c r="U19" s="41"/>
    </row>
    <row r="20" spans="1:21" s="2" customFormat="1" ht="14.25" x14ac:dyDescent="0.3">
      <c r="A20" s="1"/>
      <c r="B20" s="42" t="s">
        <v>88</v>
      </c>
      <c r="C20" s="111" t="s">
        <v>91</v>
      </c>
      <c r="D20" s="111"/>
      <c r="E20" s="111"/>
      <c r="F20" s="111"/>
      <c r="G20" s="111"/>
      <c r="H20" s="111"/>
      <c r="I20" s="111"/>
      <c r="J20" s="111"/>
      <c r="K20" s="111"/>
      <c r="L20" s="111"/>
      <c r="M20" s="147"/>
      <c r="N20" s="44" t="str">
        <f t="shared" si="0"/>
        <v/>
      </c>
      <c r="O20" s="41"/>
      <c r="P20" s="41"/>
      <c r="Q20" s="41">
        <f>IF(B20="[V]",1,0)</f>
        <v>0</v>
      </c>
      <c r="R20" s="41"/>
      <c r="S20" s="41"/>
      <c r="T20" s="41"/>
      <c r="U20" s="41"/>
    </row>
    <row r="21" spans="1:21" s="2" customFormat="1" ht="14.25" x14ac:dyDescent="0.3">
      <c r="A21" s="1"/>
      <c r="B21" s="42" t="s">
        <v>88</v>
      </c>
      <c r="C21" s="111" t="s">
        <v>92</v>
      </c>
      <c r="D21" s="111"/>
      <c r="E21" s="111"/>
      <c r="F21" s="111"/>
      <c r="G21" s="111"/>
      <c r="H21" s="111"/>
      <c r="I21" s="111"/>
      <c r="J21" s="111"/>
      <c r="K21" s="111"/>
      <c r="L21" s="111"/>
      <c r="M21" s="147"/>
      <c r="N21" s="44" t="str">
        <f t="shared" si="0"/>
        <v/>
      </c>
      <c r="O21" s="41"/>
      <c r="P21" s="41"/>
      <c r="Q21" s="41">
        <f t="shared" ref="Q21:Q22" si="1">IF(B21="[V]",1,0)</f>
        <v>0</v>
      </c>
      <c r="R21" s="41"/>
      <c r="S21" s="41"/>
      <c r="T21" s="41"/>
      <c r="U21" s="41"/>
    </row>
    <row r="22" spans="1:21" s="2" customFormat="1" ht="14.25" x14ac:dyDescent="0.3">
      <c r="A22" s="1"/>
      <c r="B22" s="42" t="s">
        <v>88</v>
      </c>
      <c r="C22" s="111" t="s">
        <v>93</v>
      </c>
      <c r="D22" s="111"/>
      <c r="E22" s="111"/>
      <c r="F22" s="111"/>
      <c r="G22" s="111"/>
      <c r="H22" s="111"/>
      <c r="I22" s="111"/>
      <c r="J22" s="111"/>
      <c r="K22" s="111"/>
      <c r="L22" s="111"/>
      <c r="M22" s="147"/>
      <c r="N22" s="44" t="str">
        <f t="shared" si="0"/>
        <v/>
      </c>
      <c r="O22" s="41"/>
      <c r="P22" s="41"/>
      <c r="Q22" s="41">
        <f t="shared" si="1"/>
        <v>0</v>
      </c>
      <c r="R22" s="41"/>
      <c r="S22" s="41"/>
      <c r="T22" s="41"/>
      <c r="U22" s="41"/>
    </row>
    <row r="23" spans="1:21" s="2" customFormat="1" ht="14.25" x14ac:dyDescent="0.3">
      <c r="A23" s="1"/>
      <c r="B23" s="42" t="s">
        <v>88</v>
      </c>
      <c r="C23" s="111" t="s">
        <v>94</v>
      </c>
      <c r="D23" s="111"/>
      <c r="E23" s="111"/>
      <c r="F23" s="111"/>
      <c r="G23" s="111"/>
      <c r="H23" s="111"/>
      <c r="I23" s="111"/>
      <c r="J23" s="111"/>
      <c r="K23" s="111"/>
      <c r="L23" s="111"/>
      <c r="M23" s="147"/>
      <c r="N23" s="44" t="str">
        <f t="shared" si="0"/>
        <v/>
      </c>
      <c r="O23" s="41"/>
      <c r="P23" s="41">
        <f>IF(B23="[V]",1,0)</f>
        <v>0</v>
      </c>
      <c r="Q23" s="41"/>
      <c r="R23" s="41"/>
      <c r="S23" s="41"/>
      <c r="T23" s="41"/>
      <c r="U23" s="41"/>
    </row>
    <row r="24" spans="1:21" s="2" customFormat="1" ht="14.25" x14ac:dyDescent="0.3">
      <c r="A24" s="1"/>
      <c r="B24" s="42" t="s">
        <v>88</v>
      </c>
      <c r="C24" s="111" t="s">
        <v>95</v>
      </c>
      <c r="D24" s="111"/>
      <c r="E24" s="111"/>
      <c r="F24" s="111"/>
      <c r="G24" s="111"/>
      <c r="H24" s="111"/>
      <c r="I24" s="111"/>
      <c r="J24" s="111"/>
      <c r="K24" s="111"/>
      <c r="L24" s="111"/>
      <c r="M24" s="147"/>
      <c r="N24" s="44" t="str">
        <f t="shared" si="0"/>
        <v/>
      </c>
      <c r="O24" s="41">
        <f>IF(B24="[V]",1,0)</f>
        <v>0</v>
      </c>
      <c r="P24" s="41"/>
      <c r="Q24" s="41"/>
      <c r="R24" s="41"/>
      <c r="S24" s="41"/>
      <c r="T24" s="41"/>
      <c r="U24" s="41"/>
    </row>
    <row r="25" spans="1:21" s="2" customFormat="1" ht="15.6" customHeight="1" x14ac:dyDescent="0.3">
      <c r="A25" s="5"/>
      <c r="B25" s="42" t="s">
        <v>88</v>
      </c>
      <c r="C25" s="111" t="s">
        <v>96</v>
      </c>
      <c r="D25" s="111"/>
      <c r="E25" s="111"/>
      <c r="F25" s="111"/>
      <c r="G25" s="111"/>
      <c r="H25" s="111"/>
      <c r="I25" s="111"/>
      <c r="J25" s="111"/>
      <c r="K25" s="111"/>
      <c r="L25" s="111"/>
      <c r="M25" s="147"/>
      <c r="N25" s="44" t="str">
        <f t="shared" si="0"/>
        <v/>
      </c>
      <c r="O25" s="41"/>
      <c r="P25" s="41"/>
      <c r="Q25" s="41"/>
      <c r="R25" s="41"/>
      <c r="S25" s="41"/>
      <c r="T25" s="41">
        <f>IF(B25="[v]",1,0)</f>
        <v>0</v>
      </c>
      <c r="U25" s="41"/>
    </row>
    <row r="26" spans="1:21" s="2" customFormat="1" ht="17.45" customHeight="1" x14ac:dyDescent="0.3">
      <c r="A26" s="136" t="s">
        <v>13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8"/>
      <c r="N26" s="44" t="str">
        <f t="shared" si="0"/>
        <v/>
      </c>
      <c r="O26" s="41"/>
      <c r="P26" s="41"/>
      <c r="Q26" s="41"/>
      <c r="R26" s="41"/>
      <c r="S26" s="41"/>
      <c r="T26" s="41"/>
      <c r="U26" s="41"/>
    </row>
    <row r="27" spans="1:21" s="2" customFormat="1" ht="14.25" x14ac:dyDescent="0.3">
      <c r="A27" s="1"/>
      <c r="B27" s="42" t="s">
        <v>88</v>
      </c>
      <c r="C27" s="111" t="s">
        <v>91</v>
      </c>
      <c r="D27" s="111"/>
      <c r="E27" s="111"/>
      <c r="F27" s="111"/>
      <c r="G27" s="111"/>
      <c r="H27" s="111"/>
      <c r="I27" s="111"/>
      <c r="J27" s="111"/>
      <c r="K27" s="111"/>
      <c r="L27" s="111"/>
      <c r="M27" s="147"/>
      <c r="N27" s="44" t="str">
        <f t="shared" si="0"/>
        <v/>
      </c>
      <c r="O27" s="41"/>
      <c r="P27" s="41"/>
      <c r="Q27" s="41">
        <f>IF(B27="[V]",1,0)</f>
        <v>0</v>
      </c>
      <c r="R27" s="41"/>
      <c r="S27" s="41"/>
      <c r="T27" s="41"/>
      <c r="U27" s="41"/>
    </row>
    <row r="28" spans="1:21" s="2" customFormat="1" ht="14.25" x14ac:dyDescent="0.3">
      <c r="A28" s="1"/>
      <c r="B28" s="42" t="s">
        <v>88</v>
      </c>
      <c r="C28" s="111" t="s">
        <v>92</v>
      </c>
      <c r="D28" s="111"/>
      <c r="E28" s="111"/>
      <c r="F28" s="111"/>
      <c r="G28" s="111"/>
      <c r="H28" s="111"/>
      <c r="I28" s="111"/>
      <c r="J28" s="111"/>
      <c r="K28" s="111"/>
      <c r="L28" s="111"/>
      <c r="M28" s="147"/>
      <c r="N28" s="44" t="str">
        <f t="shared" si="0"/>
        <v/>
      </c>
      <c r="O28" s="41"/>
      <c r="P28" s="41"/>
      <c r="Q28" s="41">
        <f t="shared" ref="Q28:Q29" si="2">IF(B28="[V]",1,0)</f>
        <v>0</v>
      </c>
      <c r="R28" s="41"/>
      <c r="S28" s="41"/>
      <c r="T28" s="41"/>
      <c r="U28" s="41"/>
    </row>
    <row r="29" spans="1:21" s="2" customFormat="1" ht="14.25" x14ac:dyDescent="0.3">
      <c r="A29" s="1"/>
      <c r="B29" s="42" t="s">
        <v>88</v>
      </c>
      <c r="C29" s="111" t="s">
        <v>93</v>
      </c>
      <c r="D29" s="111"/>
      <c r="E29" s="111"/>
      <c r="F29" s="111"/>
      <c r="G29" s="111"/>
      <c r="H29" s="111"/>
      <c r="I29" s="111"/>
      <c r="J29" s="111"/>
      <c r="K29" s="111"/>
      <c r="L29" s="111"/>
      <c r="M29" s="147"/>
      <c r="N29" s="44" t="str">
        <f t="shared" si="0"/>
        <v/>
      </c>
      <c r="O29" s="41"/>
      <c r="P29" s="41"/>
      <c r="Q29" s="41">
        <f t="shared" si="2"/>
        <v>0</v>
      </c>
      <c r="R29" s="41"/>
      <c r="S29" s="41"/>
      <c r="T29" s="41"/>
      <c r="U29" s="41"/>
    </row>
    <row r="30" spans="1:21" s="2" customFormat="1" ht="14.25" x14ac:dyDescent="0.3">
      <c r="A30" s="1"/>
      <c r="B30" s="42" t="s">
        <v>88</v>
      </c>
      <c r="C30" s="111" t="s">
        <v>94</v>
      </c>
      <c r="D30" s="111"/>
      <c r="E30" s="111"/>
      <c r="F30" s="111"/>
      <c r="G30" s="111"/>
      <c r="H30" s="111"/>
      <c r="I30" s="111"/>
      <c r="J30" s="111"/>
      <c r="K30" s="111"/>
      <c r="L30" s="111"/>
      <c r="M30" s="147"/>
      <c r="N30" s="44" t="str">
        <f t="shared" si="0"/>
        <v/>
      </c>
      <c r="O30" s="41"/>
      <c r="P30" s="41">
        <f>IF(B30="[V]",1,0)</f>
        <v>0</v>
      </c>
      <c r="Q30" s="41"/>
      <c r="R30" s="41"/>
      <c r="S30" s="41"/>
      <c r="T30" s="41"/>
      <c r="U30" s="41"/>
    </row>
    <row r="31" spans="1:21" s="2" customFormat="1" ht="51.6" customHeight="1" x14ac:dyDescent="0.3">
      <c r="A31" s="4"/>
      <c r="B31" s="50" t="s">
        <v>88</v>
      </c>
      <c r="C31" s="149" t="s">
        <v>97</v>
      </c>
      <c r="D31" s="149"/>
      <c r="E31" s="149"/>
      <c r="F31" s="149"/>
      <c r="G31" s="149"/>
      <c r="H31" s="149"/>
      <c r="I31" s="149"/>
      <c r="J31" s="149"/>
      <c r="K31" s="149"/>
      <c r="L31" s="149"/>
      <c r="M31" s="150"/>
      <c r="N31" s="44" t="str">
        <f t="shared" si="0"/>
        <v/>
      </c>
      <c r="O31" s="41">
        <f>IF(B31="[V]",1,0)</f>
        <v>0</v>
      </c>
      <c r="P31" s="41"/>
      <c r="Q31" s="41"/>
      <c r="R31" s="41"/>
      <c r="S31" s="41"/>
      <c r="T31" s="41"/>
      <c r="U31" s="41"/>
    </row>
    <row r="32" spans="1:21" s="2" customFormat="1" ht="34.15" customHeight="1" x14ac:dyDescent="0.3">
      <c r="A32" s="129" t="s">
        <v>14</v>
      </c>
      <c r="B32" s="130"/>
      <c r="C32" s="130"/>
      <c r="D32" s="130"/>
      <c r="E32" s="130"/>
      <c r="F32" s="130"/>
      <c r="G32" s="131"/>
      <c r="H32" s="51" t="s">
        <v>88</v>
      </c>
      <c r="I32" s="52" t="s">
        <v>89</v>
      </c>
      <c r="J32" s="53" t="s">
        <v>88</v>
      </c>
      <c r="K32" s="52" t="s">
        <v>87</v>
      </c>
      <c r="L32" s="53" t="s">
        <v>88</v>
      </c>
      <c r="M32" s="28" t="s">
        <v>86</v>
      </c>
      <c r="N32" s="44" t="str">
        <f t="shared" si="0"/>
        <v/>
      </c>
      <c r="O32" s="41"/>
      <c r="P32" s="41"/>
      <c r="Q32" s="41"/>
      <c r="R32" s="41">
        <f>IF(H32="[V]",1,0)</f>
        <v>0</v>
      </c>
      <c r="S32" s="41"/>
      <c r="T32" s="41">
        <f>IF(L32="[V]",1,0)</f>
        <v>0</v>
      </c>
      <c r="U32" s="41">
        <f>IF(J32="[V]",1,0)</f>
        <v>0</v>
      </c>
    </row>
    <row r="33" spans="1:21" s="2" customFormat="1" ht="14.25" x14ac:dyDescent="0.3">
      <c r="A33" s="110" t="s">
        <v>15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47"/>
      <c r="N33" s="44" t="str">
        <f t="shared" si="0"/>
        <v/>
      </c>
      <c r="O33" s="41"/>
      <c r="P33" s="41"/>
      <c r="Q33" s="41"/>
      <c r="R33" s="41"/>
      <c r="S33" s="41"/>
      <c r="T33" s="41"/>
      <c r="U33" s="41"/>
    </row>
    <row r="34" spans="1:21" s="2" customFormat="1" ht="14.25" x14ac:dyDescent="0.3">
      <c r="A34" s="54"/>
      <c r="B34" s="42" t="s">
        <v>88</v>
      </c>
      <c r="C34" s="86" t="s">
        <v>98</v>
      </c>
      <c r="D34" s="86"/>
      <c r="E34" s="86"/>
      <c r="F34" s="86"/>
      <c r="G34" s="86"/>
      <c r="H34" s="86"/>
      <c r="I34" s="86"/>
      <c r="J34" s="86"/>
      <c r="K34" s="86"/>
      <c r="L34" s="86"/>
      <c r="M34" s="132"/>
      <c r="N34" s="44" t="str">
        <f t="shared" si="0"/>
        <v/>
      </c>
      <c r="O34" s="41"/>
      <c r="P34" s="41"/>
      <c r="Q34" s="41"/>
      <c r="R34" s="41"/>
      <c r="S34" s="41">
        <f>IF(B34="[V]",1,0)</f>
        <v>0</v>
      </c>
      <c r="T34" s="41"/>
      <c r="U34" s="41"/>
    </row>
    <row r="35" spans="1:21" s="2" customFormat="1" ht="14.25" x14ac:dyDescent="0.3">
      <c r="A35" s="54"/>
      <c r="B35" s="42" t="s">
        <v>88</v>
      </c>
      <c r="C35" s="86" t="s">
        <v>99</v>
      </c>
      <c r="D35" s="86"/>
      <c r="E35" s="86"/>
      <c r="F35" s="86"/>
      <c r="G35" s="86"/>
      <c r="H35" s="86"/>
      <c r="I35" s="86"/>
      <c r="J35" s="86"/>
      <c r="K35" s="86"/>
      <c r="L35" s="86"/>
      <c r="M35" s="132"/>
      <c r="N35" s="44" t="str">
        <f t="shared" si="0"/>
        <v/>
      </c>
      <c r="O35" s="41"/>
      <c r="P35" s="41"/>
      <c r="Q35" s="41"/>
      <c r="R35" s="41"/>
      <c r="S35" s="41">
        <f t="shared" ref="S35:S37" si="3">IF(B35="[V]",1,0)</f>
        <v>0</v>
      </c>
      <c r="T35" s="41"/>
      <c r="U35" s="41"/>
    </row>
    <row r="36" spans="1:21" s="2" customFormat="1" ht="14.25" x14ac:dyDescent="0.3">
      <c r="A36" s="54"/>
      <c r="B36" s="42" t="s">
        <v>88</v>
      </c>
      <c r="C36" s="86" t="s">
        <v>100</v>
      </c>
      <c r="D36" s="86"/>
      <c r="E36" s="86"/>
      <c r="F36" s="86"/>
      <c r="G36" s="86"/>
      <c r="H36" s="86"/>
      <c r="I36" s="86"/>
      <c r="J36" s="86"/>
      <c r="K36" s="86"/>
      <c r="L36" s="86"/>
      <c r="M36" s="132"/>
      <c r="N36" s="44" t="str">
        <f t="shared" si="0"/>
        <v/>
      </c>
      <c r="O36" s="41"/>
      <c r="P36" s="41"/>
      <c r="Q36" s="41"/>
      <c r="R36" s="41"/>
      <c r="S36" s="41">
        <f t="shared" si="3"/>
        <v>0</v>
      </c>
      <c r="T36" s="41"/>
      <c r="U36" s="41"/>
    </row>
    <row r="37" spans="1:21" s="2" customFormat="1" ht="14.25" x14ac:dyDescent="0.3">
      <c r="A37" s="54"/>
      <c r="B37" s="42" t="s">
        <v>88</v>
      </c>
      <c r="C37" s="86" t="s">
        <v>101</v>
      </c>
      <c r="D37" s="86"/>
      <c r="E37" s="86"/>
      <c r="F37" s="86"/>
      <c r="G37" s="86"/>
      <c r="H37" s="86"/>
      <c r="I37" s="86"/>
      <c r="J37" s="86"/>
      <c r="K37" s="86"/>
      <c r="L37" s="86"/>
      <c r="M37" s="132"/>
      <c r="N37" s="44" t="str">
        <f t="shared" si="0"/>
        <v/>
      </c>
      <c r="O37" s="41"/>
      <c r="P37" s="41"/>
      <c r="Q37" s="41"/>
      <c r="R37" s="41"/>
      <c r="S37" s="41">
        <f t="shared" si="3"/>
        <v>0</v>
      </c>
      <c r="T37" s="41"/>
      <c r="U37" s="41"/>
    </row>
    <row r="38" spans="1:21" s="2" customFormat="1" ht="14.25" x14ac:dyDescent="0.3">
      <c r="A38" s="54"/>
      <c r="B38" s="56" t="s">
        <v>88</v>
      </c>
      <c r="C38" s="142" t="s">
        <v>96</v>
      </c>
      <c r="D38" s="142"/>
      <c r="E38" s="142"/>
      <c r="F38" s="142"/>
      <c r="G38" s="142"/>
      <c r="H38" s="142"/>
      <c r="I38" s="142"/>
      <c r="J38" s="142"/>
      <c r="K38" s="142"/>
      <c r="L38" s="142"/>
      <c r="M38" s="143"/>
      <c r="N38" s="44" t="str">
        <f t="shared" si="0"/>
        <v/>
      </c>
      <c r="O38" s="41"/>
      <c r="P38" s="41"/>
      <c r="Q38" s="41"/>
      <c r="R38" s="41"/>
      <c r="S38" s="41"/>
      <c r="T38" s="41">
        <f>IF(B38="[v]",1,0)</f>
        <v>0</v>
      </c>
      <c r="U38" s="41"/>
    </row>
    <row r="39" spans="1:21" s="2" customFormat="1" ht="14.25" x14ac:dyDescent="0.3">
      <c r="A39" s="139" t="s">
        <v>16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1"/>
      <c r="N39" s="44" t="str">
        <f t="shared" si="0"/>
        <v/>
      </c>
      <c r="O39" s="41"/>
      <c r="P39" s="41"/>
      <c r="Q39" s="41"/>
      <c r="R39" s="41"/>
      <c r="S39" s="41"/>
      <c r="T39" s="41"/>
      <c r="U39" s="41"/>
    </row>
    <row r="40" spans="1:21" s="2" customFormat="1" ht="14.25" x14ac:dyDescent="0.3">
      <c r="A40" s="54"/>
      <c r="B40" s="42" t="s">
        <v>88</v>
      </c>
      <c r="C40" s="86" t="s">
        <v>91</v>
      </c>
      <c r="D40" s="86"/>
      <c r="E40" s="86"/>
      <c r="F40" s="86"/>
      <c r="G40" s="86"/>
      <c r="H40" s="86"/>
      <c r="I40" s="86"/>
      <c r="J40" s="86"/>
      <c r="K40" s="86"/>
      <c r="L40" s="86"/>
      <c r="M40" s="132"/>
      <c r="N40" s="44" t="str">
        <f t="shared" si="0"/>
        <v/>
      </c>
      <c r="O40" s="41"/>
      <c r="P40" s="41"/>
      <c r="Q40" s="41">
        <f>IF(B40="[V]",1,0)</f>
        <v>0</v>
      </c>
      <c r="R40" s="41"/>
      <c r="S40" s="41"/>
      <c r="T40" s="41"/>
      <c r="U40" s="41"/>
    </row>
    <row r="41" spans="1:21" s="2" customFormat="1" ht="14.25" x14ac:dyDescent="0.3">
      <c r="A41" s="54"/>
      <c r="B41" s="42" t="s">
        <v>88</v>
      </c>
      <c r="C41" s="86" t="s">
        <v>92</v>
      </c>
      <c r="D41" s="86"/>
      <c r="E41" s="86"/>
      <c r="F41" s="86"/>
      <c r="G41" s="86"/>
      <c r="H41" s="86"/>
      <c r="I41" s="86"/>
      <c r="J41" s="86"/>
      <c r="K41" s="86"/>
      <c r="L41" s="86"/>
      <c r="M41" s="132"/>
      <c r="N41" s="44" t="str">
        <f t="shared" si="0"/>
        <v/>
      </c>
      <c r="O41" s="41"/>
      <c r="P41" s="41"/>
      <c r="Q41" s="41">
        <f t="shared" ref="Q41:Q42" si="4">IF(B41="[V]",1,0)</f>
        <v>0</v>
      </c>
      <c r="R41" s="41"/>
      <c r="S41" s="41"/>
      <c r="T41" s="41"/>
      <c r="U41" s="41"/>
    </row>
    <row r="42" spans="1:21" s="2" customFormat="1" ht="14.25" x14ac:dyDescent="0.3">
      <c r="A42" s="54"/>
      <c r="B42" s="42" t="s">
        <v>88</v>
      </c>
      <c r="C42" s="86" t="s">
        <v>93</v>
      </c>
      <c r="D42" s="86"/>
      <c r="E42" s="86"/>
      <c r="F42" s="86"/>
      <c r="G42" s="86"/>
      <c r="H42" s="86"/>
      <c r="I42" s="86"/>
      <c r="J42" s="86"/>
      <c r="K42" s="86"/>
      <c r="L42" s="86"/>
      <c r="M42" s="132"/>
      <c r="N42" s="44" t="str">
        <f t="shared" si="0"/>
        <v/>
      </c>
      <c r="O42" s="41"/>
      <c r="P42" s="41"/>
      <c r="Q42" s="41">
        <f t="shared" si="4"/>
        <v>0</v>
      </c>
      <c r="R42" s="41"/>
      <c r="S42" s="41"/>
      <c r="T42" s="41"/>
      <c r="U42" s="41"/>
    </row>
    <row r="43" spans="1:21" s="2" customFormat="1" ht="14.25" x14ac:dyDescent="0.3">
      <c r="A43" s="54"/>
      <c r="B43" s="42" t="s">
        <v>88</v>
      </c>
      <c r="C43" s="86" t="s">
        <v>94</v>
      </c>
      <c r="D43" s="86"/>
      <c r="E43" s="86"/>
      <c r="F43" s="86"/>
      <c r="G43" s="86"/>
      <c r="H43" s="86"/>
      <c r="I43" s="86"/>
      <c r="J43" s="86"/>
      <c r="K43" s="86"/>
      <c r="L43" s="86"/>
      <c r="M43" s="132"/>
      <c r="N43" s="44" t="str">
        <f t="shared" si="0"/>
        <v/>
      </c>
      <c r="O43" s="41"/>
      <c r="P43" s="41">
        <f>IF(B43="[V]",1,0)</f>
        <v>0</v>
      </c>
      <c r="Q43" s="41"/>
      <c r="R43" s="41"/>
      <c r="S43" s="41"/>
      <c r="T43" s="41"/>
      <c r="U43" s="41"/>
    </row>
    <row r="44" spans="1:21" s="2" customFormat="1" ht="52.15" customHeight="1" x14ac:dyDescent="0.3">
      <c r="A44" s="57"/>
      <c r="B44" s="42" t="s">
        <v>88</v>
      </c>
      <c r="C44" s="89" t="s">
        <v>102</v>
      </c>
      <c r="D44" s="89"/>
      <c r="E44" s="89"/>
      <c r="F44" s="89"/>
      <c r="G44" s="89"/>
      <c r="H44" s="89"/>
      <c r="I44" s="89"/>
      <c r="J44" s="89"/>
      <c r="K44" s="89"/>
      <c r="L44" s="89"/>
      <c r="M44" s="90"/>
      <c r="N44" s="44" t="str">
        <f t="shared" si="0"/>
        <v/>
      </c>
      <c r="O44" s="41">
        <f>IF(B44="[V]",1,0)</f>
        <v>0</v>
      </c>
      <c r="P44" s="41"/>
      <c r="Q44" s="41"/>
      <c r="R44" s="41"/>
      <c r="S44" s="41"/>
      <c r="T44" s="41"/>
      <c r="U44" s="41"/>
    </row>
    <row r="45" spans="1:21" s="2" customFormat="1" ht="14.25" x14ac:dyDescent="0.3">
      <c r="A45" s="162" t="s">
        <v>17</v>
      </c>
      <c r="B45" s="163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4"/>
      <c r="N45" s="44" t="str">
        <f t="shared" si="0"/>
        <v/>
      </c>
      <c r="O45" s="41"/>
      <c r="P45" s="41"/>
      <c r="Q45" s="41"/>
      <c r="R45" s="41"/>
      <c r="S45" s="41"/>
      <c r="T45" s="41"/>
      <c r="U45" s="41"/>
    </row>
    <row r="46" spans="1:21" s="2" customFormat="1" ht="14.25" x14ac:dyDescent="0.3">
      <c r="A46" s="85" t="s">
        <v>18</v>
      </c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132"/>
      <c r="N46" s="44" t="str">
        <f t="shared" si="0"/>
        <v/>
      </c>
      <c r="O46" s="41"/>
      <c r="P46" s="41"/>
      <c r="Q46" s="41"/>
      <c r="R46" s="41"/>
      <c r="S46" s="41"/>
      <c r="T46" s="41"/>
      <c r="U46" s="41"/>
    </row>
    <row r="47" spans="1:21" s="2" customFormat="1" ht="14.25" x14ac:dyDescent="0.3">
      <c r="A47" s="54"/>
      <c r="B47" s="42" t="s">
        <v>88</v>
      </c>
      <c r="C47" s="86" t="s">
        <v>91</v>
      </c>
      <c r="D47" s="86"/>
      <c r="E47" s="86"/>
      <c r="F47" s="86"/>
      <c r="G47" s="86"/>
      <c r="H47" s="86"/>
      <c r="I47" s="86"/>
      <c r="J47" s="86"/>
      <c r="K47" s="86"/>
      <c r="L47" s="86"/>
      <c r="M47" s="132"/>
      <c r="N47" s="44" t="str">
        <f t="shared" si="0"/>
        <v/>
      </c>
      <c r="O47" s="41"/>
      <c r="P47" s="41"/>
      <c r="Q47" s="41">
        <f>IF(B47="[V]",1,0)</f>
        <v>0</v>
      </c>
      <c r="R47" s="41"/>
      <c r="S47" s="41"/>
      <c r="T47" s="41"/>
      <c r="U47" s="41"/>
    </row>
    <row r="48" spans="1:21" s="2" customFormat="1" ht="14.25" x14ac:dyDescent="0.3">
      <c r="A48" s="54"/>
      <c r="B48" s="42" t="s">
        <v>88</v>
      </c>
      <c r="C48" s="86" t="s">
        <v>92</v>
      </c>
      <c r="D48" s="86"/>
      <c r="E48" s="86"/>
      <c r="F48" s="86"/>
      <c r="G48" s="86"/>
      <c r="H48" s="86"/>
      <c r="I48" s="86"/>
      <c r="J48" s="86"/>
      <c r="K48" s="86"/>
      <c r="L48" s="86"/>
      <c r="M48" s="132"/>
      <c r="N48" s="44" t="str">
        <f t="shared" si="0"/>
        <v/>
      </c>
      <c r="O48" s="41"/>
      <c r="P48" s="41"/>
      <c r="Q48" s="41">
        <f t="shared" ref="Q48:Q49" si="5">IF(B48="[V]",1,0)</f>
        <v>0</v>
      </c>
      <c r="R48" s="41"/>
      <c r="S48" s="41"/>
      <c r="T48" s="41"/>
      <c r="U48" s="41"/>
    </row>
    <row r="49" spans="1:21" s="2" customFormat="1" ht="14.25" x14ac:dyDescent="0.3">
      <c r="A49" s="54"/>
      <c r="B49" s="42" t="s">
        <v>88</v>
      </c>
      <c r="C49" s="86" t="s">
        <v>93</v>
      </c>
      <c r="D49" s="86"/>
      <c r="E49" s="86"/>
      <c r="F49" s="86"/>
      <c r="G49" s="86"/>
      <c r="H49" s="86"/>
      <c r="I49" s="86"/>
      <c r="J49" s="86"/>
      <c r="K49" s="86"/>
      <c r="L49" s="86"/>
      <c r="M49" s="132"/>
      <c r="N49" s="44" t="str">
        <f t="shared" si="0"/>
        <v/>
      </c>
      <c r="O49" s="41"/>
      <c r="P49" s="41"/>
      <c r="Q49" s="41">
        <f t="shared" si="5"/>
        <v>0</v>
      </c>
      <c r="R49" s="41"/>
      <c r="S49" s="41"/>
      <c r="T49" s="41"/>
      <c r="U49" s="41"/>
    </row>
    <row r="50" spans="1:21" s="2" customFormat="1" ht="14.25" x14ac:dyDescent="0.3">
      <c r="A50" s="54"/>
      <c r="B50" s="42" t="s">
        <v>88</v>
      </c>
      <c r="C50" s="86" t="s">
        <v>94</v>
      </c>
      <c r="D50" s="86"/>
      <c r="E50" s="86"/>
      <c r="F50" s="86"/>
      <c r="G50" s="86"/>
      <c r="H50" s="86"/>
      <c r="I50" s="86"/>
      <c r="J50" s="86"/>
      <c r="K50" s="86"/>
      <c r="L50" s="86"/>
      <c r="M50" s="132"/>
      <c r="N50" s="44" t="str">
        <f t="shared" si="0"/>
        <v/>
      </c>
      <c r="O50" s="41"/>
      <c r="P50" s="41">
        <f>IF(B50="[V]",1,0)</f>
        <v>0</v>
      </c>
      <c r="Q50" s="41"/>
      <c r="R50" s="41"/>
      <c r="S50" s="41"/>
      <c r="T50" s="41"/>
      <c r="U50" s="41"/>
    </row>
    <row r="51" spans="1:21" s="2" customFormat="1" ht="90.6" customHeight="1" x14ac:dyDescent="0.3">
      <c r="A51" s="57"/>
      <c r="B51" s="42" t="s">
        <v>88</v>
      </c>
      <c r="C51" s="89" t="s">
        <v>103</v>
      </c>
      <c r="D51" s="89"/>
      <c r="E51" s="89"/>
      <c r="F51" s="89"/>
      <c r="G51" s="89"/>
      <c r="H51" s="89"/>
      <c r="I51" s="89"/>
      <c r="J51" s="89"/>
      <c r="K51" s="89"/>
      <c r="L51" s="89"/>
      <c r="M51" s="90"/>
      <c r="N51" s="44" t="str">
        <f t="shared" si="0"/>
        <v/>
      </c>
      <c r="O51" s="41">
        <f>IF(B51="[V]",1,0)</f>
        <v>0</v>
      </c>
      <c r="P51" s="41"/>
      <c r="Q51" s="41"/>
      <c r="R51" s="41"/>
      <c r="S51" s="41"/>
      <c r="T51" s="41"/>
      <c r="U51" s="41"/>
    </row>
    <row r="52" spans="1:21" s="2" customFormat="1" ht="14.25" x14ac:dyDescent="0.3">
      <c r="A52" s="139" t="s">
        <v>19</v>
      </c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1"/>
      <c r="N52" s="44" t="str">
        <f t="shared" si="0"/>
        <v/>
      </c>
      <c r="O52" s="41"/>
      <c r="P52" s="41"/>
      <c r="Q52" s="41"/>
      <c r="R52" s="41"/>
      <c r="S52" s="41"/>
      <c r="T52" s="41"/>
      <c r="U52" s="41"/>
    </row>
    <row r="53" spans="1:21" s="2" customFormat="1" ht="14.25" x14ac:dyDescent="0.3">
      <c r="A53" s="54"/>
      <c r="B53" s="42" t="s">
        <v>88</v>
      </c>
      <c r="C53" s="86" t="s">
        <v>91</v>
      </c>
      <c r="D53" s="86"/>
      <c r="E53" s="86"/>
      <c r="F53" s="86"/>
      <c r="G53" s="86"/>
      <c r="H53" s="86"/>
      <c r="I53" s="86"/>
      <c r="J53" s="86"/>
      <c r="K53" s="86"/>
      <c r="L53" s="86"/>
      <c r="M53" s="132"/>
      <c r="N53" s="44" t="str">
        <f t="shared" si="0"/>
        <v/>
      </c>
      <c r="O53" s="41"/>
      <c r="P53" s="41"/>
      <c r="Q53" s="41">
        <f>IF(B53="[V]",1,0)</f>
        <v>0</v>
      </c>
      <c r="R53" s="41"/>
      <c r="S53" s="41"/>
      <c r="T53" s="41"/>
      <c r="U53" s="41"/>
    </row>
    <row r="54" spans="1:21" s="2" customFormat="1" ht="14.25" x14ac:dyDescent="0.3">
      <c r="A54" s="54"/>
      <c r="B54" s="42" t="s">
        <v>88</v>
      </c>
      <c r="C54" s="86" t="s">
        <v>92</v>
      </c>
      <c r="D54" s="86"/>
      <c r="E54" s="86"/>
      <c r="F54" s="86"/>
      <c r="G54" s="86"/>
      <c r="H54" s="86"/>
      <c r="I54" s="86"/>
      <c r="J54" s="86"/>
      <c r="K54" s="86"/>
      <c r="L54" s="86"/>
      <c r="M54" s="132"/>
      <c r="N54" s="44" t="str">
        <f t="shared" si="0"/>
        <v/>
      </c>
      <c r="O54" s="41"/>
      <c r="P54" s="41"/>
      <c r="Q54" s="41">
        <f t="shared" ref="Q54:Q55" si="6">IF(B54="[V]",1,0)</f>
        <v>0</v>
      </c>
      <c r="R54" s="41"/>
      <c r="S54" s="41"/>
      <c r="T54" s="41"/>
      <c r="U54" s="41"/>
    </row>
    <row r="55" spans="1:21" s="2" customFormat="1" ht="14.25" x14ac:dyDescent="0.3">
      <c r="A55" s="54"/>
      <c r="B55" s="42" t="s">
        <v>88</v>
      </c>
      <c r="C55" s="86" t="s">
        <v>93</v>
      </c>
      <c r="D55" s="86"/>
      <c r="E55" s="86"/>
      <c r="F55" s="86"/>
      <c r="G55" s="86"/>
      <c r="H55" s="86"/>
      <c r="I55" s="86"/>
      <c r="J55" s="86"/>
      <c r="K55" s="86"/>
      <c r="L55" s="86"/>
      <c r="M55" s="132"/>
      <c r="N55" s="44" t="str">
        <f t="shared" si="0"/>
        <v/>
      </c>
      <c r="O55" s="41"/>
      <c r="P55" s="41"/>
      <c r="Q55" s="41">
        <f t="shared" si="6"/>
        <v>0</v>
      </c>
      <c r="R55" s="41"/>
      <c r="S55" s="41"/>
      <c r="T55" s="41"/>
      <c r="U55" s="41"/>
    </row>
    <row r="56" spans="1:21" s="2" customFormat="1" ht="14.25" x14ac:dyDescent="0.3">
      <c r="A56" s="54"/>
      <c r="B56" s="42" t="s">
        <v>88</v>
      </c>
      <c r="C56" s="86" t="s">
        <v>94</v>
      </c>
      <c r="D56" s="86"/>
      <c r="E56" s="86"/>
      <c r="F56" s="86"/>
      <c r="G56" s="86"/>
      <c r="H56" s="86"/>
      <c r="I56" s="86"/>
      <c r="J56" s="86"/>
      <c r="K56" s="86"/>
      <c r="L56" s="86"/>
      <c r="M56" s="132"/>
      <c r="N56" s="44" t="str">
        <f t="shared" si="0"/>
        <v/>
      </c>
      <c r="O56" s="41"/>
      <c r="P56" s="41">
        <f>IF(B56="[V]",1,0)</f>
        <v>0</v>
      </c>
      <c r="Q56" s="41"/>
      <c r="R56" s="41"/>
      <c r="S56" s="41"/>
      <c r="T56" s="41"/>
      <c r="U56" s="41"/>
    </row>
    <row r="57" spans="1:21" s="2" customFormat="1" ht="39.950000000000003" customHeight="1" x14ac:dyDescent="0.3">
      <c r="A57" s="57"/>
      <c r="B57" s="42" t="s">
        <v>88</v>
      </c>
      <c r="C57" s="89" t="s">
        <v>104</v>
      </c>
      <c r="D57" s="89"/>
      <c r="E57" s="89"/>
      <c r="F57" s="89"/>
      <c r="G57" s="89"/>
      <c r="H57" s="89"/>
      <c r="I57" s="89"/>
      <c r="J57" s="89"/>
      <c r="K57" s="89"/>
      <c r="L57" s="89"/>
      <c r="M57" s="90"/>
      <c r="N57" s="44" t="str">
        <f t="shared" si="0"/>
        <v/>
      </c>
      <c r="O57" s="41">
        <f>IF(B57="[V]",1,0)</f>
        <v>0</v>
      </c>
      <c r="P57" s="41"/>
      <c r="Q57" s="41"/>
      <c r="R57" s="41"/>
      <c r="S57" s="41"/>
      <c r="T57" s="41"/>
      <c r="U57" s="41"/>
    </row>
    <row r="58" spans="1:21" s="2" customFormat="1" ht="14.25" x14ac:dyDescent="0.3">
      <c r="A58" s="139" t="s">
        <v>20</v>
      </c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1"/>
      <c r="N58" s="44" t="str">
        <f t="shared" si="0"/>
        <v/>
      </c>
      <c r="O58" s="41"/>
      <c r="P58" s="41"/>
      <c r="Q58" s="41"/>
      <c r="R58" s="41"/>
      <c r="S58" s="41"/>
      <c r="T58" s="41"/>
      <c r="U58" s="41"/>
    </row>
    <row r="59" spans="1:21" s="2" customFormat="1" ht="14.25" x14ac:dyDescent="0.3">
      <c r="A59" s="54"/>
      <c r="B59" s="42" t="s">
        <v>88</v>
      </c>
      <c r="C59" s="86" t="s">
        <v>91</v>
      </c>
      <c r="D59" s="86"/>
      <c r="E59" s="86"/>
      <c r="F59" s="86"/>
      <c r="G59" s="86"/>
      <c r="H59" s="86"/>
      <c r="I59" s="86"/>
      <c r="J59" s="86"/>
      <c r="K59" s="86"/>
      <c r="L59" s="86"/>
      <c r="M59" s="132"/>
      <c r="N59" s="44" t="str">
        <f t="shared" si="0"/>
        <v/>
      </c>
      <c r="O59" s="41"/>
      <c r="P59" s="41"/>
      <c r="Q59" s="41">
        <f>IF(B59="[V]",1,0)</f>
        <v>0</v>
      </c>
      <c r="R59" s="41"/>
      <c r="S59" s="41"/>
      <c r="T59" s="41"/>
      <c r="U59" s="41"/>
    </row>
    <row r="60" spans="1:21" s="2" customFormat="1" ht="14.25" x14ac:dyDescent="0.3">
      <c r="A60" s="54"/>
      <c r="B60" s="42" t="s">
        <v>88</v>
      </c>
      <c r="C60" s="86" t="s">
        <v>92</v>
      </c>
      <c r="D60" s="86"/>
      <c r="E60" s="86"/>
      <c r="F60" s="86"/>
      <c r="G60" s="86"/>
      <c r="H60" s="86"/>
      <c r="I60" s="86"/>
      <c r="J60" s="86"/>
      <c r="K60" s="86"/>
      <c r="L60" s="86"/>
      <c r="M60" s="132"/>
      <c r="N60" s="44" t="str">
        <f t="shared" si="0"/>
        <v/>
      </c>
      <c r="O60" s="41"/>
      <c r="P60" s="41"/>
      <c r="Q60" s="41">
        <f t="shared" ref="Q60:Q61" si="7">IF(B60="[V]",1,0)</f>
        <v>0</v>
      </c>
      <c r="R60" s="41"/>
      <c r="S60" s="41"/>
      <c r="T60" s="41"/>
      <c r="U60" s="41"/>
    </row>
    <row r="61" spans="1:21" s="2" customFormat="1" ht="14.25" x14ac:dyDescent="0.3">
      <c r="A61" s="54"/>
      <c r="B61" s="42" t="s">
        <v>88</v>
      </c>
      <c r="C61" s="86" t="s">
        <v>93</v>
      </c>
      <c r="D61" s="86"/>
      <c r="E61" s="86"/>
      <c r="F61" s="86"/>
      <c r="G61" s="86"/>
      <c r="H61" s="86"/>
      <c r="I61" s="86"/>
      <c r="J61" s="86"/>
      <c r="K61" s="86"/>
      <c r="L61" s="86"/>
      <c r="M61" s="132"/>
      <c r="N61" s="44" t="str">
        <f t="shared" si="0"/>
        <v/>
      </c>
      <c r="O61" s="41"/>
      <c r="P61" s="41"/>
      <c r="Q61" s="41">
        <f t="shared" si="7"/>
        <v>0</v>
      </c>
      <c r="R61" s="41"/>
      <c r="S61" s="41"/>
      <c r="T61" s="41"/>
      <c r="U61" s="41"/>
    </row>
    <row r="62" spans="1:21" s="2" customFormat="1" ht="14.25" x14ac:dyDescent="0.3">
      <c r="A62" s="54"/>
      <c r="B62" s="42" t="s">
        <v>88</v>
      </c>
      <c r="C62" s="86" t="s">
        <v>94</v>
      </c>
      <c r="D62" s="86"/>
      <c r="E62" s="86"/>
      <c r="F62" s="86"/>
      <c r="G62" s="86"/>
      <c r="H62" s="86"/>
      <c r="I62" s="86"/>
      <c r="J62" s="86"/>
      <c r="K62" s="86"/>
      <c r="L62" s="86"/>
      <c r="M62" s="132"/>
      <c r="N62" s="44" t="str">
        <f t="shared" si="0"/>
        <v/>
      </c>
      <c r="O62" s="41"/>
      <c r="P62" s="41">
        <f>IF(B62="[V]",1,0)</f>
        <v>0</v>
      </c>
      <c r="Q62" s="41"/>
      <c r="R62" s="41"/>
      <c r="S62" s="41"/>
      <c r="T62" s="41"/>
      <c r="U62" s="41"/>
    </row>
    <row r="63" spans="1:21" s="2" customFormat="1" ht="39.950000000000003" customHeight="1" x14ac:dyDescent="0.3">
      <c r="A63" s="57"/>
      <c r="B63" s="42" t="s">
        <v>88</v>
      </c>
      <c r="C63" s="89" t="s">
        <v>105</v>
      </c>
      <c r="D63" s="89"/>
      <c r="E63" s="89"/>
      <c r="F63" s="89"/>
      <c r="G63" s="89"/>
      <c r="H63" s="89"/>
      <c r="I63" s="89"/>
      <c r="J63" s="89"/>
      <c r="K63" s="89"/>
      <c r="L63" s="89"/>
      <c r="M63" s="90"/>
      <c r="N63" s="44" t="str">
        <f t="shared" si="0"/>
        <v/>
      </c>
      <c r="O63" s="41">
        <f>IF(B63="[V]",1,0)</f>
        <v>0</v>
      </c>
      <c r="P63" s="41"/>
      <c r="Q63" s="41"/>
      <c r="R63" s="41"/>
      <c r="S63" s="41"/>
      <c r="T63" s="41"/>
      <c r="U63" s="41"/>
    </row>
    <row r="64" spans="1:21" s="2" customFormat="1" ht="14.25" x14ac:dyDescent="0.3">
      <c r="A64" s="159" t="s">
        <v>21</v>
      </c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1"/>
      <c r="N64" s="44" t="str">
        <f t="shared" si="0"/>
        <v/>
      </c>
      <c r="O64" s="41"/>
      <c r="P64" s="41"/>
      <c r="Q64" s="41"/>
      <c r="R64" s="41"/>
      <c r="S64" s="41"/>
      <c r="T64" s="41"/>
      <c r="U64" s="41"/>
    </row>
    <row r="65" spans="1:21" s="2" customFormat="1" ht="40.9" customHeight="1" x14ac:dyDescent="0.3">
      <c r="A65" s="151" t="s">
        <v>22</v>
      </c>
      <c r="B65" s="87"/>
      <c r="C65" s="87"/>
      <c r="D65" s="87"/>
      <c r="E65" s="87"/>
      <c r="F65" s="87"/>
      <c r="G65" s="88"/>
      <c r="H65" s="42" t="s">
        <v>88</v>
      </c>
      <c r="I65" s="59" t="s">
        <v>89</v>
      </c>
      <c r="J65" s="42" t="s">
        <v>88</v>
      </c>
      <c r="K65" s="59" t="s">
        <v>87</v>
      </c>
      <c r="L65" s="42" t="s">
        <v>88</v>
      </c>
      <c r="M65" s="60" t="s">
        <v>86</v>
      </c>
      <c r="N65" s="44" t="str">
        <f t="shared" si="0"/>
        <v/>
      </c>
      <c r="O65" s="41"/>
      <c r="P65" s="41"/>
      <c r="Q65" s="41"/>
      <c r="R65" s="41">
        <f>IF(H65="[V]",1,0)</f>
        <v>0</v>
      </c>
      <c r="S65" s="41"/>
      <c r="T65" s="41">
        <f>IF(L65="[V]",1,0)</f>
        <v>0</v>
      </c>
      <c r="U65" s="41">
        <f>IF(J65="[V]",1,0)</f>
        <v>0</v>
      </c>
    </row>
    <row r="66" spans="1:21" s="2" customFormat="1" ht="36.75" customHeight="1" x14ac:dyDescent="0.3">
      <c r="A66" s="156" t="s">
        <v>23</v>
      </c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8"/>
      <c r="N66" s="44" t="str">
        <f t="shared" si="0"/>
        <v/>
      </c>
      <c r="O66" s="41"/>
      <c r="P66" s="41"/>
      <c r="Q66" s="41"/>
      <c r="R66" s="41"/>
      <c r="S66" s="41"/>
      <c r="T66" s="41"/>
      <c r="U66" s="41"/>
    </row>
    <row r="67" spans="1:21" s="2" customFormat="1" ht="14.25" x14ac:dyDescent="0.3">
      <c r="A67" s="1"/>
      <c r="B67" s="42" t="s">
        <v>88</v>
      </c>
      <c r="C67" s="86" t="s">
        <v>106</v>
      </c>
      <c r="D67" s="86"/>
      <c r="E67" s="86"/>
      <c r="F67" s="86"/>
      <c r="G67" s="86"/>
      <c r="H67" s="86"/>
      <c r="I67" s="86"/>
      <c r="J67" s="86"/>
      <c r="K67" s="86"/>
      <c r="L67" s="86"/>
      <c r="M67" s="132"/>
      <c r="N67" s="44" t="str">
        <f t="shared" si="0"/>
        <v/>
      </c>
      <c r="O67" s="41"/>
      <c r="P67" s="41"/>
      <c r="Q67" s="41"/>
      <c r="R67" s="41"/>
      <c r="S67" s="41">
        <f t="shared" ref="S67:S76" si="8">IF(B67="[V]",1,0)</f>
        <v>0</v>
      </c>
      <c r="T67" s="41"/>
      <c r="U67" s="41"/>
    </row>
    <row r="68" spans="1:21" s="2" customFormat="1" ht="14.25" x14ac:dyDescent="0.3">
      <c r="A68" s="1"/>
      <c r="B68" s="42" t="s">
        <v>88</v>
      </c>
      <c r="C68" s="86" t="s">
        <v>107</v>
      </c>
      <c r="D68" s="86"/>
      <c r="E68" s="86"/>
      <c r="F68" s="86"/>
      <c r="G68" s="86"/>
      <c r="H68" s="86"/>
      <c r="I68" s="86"/>
      <c r="J68" s="86"/>
      <c r="K68" s="86"/>
      <c r="L68" s="86"/>
      <c r="M68" s="132"/>
      <c r="N68" s="44" t="str">
        <f t="shared" si="0"/>
        <v/>
      </c>
      <c r="O68" s="41"/>
      <c r="P68" s="41"/>
      <c r="Q68" s="41"/>
      <c r="R68" s="41"/>
      <c r="S68" s="41">
        <f t="shared" si="8"/>
        <v>0</v>
      </c>
      <c r="T68" s="41"/>
      <c r="U68" s="41"/>
    </row>
    <row r="69" spans="1:21" s="2" customFormat="1" ht="14.25" x14ac:dyDescent="0.3">
      <c r="A69" s="1"/>
      <c r="B69" s="42" t="s">
        <v>88</v>
      </c>
      <c r="C69" s="86" t="s">
        <v>108</v>
      </c>
      <c r="D69" s="86"/>
      <c r="E69" s="86"/>
      <c r="F69" s="86"/>
      <c r="G69" s="86"/>
      <c r="H69" s="86"/>
      <c r="I69" s="86"/>
      <c r="J69" s="86"/>
      <c r="K69" s="86"/>
      <c r="L69" s="86"/>
      <c r="M69" s="132"/>
      <c r="N69" s="44" t="str">
        <f t="shared" si="0"/>
        <v/>
      </c>
      <c r="O69" s="41"/>
      <c r="P69" s="41"/>
      <c r="Q69" s="41"/>
      <c r="R69" s="41"/>
      <c r="S69" s="41">
        <f t="shared" si="8"/>
        <v>0</v>
      </c>
      <c r="T69" s="41"/>
      <c r="U69" s="41"/>
    </row>
    <row r="70" spans="1:21" s="2" customFormat="1" ht="14.25" x14ac:dyDescent="0.3">
      <c r="A70" s="1"/>
      <c r="B70" s="42" t="s">
        <v>88</v>
      </c>
      <c r="C70" s="86" t="s">
        <v>109</v>
      </c>
      <c r="D70" s="86"/>
      <c r="E70" s="86"/>
      <c r="F70" s="86"/>
      <c r="G70" s="86"/>
      <c r="H70" s="86"/>
      <c r="I70" s="86"/>
      <c r="J70" s="86"/>
      <c r="K70" s="86"/>
      <c r="L70" s="86"/>
      <c r="M70" s="132"/>
      <c r="N70" s="44" t="str">
        <f t="shared" si="0"/>
        <v/>
      </c>
      <c r="O70" s="41"/>
      <c r="P70" s="41"/>
      <c r="Q70" s="41"/>
      <c r="R70" s="41"/>
      <c r="S70" s="41">
        <f t="shared" si="8"/>
        <v>0</v>
      </c>
      <c r="T70" s="41"/>
      <c r="U70" s="41"/>
    </row>
    <row r="71" spans="1:21" s="2" customFormat="1" ht="14.25" x14ac:dyDescent="0.3">
      <c r="A71" s="6"/>
      <c r="B71" s="42" t="s">
        <v>88</v>
      </c>
      <c r="C71" s="86" t="s">
        <v>110</v>
      </c>
      <c r="D71" s="86"/>
      <c r="E71" s="86"/>
      <c r="F71" s="86"/>
      <c r="G71" s="86"/>
      <c r="H71" s="86"/>
      <c r="I71" s="86"/>
      <c r="J71" s="86"/>
      <c r="K71" s="86"/>
      <c r="L71" s="86"/>
      <c r="M71" s="132"/>
      <c r="N71" s="44" t="str">
        <f t="shared" si="0"/>
        <v/>
      </c>
      <c r="O71" s="41"/>
      <c r="P71" s="41"/>
      <c r="Q71" s="41"/>
      <c r="R71" s="41"/>
      <c r="S71" s="41"/>
      <c r="T71" s="41">
        <f>IF(B71="[v]",1,0)</f>
        <v>0</v>
      </c>
      <c r="U71" s="41"/>
    </row>
    <row r="72" spans="1:21" s="2" customFormat="1" ht="14.25" x14ac:dyDescent="0.3">
      <c r="A72" s="136" t="s">
        <v>24</v>
      </c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8"/>
      <c r="N72" s="44" t="str">
        <f t="shared" si="0"/>
        <v/>
      </c>
      <c r="O72" s="41"/>
      <c r="P72" s="41"/>
      <c r="Q72" s="41"/>
      <c r="R72" s="41"/>
      <c r="S72" s="41"/>
      <c r="T72" s="41"/>
      <c r="U72" s="41"/>
    </row>
    <row r="73" spans="1:21" s="2" customFormat="1" ht="14.25" x14ac:dyDescent="0.3">
      <c r="A73" s="54"/>
      <c r="B73" s="42" t="s">
        <v>88</v>
      </c>
      <c r="C73" s="86" t="s">
        <v>111</v>
      </c>
      <c r="D73" s="86"/>
      <c r="E73" s="86"/>
      <c r="F73" s="86"/>
      <c r="G73" s="86"/>
      <c r="H73" s="86"/>
      <c r="I73" s="86"/>
      <c r="J73" s="86"/>
      <c r="K73" s="86"/>
      <c r="L73" s="86"/>
      <c r="M73" s="132"/>
      <c r="N73" s="44" t="str">
        <f t="shared" si="0"/>
        <v/>
      </c>
      <c r="O73" s="41"/>
      <c r="P73" s="41"/>
      <c r="Q73" s="41"/>
      <c r="R73" s="41"/>
      <c r="S73" s="41">
        <f t="shared" si="8"/>
        <v>0</v>
      </c>
      <c r="T73" s="41"/>
      <c r="U73" s="41"/>
    </row>
    <row r="74" spans="1:21" s="2" customFormat="1" ht="15.6" customHeight="1" x14ac:dyDescent="0.3">
      <c r="A74" s="54"/>
      <c r="B74" s="42" t="s">
        <v>88</v>
      </c>
      <c r="C74" s="86" t="s">
        <v>112</v>
      </c>
      <c r="D74" s="86"/>
      <c r="E74" s="86"/>
      <c r="F74" s="86"/>
      <c r="G74" s="86"/>
      <c r="H74" s="86"/>
      <c r="I74" s="86"/>
      <c r="J74" s="86"/>
      <c r="K74" s="86"/>
      <c r="L74" s="86"/>
      <c r="M74" s="132"/>
      <c r="N74" s="44" t="str">
        <f t="shared" ref="N74:N137" si="9">IF(OR(R74=1,S74=1),"*","")</f>
        <v/>
      </c>
      <c r="O74" s="41"/>
      <c r="P74" s="41"/>
      <c r="Q74" s="41"/>
      <c r="R74" s="41"/>
      <c r="S74" s="41">
        <f t="shared" si="8"/>
        <v>0</v>
      </c>
      <c r="T74" s="41"/>
      <c r="U74" s="41"/>
    </row>
    <row r="75" spans="1:21" s="2" customFormat="1" ht="14.25" x14ac:dyDescent="0.3">
      <c r="A75" s="54"/>
      <c r="B75" s="42" t="s">
        <v>88</v>
      </c>
      <c r="C75" s="86" t="s">
        <v>113</v>
      </c>
      <c r="D75" s="86"/>
      <c r="E75" s="86"/>
      <c r="F75" s="86"/>
      <c r="G75" s="86"/>
      <c r="H75" s="86"/>
      <c r="I75" s="86"/>
      <c r="J75" s="86"/>
      <c r="K75" s="86"/>
      <c r="L75" s="86"/>
      <c r="M75" s="132"/>
      <c r="N75" s="44" t="str">
        <f t="shared" si="9"/>
        <v/>
      </c>
      <c r="O75" s="41"/>
      <c r="P75" s="41"/>
      <c r="Q75" s="41"/>
      <c r="R75" s="41"/>
      <c r="S75" s="41">
        <f t="shared" si="8"/>
        <v>0</v>
      </c>
      <c r="T75" s="41"/>
      <c r="U75" s="41"/>
    </row>
    <row r="76" spans="1:21" s="2" customFormat="1" ht="14.25" x14ac:dyDescent="0.3">
      <c r="A76" s="54"/>
      <c r="B76" s="42" t="s">
        <v>88</v>
      </c>
      <c r="C76" s="86" t="s">
        <v>114</v>
      </c>
      <c r="D76" s="86"/>
      <c r="E76" s="86"/>
      <c r="F76" s="86"/>
      <c r="G76" s="86"/>
      <c r="H76" s="86"/>
      <c r="I76" s="86"/>
      <c r="J76" s="86"/>
      <c r="K76" s="86"/>
      <c r="L76" s="86"/>
      <c r="M76" s="132"/>
      <c r="N76" s="44" t="str">
        <f t="shared" si="9"/>
        <v/>
      </c>
      <c r="O76" s="41"/>
      <c r="P76" s="41"/>
      <c r="Q76" s="41"/>
      <c r="R76" s="41"/>
      <c r="S76" s="41">
        <f t="shared" si="8"/>
        <v>0</v>
      </c>
      <c r="T76" s="41"/>
      <c r="U76" s="41"/>
    </row>
    <row r="77" spans="1:21" s="2" customFormat="1" ht="14.25" x14ac:dyDescent="0.3">
      <c r="A77" s="61"/>
      <c r="B77" s="42" t="s">
        <v>88</v>
      </c>
      <c r="C77" s="86" t="s">
        <v>115</v>
      </c>
      <c r="D77" s="86"/>
      <c r="E77" s="86"/>
      <c r="F77" s="86"/>
      <c r="G77" s="86"/>
      <c r="H77" s="86"/>
      <c r="I77" s="86"/>
      <c r="J77" s="86"/>
      <c r="K77" s="86"/>
      <c r="L77" s="86"/>
      <c r="M77" s="132"/>
      <c r="N77" s="44" t="str">
        <f t="shared" si="9"/>
        <v/>
      </c>
      <c r="O77" s="41"/>
      <c r="P77" s="41"/>
      <c r="Q77" s="41"/>
      <c r="R77" s="41"/>
      <c r="S77" s="41"/>
      <c r="T77" s="41">
        <f>IF(B77="[v]",1,0)</f>
        <v>0</v>
      </c>
      <c r="U77" s="41"/>
    </row>
    <row r="78" spans="1:21" s="2" customFormat="1" ht="14.25" x14ac:dyDescent="0.3">
      <c r="A78" s="133" t="s">
        <v>25</v>
      </c>
      <c r="B78" s="134"/>
      <c r="C78" s="134"/>
      <c r="D78" s="134"/>
      <c r="E78" s="134"/>
      <c r="F78" s="134"/>
      <c r="G78" s="135"/>
      <c r="H78" s="51" t="s">
        <v>88</v>
      </c>
      <c r="I78" s="52" t="s">
        <v>89</v>
      </c>
      <c r="J78" s="53" t="s">
        <v>88</v>
      </c>
      <c r="K78" s="52" t="s">
        <v>87</v>
      </c>
      <c r="L78" s="52"/>
      <c r="M78" s="62"/>
      <c r="N78" s="44" t="str">
        <f t="shared" si="9"/>
        <v/>
      </c>
      <c r="O78" s="41"/>
      <c r="P78" s="41"/>
      <c r="Q78" s="41"/>
      <c r="R78" s="41">
        <f>IF(H78="[V]",1,0)</f>
        <v>0</v>
      </c>
      <c r="S78" s="41"/>
      <c r="T78" s="41"/>
      <c r="U78" s="41">
        <f>IF(J78="[V]",1,0)</f>
        <v>0</v>
      </c>
    </row>
    <row r="79" spans="1:21" s="2" customFormat="1" ht="14.25" x14ac:dyDescent="0.3">
      <c r="A79" s="139" t="s">
        <v>26</v>
      </c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1"/>
      <c r="N79" s="44" t="str">
        <f t="shared" si="9"/>
        <v/>
      </c>
      <c r="O79" s="41"/>
      <c r="P79" s="41"/>
      <c r="Q79" s="41"/>
      <c r="R79" s="41"/>
      <c r="S79" s="41"/>
      <c r="T79" s="41"/>
      <c r="U79" s="41"/>
    </row>
    <row r="80" spans="1:21" s="2" customFormat="1" ht="14.25" x14ac:dyDescent="0.3">
      <c r="A80" s="54"/>
      <c r="B80" s="42" t="s">
        <v>88</v>
      </c>
      <c r="C80" s="86" t="s">
        <v>91</v>
      </c>
      <c r="D80" s="86"/>
      <c r="E80" s="86"/>
      <c r="F80" s="86"/>
      <c r="G80" s="86"/>
      <c r="H80" s="86"/>
      <c r="I80" s="86"/>
      <c r="J80" s="86"/>
      <c r="K80" s="86"/>
      <c r="L80" s="86"/>
      <c r="M80" s="132"/>
      <c r="N80" s="44" t="str">
        <f t="shared" si="9"/>
        <v/>
      </c>
      <c r="O80" s="41"/>
      <c r="P80" s="41"/>
      <c r="Q80" s="41">
        <f>IF(B80="[V]",1,0)</f>
        <v>0</v>
      </c>
      <c r="R80" s="41"/>
      <c r="S80" s="41"/>
      <c r="T80" s="41"/>
      <c r="U80" s="41"/>
    </row>
    <row r="81" spans="1:21" s="2" customFormat="1" ht="14.25" x14ac:dyDescent="0.3">
      <c r="A81" s="54"/>
      <c r="B81" s="42" t="s">
        <v>88</v>
      </c>
      <c r="C81" s="86" t="s">
        <v>92</v>
      </c>
      <c r="D81" s="86"/>
      <c r="E81" s="86"/>
      <c r="F81" s="86"/>
      <c r="G81" s="86"/>
      <c r="H81" s="86"/>
      <c r="I81" s="86"/>
      <c r="J81" s="86"/>
      <c r="K81" s="86"/>
      <c r="L81" s="86"/>
      <c r="M81" s="132"/>
      <c r="N81" s="44" t="str">
        <f t="shared" si="9"/>
        <v/>
      </c>
      <c r="O81" s="41"/>
      <c r="P81" s="41"/>
      <c r="Q81" s="41">
        <f t="shared" ref="Q81:Q82" si="10">IF(B81="[V]",1,0)</f>
        <v>0</v>
      </c>
      <c r="R81" s="41"/>
      <c r="S81" s="41"/>
      <c r="T81" s="41"/>
      <c r="U81" s="41"/>
    </row>
    <row r="82" spans="1:21" s="2" customFormat="1" ht="14.25" x14ac:dyDescent="0.3">
      <c r="A82" s="54"/>
      <c r="B82" s="42" t="s">
        <v>88</v>
      </c>
      <c r="C82" s="86" t="s">
        <v>93</v>
      </c>
      <c r="D82" s="86"/>
      <c r="E82" s="86"/>
      <c r="F82" s="86"/>
      <c r="G82" s="86"/>
      <c r="H82" s="86"/>
      <c r="I82" s="86"/>
      <c r="J82" s="86"/>
      <c r="K82" s="86"/>
      <c r="L82" s="86"/>
      <c r="M82" s="132"/>
      <c r="N82" s="44" t="str">
        <f t="shared" si="9"/>
        <v/>
      </c>
      <c r="O82" s="41"/>
      <c r="P82" s="41"/>
      <c r="Q82" s="41">
        <f t="shared" si="10"/>
        <v>0</v>
      </c>
      <c r="R82" s="41"/>
      <c r="S82" s="41"/>
      <c r="T82" s="41"/>
      <c r="U82" s="41"/>
    </row>
    <row r="83" spans="1:21" s="2" customFormat="1" ht="14.25" x14ac:dyDescent="0.3">
      <c r="A83" s="54"/>
      <c r="B83" s="42" t="s">
        <v>88</v>
      </c>
      <c r="C83" s="86" t="s">
        <v>94</v>
      </c>
      <c r="D83" s="86"/>
      <c r="E83" s="86"/>
      <c r="F83" s="86"/>
      <c r="G83" s="86"/>
      <c r="H83" s="86"/>
      <c r="I83" s="86"/>
      <c r="J83" s="86"/>
      <c r="K83" s="86"/>
      <c r="L83" s="86"/>
      <c r="M83" s="132"/>
      <c r="N83" s="44" t="str">
        <f t="shared" si="9"/>
        <v/>
      </c>
      <c r="O83" s="41"/>
      <c r="P83" s="41">
        <f>IF(B83="[V]",1,0)</f>
        <v>0</v>
      </c>
      <c r="Q83" s="41"/>
      <c r="R83" s="41"/>
      <c r="S83" s="41"/>
      <c r="T83" s="41"/>
      <c r="U83" s="41"/>
    </row>
    <row r="84" spans="1:21" s="2" customFormat="1" ht="60" customHeight="1" x14ac:dyDescent="0.3">
      <c r="A84" s="57"/>
      <c r="B84" s="42" t="s">
        <v>88</v>
      </c>
      <c r="C84" s="89" t="s">
        <v>116</v>
      </c>
      <c r="D84" s="89"/>
      <c r="E84" s="89"/>
      <c r="F84" s="89"/>
      <c r="G84" s="89"/>
      <c r="H84" s="89"/>
      <c r="I84" s="89"/>
      <c r="J84" s="89"/>
      <c r="K84" s="89"/>
      <c r="L84" s="89"/>
      <c r="M84" s="90"/>
      <c r="N84" s="44" t="str">
        <f t="shared" si="9"/>
        <v/>
      </c>
      <c r="O84" s="41">
        <f>IF(B84="[V]",1,0)</f>
        <v>0</v>
      </c>
      <c r="P84" s="41"/>
      <c r="Q84" s="41"/>
      <c r="R84" s="41"/>
      <c r="S84" s="41"/>
      <c r="T84" s="41"/>
      <c r="U84" s="41"/>
    </row>
    <row r="85" spans="1:21" s="2" customFormat="1" ht="14.25" x14ac:dyDescent="0.3">
      <c r="A85" s="136" t="s">
        <v>27</v>
      </c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8"/>
      <c r="N85" s="44" t="str">
        <f t="shared" si="9"/>
        <v/>
      </c>
      <c r="O85" s="41"/>
      <c r="P85" s="41"/>
      <c r="Q85" s="41"/>
      <c r="R85" s="41"/>
      <c r="S85" s="41"/>
      <c r="T85" s="41"/>
      <c r="U85" s="41"/>
    </row>
    <row r="86" spans="1:21" s="2" customFormat="1" ht="15.6" customHeight="1" x14ac:dyDescent="0.3">
      <c r="A86" s="54"/>
      <c r="B86" s="42" t="s">
        <v>88</v>
      </c>
      <c r="C86" s="86" t="s">
        <v>91</v>
      </c>
      <c r="D86" s="86"/>
      <c r="E86" s="86"/>
      <c r="F86" s="86"/>
      <c r="G86" s="86"/>
      <c r="H86" s="86"/>
      <c r="I86" s="86"/>
      <c r="J86" s="86"/>
      <c r="K86" s="86"/>
      <c r="L86" s="86"/>
      <c r="M86" s="132"/>
      <c r="N86" s="44" t="str">
        <f t="shared" si="9"/>
        <v/>
      </c>
      <c r="O86" s="41"/>
      <c r="P86" s="41"/>
      <c r="Q86" s="41">
        <f>IF(B86="[V]",1,0)</f>
        <v>0</v>
      </c>
      <c r="R86" s="41"/>
      <c r="S86" s="41"/>
      <c r="T86" s="41"/>
      <c r="U86" s="41"/>
    </row>
    <row r="87" spans="1:21" s="2" customFormat="1" ht="14.25" x14ac:dyDescent="0.3">
      <c r="A87" s="54"/>
      <c r="B87" s="42" t="s">
        <v>88</v>
      </c>
      <c r="C87" s="86" t="s">
        <v>92</v>
      </c>
      <c r="D87" s="86"/>
      <c r="E87" s="86"/>
      <c r="F87" s="86"/>
      <c r="G87" s="86"/>
      <c r="H87" s="86"/>
      <c r="I87" s="86"/>
      <c r="J87" s="86"/>
      <c r="K87" s="86"/>
      <c r="L87" s="86"/>
      <c r="M87" s="132"/>
      <c r="N87" s="44" t="str">
        <f t="shared" si="9"/>
        <v/>
      </c>
      <c r="O87" s="41"/>
      <c r="P87" s="41"/>
      <c r="Q87" s="41">
        <f t="shared" ref="Q87:Q88" si="11">IF(B87="[V]",1,0)</f>
        <v>0</v>
      </c>
      <c r="R87" s="41"/>
      <c r="S87" s="41"/>
      <c r="T87" s="41"/>
      <c r="U87" s="41"/>
    </row>
    <row r="88" spans="1:21" s="2" customFormat="1" ht="14.25" x14ac:dyDescent="0.3">
      <c r="A88" s="54"/>
      <c r="B88" s="42" t="s">
        <v>88</v>
      </c>
      <c r="C88" s="86" t="s">
        <v>93</v>
      </c>
      <c r="D88" s="86"/>
      <c r="E88" s="86"/>
      <c r="F88" s="86"/>
      <c r="G88" s="86"/>
      <c r="H88" s="86"/>
      <c r="I88" s="86"/>
      <c r="J88" s="86"/>
      <c r="K88" s="86"/>
      <c r="L88" s="86"/>
      <c r="M88" s="132"/>
      <c r="N88" s="44" t="str">
        <f t="shared" si="9"/>
        <v/>
      </c>
      <c r="O88" s="41"/>
      <c r="P88" s="41"/>
      <c r="Q88" s="41">
        <f t="shared" si="11"/>
        <v>0</v>
      </c>
      <c r="R88" s="41"/>
      <c r="S88" s="41"/>
      <c r="T88" s="41"/>
      <c r="U88" s="41"/>
    </row>
    <row r="89" spans="1:21" s="2" customFormat="1" ht="14.25" x14ac:dyDescent="0.3">
      <c r="A89" s="54"/>
      <c r="B89" s="42" t="s">
        <v>88</v>
      </c>
      <c r="C89" s="86" t="s">
        <v>94</v>
      </c>
      <c r="D89" s="86"/>
      <c r="E89" s="86"/>
      <c r="F89" s="86"/>
      <c r="G89" s="86"/>
      <c r="H89" s="86"/>
      <c r="I89" s="86"/>
      <c r="J89" s="86"/>
      <c r="K89" s="86"/>
      <c r="L89" s="86"/>
      <c r="M89" s="132"/>
      <c r="N89" s="44" t="str">
        <f t="shared" si="9"/>
        <v/>
      </c>
      <c r="O89" s="41"/>
      <c r="P89" s="41">
        <f>IF(B89="[V]",1,0)</f>
        <v>0</v>
      </c>
      <c r="Q89" s="41"/>
      <c r="R89" s="41"/>
      <c r="S89" s="41"/>
      <c r="T89" s="41"/>
      <c r="U89" s="41"/>
    </row>
    <row r="90" spans="1:21" s="2" customFormat="1" ht="34.9" customHeight="1" x14ac:dyDescent="0.3">
      <c r="A90" s="63"/>
      <c r="B90" s="42" t="s">
        <v>88</v>
      </c>
      <c r="C90" s="87" t="s">
        <v>117</v>
      </c>
      <c r="D90" s="87"/>
      <c r="E90" s="87"/>
      <c r="F90" s="87"/>
      <c r="G90" s="87"/>
      <c r="H90" s="89"/>
      <c r="I90" s="89"/>
      <c r="J90" s="89"/>
      <c r="K90" s="89"/>
      <c r="L90" s="89"/>
      <c r="M90" s="90"/>
      <c r="N90" s="44" t="str">
        <f t="shared" si="9"/>
        <v/>
      </c>
      <c r="O90" s="41">
        <f>IF(B90="[V]",1,0)</f>
        <v>0</v>
      </c>
      <c r="P90" s="41"/>
      <c r="Q90" s="41"/>
      <c r="R90" s="41"/>
      <c r="S90" s="41"/>
      <c r="T90" s="41"/>
      <c r="U90" s="41"/>
    </row>
    <row r="91" spans="1:21" s="2" customFormat="1" ht="55.15" customHeight="1" x14ac:dyDescent="0.3">
      <c r="A91" s="112" t="s">
        <v>28</v>
      </c>
      <c r="B91" s="113"/>
      <c r="C91" s="113"/>
      <c r="D91" s="113"/>
      <c r="E91" s="113"/>
      <c r="F91" s="113"/>
      <c r="G91" s="114"/>
      <c r="H91" s="42" t="s">
        <v>88</v>
      </c>
      <c r="I91" s="52" t="s">
        <v>89</v>
      </c>
      <c r="J91" s="42" t="s">
        <v>88</v>
      </c>
      <c r="K91" s="52" t="s">
        <v>87</v>
      </c>
      <c r="L91" s="52"/>
      <c r="M91" s="62"/>
      <c r="N91" s="44" t="str">
        <f t="shared" si="9"/>
        <v/>
      </c>
      <c r="O91" s="41"/>
      <c r="P91" s="41"/>
      <c r="Q91" s="41"/>
      <c r="R91" s="41">
        <f>IF(H91="[V]",1,0)</f>
        <v>0</v>
      </c>
      <c r="S91" s="41"/>
      <c r="T91" s="41"/>
      <c r="U91" s="41">
        <f>IF(J91="[V]",1,0)</f>
        <v>0</v>
      </c>
    </row>
    <row r="92" spans="1:21" s="2" customFormat="1" ht="17.25" customHeight="1" x14ac:dyDescent="0.3">
      <c r="A92" s="152" t="s">
        <v>29</v>
      </c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4"/>
      <c r="N92" s="44" t="str">
        <f t="shared" si="9"/>
        <v/>
      </c>
      <c r="O92" s="41"/>
      <c r="P92" s="41"/>
      <c r="Q92" s="41"/>
      <c r="R92" s="41"/>
      <c r="S92" s="41"/>
      <c r="T92" s="41"/>
      <c r="U92" s="41"/>
    </row>
    <row r="93" spans="1:21" s="2" customFormat="1" ht="14.25" x14ac:dyDescent="0.3">
      <c r="A93" s="155" t="s">
        <v>30</v>
      </c>
      <c r="B93" s="89"/>
      <c r="C93" s="89"/>
      <c r="D93" s="89"/>
      <c r="E93" s="89"/>
      <c r="F93" s="89"/>
      <c r="G93" s="90"/>
      <c r="H93" s="51" t="s">
        <v>88</v>
      </c>
      <c r="I93" s="52" t="s">
        <v>89</v>
      </c>
      <c r="J93" s="53" t="s">
        <v>88</v>
      </c>
      <c r="K93" s="52" t="s">
        <v>87</v>
      </c>
      <c r="L93" s="27"/>
      <c r="M93" s="28"/>
      <c r="N93" s="44" t="str">
        <f t="shared" si="9"/>
        <v/>
      </c>
      <c r="O93" s="41"/>
      <c r="P93" s="41"/>
      <c r="Q93" s="41"/>
      <c r="R93" s="41">
        <f t="shared" ref="R93:R98" si="12">IF(H93="[V]",1,0)</f>
        <v>0</v>
      </c>
      <c r="S93" s="41"/>
      <c r="T93" s="41"/>
      <c r="U93" s="41">
        <f t="shared" ref="U93:U98" si="13">IF(J93="[V]",1,0)</f>
        <v>0</v>
      </c>
    </row>
    <row r="94" spans="1:21" s="2" customFormat="1" ht="55.15" customHeight="1" x14ac:dyDescent="0.3">
      <c r="A94" s="112" t="s">
        <v>31</v>
      </c>
      <c r="B94" s="113"/>
      <c r="C94" s="113"/>
      <c r="D94" s="113"/>
      <c r="E94" s="113"/>
      <c r="F94" s="113"/>
      <c r="G94" s="114"/>
      <c r="H94" s="51" t="s">
        <v>88</v>
      </c>
      <c r="I94" s="52" t="s">
        <v>89</v>
      </c>
      <c r="J94" s="53" t="s">
        <v>88</v>
      </c>
      <c r="K94" s="52" t="s">
        <v>87</v>
      </c>
      <c r="L94" s="27"/>
      <c r="M94" s="28"/>
      <c r="N94" s="44" t="str">
        <f t="shared" si="9"/>
        <v/>
      </c>
      <c r="O94" s="41"/>
      <c r="P94" s="41"/>
      <c r="Q94" s="41"/>
      <c r="R94" s="41">
        <f t="shared" si="12"/>
        <v>0</v>
      </c>
      <c r="S94" s="41"/>
      <c r="T94" s="41"/>
      <c r="U94" s="41">
        <f t="shared" si="13"/>
        <v>0</v>
      </c>
    </row>
    <row r="95" spans="1:21" s="2" customFormat="1" ht="32.450000000000003" customHeight="1" x14ac:dyDescent="0.3">
      <c r="A95" s="112" t="s">
        <v>32</v>
      </c>
      <c r="B95" s="113"/>
      <c r="C95" s="113"/>
      <c r="D95" s="113"/>
      <c r="E95" s="113"/>
      <c r="F95" s="113"/>
      <c r="G95" s="114"/>
      <c r="H95" s="51" t="s">
        <v>88</v>
      </c>
      <c r="I95" s="52" t="s">
        <v>89</v>
      </c>
      <c r="J95" s="53" t="s">
        <v>88</v>
      </c>
      <c r="K95" s="52" t="s">
        <v>87</v>
      </c>
      <c r="L95" s="27"/>
      <c r="M95" s="28"/>
      <c r="N95" s="44" t="str">
        <f t="shared" si="9"/>
        <v/>
      </c>
      <c r="O95" s="41"/>
      <c r="P95" s="41"/>
      <c r="Q95" s="41"/>
      <c r="R95" s="41">
        <f t="shared" si="12"/>
        <v>0</v>
      </c>
      <c r="S95" s="41"/>
      <c r="T95" s="41"/>
      <c r="U95" s="41">
        <f t="shared" si="13"/>
        <v>0</v>
      </c>
    </row>
    <row r="96" spans="1:21" s="2" customFormat="1" ht="39.950000000000003" customHeight="1" x14ac:dyDescent="0.3">
      <c r="A96" s="112" t="s">
        <v>33</v>
      </c>
      <c r="B96" s="113"/>
      <c r="C96" s="113"/>
      <c r="D96" s="113"/>
      <c r="E96" s="113"/>
      <c r="F96" s="113"/>
      <c r="G96" s="114"/>
      <c r="H96" s="51" t="s">
        <v>88</v>
      </c>
      <c r="I96" s="52" t="s">
        <v>89</v>
      </c>
      <c r="J96" s="53" t="s">
        <v>88</v>
      </c>
      <c r="K96" s="52" t="s">
        <v>87</v>
      </c>
      <c r="L96" s="27"/>
      <c r="M96" s="28"/>
      <c r="N96" s="44" t="str">
        <f t="shared" si="9"/>
        <v/>
      </c>
      <c r="O96" s="41"/>
      <c r="P96" s="41"/>
      <c r="Q96" s="41"/>
      <c r="R96" s="41">
        <f t="shared" si="12"/>
        <v>0</v>
      </c>
      <c r="S96" s="41"/>
      <c r="T96" s="41"/>
      <c r="U96" s="41">
        <f t="shared" si="13"/>
        <v>0</v>
      </c>
    </row>
    <row r="97" spans="1:21" s="2" customFormat="1" ht="39.950000000000003" customHeight="1" x14ac:dyDescent="0.3">
      <c r="A97" s="112" t="s">
        <v>34</v>
      </c>
      <c r="B97" s="113"/>
      <c r="C97" s="113"/>
      <c r="D97" s="113"/>
      <c r="E97" s="113"/>
      <c r="F97" s="113"/>
      <c r="G97" s="114"/>
      <c r="H97" s="51" t="s">
        <v>88</v>
      </c>
      <c r="I97" s="52" t="s">
        <v>89</v>
      </c>
      <c r="J97" s="53" t="s">
        <v>88</v>
      </c>
      <c r="K97" s="52" t="s">
        <v>87</v>
      </c>
      <c r="L97" s="27"/>
      <c r="M97" s="28"/>
      <c r="N97" s="44" t="str">
        <f t="shared" si="9"/>
        <v/>
      </c>
      <c r="O97" s="41"/>
      <c r="P97" s="41"/>
      <c r="Q97" s="41"/>
      <c r="R97" s="41">
        <f t="shared" si="12"/>
        <v>0</v>
      </c>
      <c r="S97" s="41"/>
      <c r="T97" s="41"/>
      <c r="U97" s="41">
        <f t="shared" si="13"/>
        <v>0</v>
      </c>
    </row>
    <row r="98" spans="1:21" s="2" customFormat="1" ht="37.9" customHeight="1" x14ac:dyDescent="0.3">
      <c r="A98" s="112" t="s">
        <v>35</v>
      </c>
      <c r="B98" s="113"/>
      <c r="C98" s="113"/>
      <c r="D98" s="113"/>
      <c r="E98" s="113"/>
      <c r="F98" s="113"/>
      <c r="G98" s="114"/>
      <c r="H98" s="51" t="s">
        <v>88</v>
      </c>
      <c r="I98" s="52" t="s">
        <v>89</v>
      </c>
      <c r="J98" s="53" t="s">
        <v>88</v>
      </c>
      <c r="K98" s="52" t="s">
        <v>87</v>
      </c>
      <c r="L98" s="27"/>
      <c r="M98" s="28"/>
      <c r="N98" s="44" t="str">
        <f t="shared" si="9"/>
        <v/>
      </c>
      <c r="O98" s="41"/>
      <c r="P98" s="41"/>
      <c r="Q98" s="41"/>
      <c r="R98" s="41">
        <f t="shared" si="12"/>
        <v>0</v>
      </c>
      <c r="S98" s="41"/>
      <c r="T98" s="41"/>
      <c r="U98" s="41">
        <f t="shared" si="13"/>
        <v>0</v>
      </c>
    </row>
    <row r="99" spans="1:21" s="2" customFormat="1" ht="19.5" customHeight="1" x14ac:dyDescent="0.3">
      <c r="A99" s="136" t="s">
        <v>36</v>
      </c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8"/>
      <c r="N99" s="44" t="str">
        <f t="shared" si="9"/>
        <v/>
      </c>
      <c r="O99" s="41"/>
      <c r="P99" s="41"/>
      <c r="Q99" s="41"/>
      <c r="R99" s="41"/>
      <c r="S99" s="41"/>
      <c r="T99" s="41"/>
      <c r="U99" s="41"/>
    </row>
    <row r="100" spans="1:21" s="2" customFormat="1" ht="14.25" x14ac:dyDescent="0.3">
      <c r="A100" s="54"/>
      <c r="B100" s="42" t="s">
        <v>88</v>
      </c>
      <c r="C100" s="86" t="s">
        <v>91</v>
      </c>
      <c r="D100" s="86"/>
      <c r="E100" s="86"/>
      <c r="F100" s="86"/>
      <c r="G100" s="86"/>
      <c r="H100" s="86"/>
      <c r="I100" s="86"/>
      <c r="J100" s="86"/>
      <c r="K100" s="86"/>
      <c r="L100" s="86"/>
      <c r="M100" s="132"/>
      <c r="N100" s="44" t="str">
        <f t="shared" si="9"/>
        <v/>
      </c>
      <c r="O100" s="41"/>
      <c r="P100" s="41"/>
      <c r="Q100" s="41">
        <f>IF(B100="[V]",1,0)</f>
        <v>0</v>
      </c>
      <c r="R100" s="41"/>
      <c r="S100" s="41"/>
      <c r="T100" s="41"/>
      <c r="U100" s="41"/>
    </row>
    <row r="101" spans="1:21" s="2" customFormat="1" ht="14.25" x14ac:dyDescent="0.3">
      <c r="A101" s="54"/>
      <c r="B101" s="42" t="s">
        <v>88</v>
      </c>
      <c r="C101" s="86" t="s">
        <v>92</v>
      </c>
      <c r="D101" s="86"/>
      <c r="E101" s="86"/>
      <c r="F101" s="86"/>
      <c r="G101" s="86"/>
      <c r="H101" s="86"/>
      <c r="I101" s="86"/>
      <c r="J101" s="86"/>
      <c r="K101" s="86"/>
      <c r="L101" s="86"/>
      <c r="M101" s="132"/>
      <c r="N101" s="44" t="str">
        <f t="shared" si="9"/>
        <v/>
      </c>
      <c r="O101" s="41"/>
      <c r="P101" s="41"/>
      <c r="Q101" s="41">
        <f t="shared" ref="Q101:Q102" si="14">IF(B101="[V]",1,0)</f>
        <v>0</v>
      </c>
      <c r="R101" s="41"/>
      <c r="S101" s="41"/>
      <c r="T101" s="41"/>
      <c r="U101" s="41"/>
    </row>
    <row r="102" spans="1:21" s="2" customFormat="1" ht="14.25" x14ac:dyDescent="0.3">
      <c r="A102" s="54"/>
      <c r="B102" s="42" t="s">
        <v>88</v>
      </c>
      <c r="C102" s="86" t="s">
        <v>93</v>
      </c>
      <c r="D102" s="86"/>
      <c r="E102" s="86"/>
      <c r="F102" s="86"/>
      <c r="G102" s="86"/>
      <c r="H102" s="86"/>
      <c r="I102" s="86"/>
      <c r="J102" s="86"/>
      <c r="K102" s="86"/>
      <c r="L102" s="86"/>
      <c r="M102" s="132"/>
      <c r="N102" s="44" t="str">
        <f t="shared" si="9"/>
        <v/>
      </c>
      <c r="O102" s="41"/>
      <c r="P102" s="41"/>
      <c r="Q102" s="41">
        <f t="shared" si="14"/>
        <v>0</v>
      </c>
      <c r="R102" s="41"/>
      <c r="S102" s="41"/>
      <c r="T102" s="41"/>
      <c r="U102" s="41"/>
    </row>
    <row r="103" spans="1:21" s="2" customFormat="1" ht="14.25" x14ac:dyDescent="0.3">
      <c r="A103" s="54"/>
      <c r="B103" s="42" t="s">
        <v>88</v>
      </c>
      <c r="C103" s="86" t="s">
        <v>94</v>
      </c>
      <c r="D103" s="86"/>
      <c r="E103" s="86"/>
      <c r="F103" s="86"/>
      <c r="G103" s="86"/>
      <c r="H103" s="86"/>
      <c r="I103" s="86"/>
      <c r="J103" s="86"/>
      <c r="K103" s="86"/>
      <c r="L103" s="86"/>
      <c r="M103" s="132"/>
      <c r="N103" s="44" t="str">
        <f t="shared" si="9"/>
        <v/>
      </c>
      <c r="O103" s="41"/>
      <c r="P103" s="41">
        <f>IF(B103="[V]",1,0)</f>
        <v>0</v>
      </c>
      <c r="Q103" s="41"/>
      <c r="R103" s="41"/>
      <c r="S103" s="41"/>
      <c r="T103" s="41"/>
      <c r="U103" s="41"/>
    </row>
    <row r="104" spans="1:21" s="2" customFormat="1" ht="72" customHeight="1" x14ac:dyDescent="0.3">
      <c r="A104" s="57"/>
      <c r="B104" s="42" t="s">
        <v>88</v>
      </c>
      <c r="C104" s="87" t="s">
        <v>118</v>
      </c>
      <c r="D104" s="87"/>
      <c r="E104" s="87"/>
      <c r="F104" s="87"/>
      <c r="G104" s="87"/>
      <c r="H104" s="89"/>
      <c r="I104" s="89"/>
      <c r="J104" s="89"/>
      <c r="K104" s="89"/>
      <c r="L104" s="89"/>
      <c r="M104" s="90"/>
      <c r="N104" s="44" t="str">
        <f t="shared" si="9"/>
        <v/>
      </c>
      <c r="O104" s="41">
        <f>IF(B104="[V]",1,0)</f>
        <v>0</v>
      </c>
      <c r="P104" s="41"/>
      <c r="Q104" s="41"/>
      <c r="R104" s="41"/>
      <c r="S104" s="41"/>
      <c r="T104" s="41"/>
      <c r="U104" s="41"/>
    </row>
    <row r="105" spans="1:21" s="2" customFormat="1" ht="14.25" x14ac:dyDescent="0.3">
      <c r="A105" s="139" t="s">
        <v>37</v>
      </c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1"/>
      <c r="N105" s="44" t="str">
        <f t="shared" si="9"/>
        <v/>
      </c>
      <c r="O105" s="41"/>
      <c r="P105" s="41"/>
      <c r="Q105" s="41"/>
      <c r="R105" s="41"/>
      <c r="S105" s="41"/>
      <c r="T105" s="41"/>
      <c r="U105" s="41"/>
    </row>
    <row r="106" spans="1:21" s="2" customFormat="1" ht="14.25" x14ac:dyDescent="0.3">
      <c r="A106" s="54"/>
      <c r="B106" s="42" t="s">
        <v>88</v>
      </c>
      <c r="C106" s="86" t="s">
        <v>91</v>
      </c>
      <c r="D106" s="86"/>
      <c r="E106" s="86"/>
      <c r="F106" s="86"/>
      <c r="G106" s="86"/>
      <c r="H106" s="86"/>
      <c r="I106" s="86"/>
      <c r="J106" s="86"/>
      <c r="K106" s="86"/>
      <c r="L106" s="86"/>
      <c r="M106" s="132"/>
      <c r="N106" s="44" t="str">
        <f t="shared" si="9"/>
        <v/>
      </c>
      <c r="O106" s="41"/>
      <c r="P106" s="41"/>
      <c r="Q106" s="41">
        <f>IF(B106="[V]",1,0)</f>
        <v>0</v>
      </c>
      <c r="R106" s="41"/>
      <c r="S106" s="41"/>
      <c r="T106" s="41"/>
      <c r="U106" s="41"/>
    </row>
    <row r="107" spans="1:21" s="2" customFormat="1" ht="14.25" x14ac:dyDescent="0.3">
      <c r="A107" s="54"/>
      <c r="B107" s="42" t="s">
        <v>88</v>
      </c>
      <c r="C107" s="86" t="s">
        <v>92</v>
      </c>
      <c r="D107" s="86"/>
      <c r="E107" s="86"/>
      <c r="F107" s="86"/>
      <c r="G107" s="86"/>
      <c r="H107" s="86"/>
      <c r="I107" s="86"/>
      <c r="J107" s="86"/>
      <c r="K107" s="86"/>
      <c r="L107" s="86"/>
      <c r="M107" s="132"/>
      <c r="N107" s="44" t="str">
        <f t="shared" si="9"/>
        <v/>
      </c>
      <c r="O107" s="41"/>
      <c r="P107" s="41"/>
      <c r="Q107" s="41">
        <f t="shared" ref="Q107:Q108" si="15">IF(B107="[V]",1,0)</f>
        <v>0</v>
      </c>
      <c r="R107" s="41"/>
      <c r="S107" s="41"/>
      <c r="T107" s="41"/>
      <c r="U107" s="41"/>
    </row>
    <row r="108" spans="1:21" s="2" customFormat="1" ht="14.25" x14ac:dyDescent="0.3">
      <c r="A108" s="54"/>
      <c r="B108" s="42" t="s">
        <v>88</v>
      </c>
      <c r="C108" s="86" t="s">
        <v>93</v>
      </c>
      <c r="D108" s="86"/>
      <c r="E108" s="86"/>
      <c r="F108" s="86"/>
      <c r="G108" s="86"/>
      <c r="H108" s="86"/>
      <c r="I108" s="86"/>
      <c r="J108" s="86"/>
      <c r="K108" s="86"/>
      <c r="L108" s="86"/>
      <c r="M108" s="132"/>
      <c r="N108" s="44" t="str">
        <f t="shared" si="9"/>
        <v/>
      </c>
      <c r="O108" s="41"/>
      <c r="P108" s="41"/>
      <c r="Q108" s="41">
        <f t="shared" si="15"/>
        <v>0</v>
      </c>
      <c r="R108" s="41"/>
      <c r="S108" s="41"/>
      <c r="T108" s="41"/>
      <c r="U108" s="41"/>
    </row>
    <row r="109" spans="1:21" s="2" customFormat="1" ht="14.25" x14ac:dyDescent="0.3">
      <c r="A109" s="54"/>
      <c r="B109" s="42" t="s">
        <v>88</v>
      </c>
      <c r="C109" s="86" t="s">
        <v>94</v>
      </c>
      <c r="D109" s="86"/>
      <c r="E109" s="86"/>
      <c r="F109" s="86"/>
      <c r="G109" s="86"/>
      <c r="H109" s="86"/>
      <c r="I109" s="86"/>
      <c r="J109" s="86"/>
      <c r="K109" s="86"/>
      <c r="L109" s="86"/>
      <c r="M109" s="132"/>
      <c r="N109" s="44" t="str">
        <f t="shared" si="9"/>
        <v/>
      </c>
      <c r="O109" s="41"/>
      <c r="P109" s="41">
        <f>IF(B109="[V]",1,0)</f>
        <v>0</v>
      </c>
      <c r="Q109" s="41"/>
      <c r="R109" s="41"/>
      <c r="S109" s="41"/>
      <c r="T109" s="41"/>
      <c r="U109" s="41"/>
    </row>
    <row r="110" spans="1:21" s="2" customFormat="1" ht="55.9" customHeight="1" x14ac:dyDescent="0.3">
      <c r="A110" s="57"/>
      <c r="B110" s="42" t="s">
        <v>88</v>
      </c>
      <c r="C110" s="87" t="s">
        <v>119</v>
      </c>
      <c r="D110" s="87"/>
      <c r="E110" s="87"/>
      <c r="F110" s="87"/>
      <c r="G110" s="87"/>
      <c r="H110" s="89"/>
      <c r="I110" s="89"/>
      <c r="J110" s="89"/>
      <c r="K110" s="89"/>
      <c r="L110" s="89"/>
      <c r="M110" s="90"/>
      <c r="N110" s="44" t="str">
        <f t="shared" si="9"/>
        <v/>
      </c>
      <c r="O110" s="41">
        <f>IF(B110="[V]",1,0)</f>
        <v>0</v>
      </c>
      <c r="P110" s="41"/>
      <c r="Q110" s="41"/>
      <c r="R110" s="41"/>
      <c r="S110" s="41"/>
      <c r="T110" s="41"/>
      <c r="U110" s="41"/>
    </row>
    <row r="111" spans="1:21" s="2" customFormat="1" ht="14.25" x14ac:dyDescent="0.3">
      <c r="A111" s="136" t="s">
        <v>38</v>
      </c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8"/>
      <c r="N111" s="44" t="str">
        <f t="shared" si="9"/>
        <v/>
      </c>
      <c r="O111" s="41"/>
      <c r="P111" s="41"/>
      <c r="Q111" s="41"/>
      <c r="R111" s="41"/>
      <c r="S111" s="41"/>
      <c r="T111" s="41"/>
      <c r="U111" s="41"/>
    </row>
    <row r="112" spans="1:21" s="2" customFormat="1" ht="14.25" x14ac:dyDescent="0.3">
      <c r="A112" s="1"/>
      <c r="B112" s="42" t="s">
        <v>88</v>
      </c>
      <c r="C112" s="111" t="s">
        <v>91</v>
      </c>
      <c r="D112" s="111"/>
      <c r="E112" s="111"/>
      <c r="F112" s="111"/>
      <c r="G112" s="111"/>
      <c r="H112" s="111"/>
      <c r="I112" s="111"/>
      <c r="J112" s="111"/>
      <c r="K112" s="111"/>
      <c r="L112" s="111"/>
      <c r="M112" s="147"/>
      <c r="N112" s="44" t="str">
        <f t="shared" si="9"/>
        <v/>
      </c>
      <c r="O112" s="41"/>
      <c r="P112" s="41"/>
      <c r="Q112" s="41">
        <f>IF(B112="[V]",1,0)</f>
        <v>0</v>
      </c>
      <c r="R112" s="41"/>
      <c r="S112" s="41"/>
      <c r="T112" s="41"/>
      <c r="U112" s="41"/>
    </row>
    <row r="113" spans="1:21" s="2" customFormat="1" ht="14.25" x14ac:dyDescent="0.3">
      <c r="A113" s="1"/>
      <c r="B113" s="42" t="s">
        <v>88</v>
      </c>
      <c r="C113" s="111" t="s">
        <v>92</v>
      </c>
      <c r="D113" s="111"/>
      <c r="E113" s="111"/>
      <c r="F113" s="111"/>
      <c r="G113" s="111"/>
      <c r="H113" s="111"/>
      <c r="I113" s="111"/>
      <c r="J113" s="111"/>
      <c r="K113" s="111"/>
      <c r="L113" s="111"/>
      <c r="M113" s="147"/>
      <c r="N113" s="44" t="str">
        <f t="shared" si="9"/>
        <v/>
      </c>
      <c r="O113" s="41"/>
      <c r="P113" s="41"/>
      <c r="Q113" s="41">
        <f t="shared" ref="Q113:Q114" si="16">IF(B113="[V]",1,0)</f>
        <v>0</v>
      </c>
      <c r="R113" s="41"/>
      <c r="S113" s="41"/>
      <c r="T113" s="41"/>
      <c r="U113" s="41"/>
    </row>
    <row r="114" spans="1:21" s="2" customFormat="1" ht="14.25" x14ac:dyDescent="0.3">
      <c r="A114" s="1"/>
      <c r="B114" s="42" t="s">
        <v>88</v>
      </c>
      <c r="C114" s="111" t="s">
        <v>93</v>
      </c>
      <c r="D114" s="111"/>
      <c r="E114" s="111"/>
      <c r="F114" s="111"/>
      <c r="G114" s="111"/>
      <c r="H114" s="111"/>
      <c r="I114" s="111"/>
      <c r="J114" s="111"/>
      <c r="K114" s="111"/>
      <c r="L114" s="111"/>
      <c r="M114" s="147"/>
      <c r="N114" s="44" t="str">
        <f t="shared" si="9"/>
        <v/>
      </c>
      <c r="O114" s="41"/>
      <c r="P114" s="41"/>
      <c r="Q114" s="41">
        <f t="shared" si="16"/>
        <v>0</v>
      </c>
      <c r="R114" s="41"/>
      <c r="S114" s="41"/>
      <c r="T114" s="41"/>
      <c r="U114" s="41"/>
    </row>
    <row r="115" spans="1:21" s="2" customFormat="1" ht="14.25" x14ac:dyDescent="0.3">
      <c r="A115" s="1"/>
      <c r="B115" s="42" t="s">
        <v>88</v>
      </c>
      <c r="C115" s="111" t="s">
        <v>94</v>
      </c>
      <c r="D115" s="111"/>
      <c r="E115" s="111"/>
      <c r="F115" s="111"/>
      <c r="G115" s="111"/>
      <c r="H115" s="111"/>
      <c r="I115" s="111"/>
      <c r="J115" s="111"/>
      <c r="K115" s="111"/>
      <c r="L115" s="111"/>
      <c r="M115" s="147"/>
      <c r="N115" s="44" t="str">
        <f t="shared" si="9"/>
        <v/>
      </c>
      <c r="O115" s="41"/>
      <c r="P115" s="41">
        <f>IF(B115="[V]",1,0)</f>
        <v>0</v>
      </c>
      <c r="Q115" s="41"/>
      <c r="R115" s="41"/>
      <c r="S115" s="41"/>
      <c r="T115" s="41"/>
      <c r="U115" s="41"/>
    </row>
    <row r="116" spans="1:21" s="2" customFormat="1" ht="14.25" x14ac:dyDescent="0.3">
      <c r="A116" s="6"/>
      <c r="B116" s="42" t="s">
        <v>88</v>
      </c>
      <c r="C116" s="148" t="s">
        <v>120</v>
      </c>
      <c r="D116" s="148"/>
      <c r="E116" s="148"/>
      <c r="F116" s="148"/>
      <c r="G116" s="148"/>
      <c r="H116" s="149"/>
      <c r="I116" s="149"/>
      <c r="J116" s="149"/>
      <c r="K116" s="149"/>
      <c r="L116" s="149"/>
      <c r="M116" s="150"/>
      <c r="N116" s="44" t="str">
        <f t="shared" si="9"/>
        <v/>
      </c>
      <c r="O116" s="41">
        <f>IF(B116="[V]",1,0)</f>
        <v>0</v>
      </c>
      <c r="P116" s="41"/>
      <c r="Q116" s="41"/>
      <c r="R116" s="41"/>
      <c r="S116" s="41"/>
      <c r="T116" s="41"/>
      <c r="U116" s="41"/>
    </row>
    <row r="117" spans="1:21" s="2" customFormat="1" ht="39.950000000000003" customHeight="1" x14ac:dyDescent="0.3">
      <c r="A117" s="112" t="s">
        <v>39</v>
      </c>
      <c r="B117" s="113"/>
      <c r="C117" s="113"/>
      <c r="D117" s="113"/>
      <c r="E117" s="113"/>
      <c r="F117" s="113"/>
      <c r="G117" s="114"/>
      <c r="H117" s="42" t="s">
        <v>88</v>
      </c>
      <c r="I117" s="52" t="s">
        <v>89</v>
      </c>
      <c r="J117" s="42" t="s">
        <v>88</v>
      </c>
      <c r="K117" s="52" t="s">
        <v>87</v>
      </c>
      <c r="L117" s="52"/>
      <c r="M117" s="62"/>
      <c r="N117" s="44" t="str">
        <f t="shared" si="9"/>
        <v/>
      </c>
      <c r="O117" s="41"/>
      <c r="P117" s="41"/>
      <c r="Q117" s="41"/>
      <c r="R117" s="41">
        <f>IF(H117="[V]",1,0)</f>
        <v>0</v>
      </c>
      <c r="S117" s="41"/>
      <c r="T117" s="41"/>
      <c r="U117" s="41">
        <f>IF(J117="[V]",1,0)</f>
        <v>0</v>
      </c>
    </row>
    <row r="118" spans="1:21" s="2" customFormat="1" ht="15.6" customHeight="1" x14ac:dyDescent="0.3">
      <c r="A118" s="144" t="s">
        <v>40</v>
      </c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6"/>
      <c r="N118" s="44" t="str">
        <f t="shared" si="9"/>
        <v/>
      </c>
      <c r="O118" s="41"/>
      <c r="P118" s="41"/>
      <c r="Q118" s="41"/>
      <c r="R118" s="41"/>
      <c r="S118" s="41"/>
      <c r="T118" s="41"/>
      <c r="U118" s="41"/>
    </row>
    <row r="119" spans="1:21" s="2" customFormat="1" ht="39.950000000000003" customHeight="1" x14ac:dyDescent="0.3">
      <c r="A119" s="151" t="s">
        <v>41</v>
      </c>
      <c r="B119" s="87"/>
      <c r="C119" s="87"/>
      <c r="D119" s="87"/>
      <c r="E119" s="87"/>
      <c r="F119" s="87"/>
      <c r="G119" s="88"/>
      <c r="H119" s="42" t="s">
        <v>88</v>
      </c>
      <c r="I119" s="52" t="s">
        <v>89</v>
      </c>
      <c r="J119" s="42" t="s">
        <v>88</v>
      </c>
      <c r="K119" s="52" t="s">
        <v>87</v>
      </c>
      <c r="L119" s="52"/>
      <c r="M119" s="62"/>
      <c r="N119" s="44" t="str">
        <f t="shared" si="9"/>
        <v/>
      </c>
      <c r="O119" s="41"/>
      <c r="P119" s="41"/>
      <c r="Q119" s="41"/>
      <c r="R119" s="41">
        <f>IF(H119="[V]",1,0)</f>
        <v>0</v>
      </c>
      <c r="S119" s="41"/>
      <c r="T119" s="41"/>
      <c r="U119" s="41">
        <f>IF(J119="[V]",1,0)</f>
        <v>0</v>
      </c>
    </row>
    <row r="120" spans="1:21" s="2" customFormat="1" ht="39.950000000000003" customHeight="1" x14ac:dyDescent="0.3">
      <c r="A120" s="123" t="s">
        <v>42</v>
      </c>
      <c r="B120" s="124"/>
      <c r="C120" s="124"/>
      <c r="D120" s="124"/>
      <c r="E120" s="124"/>
      <c r="F120" s="124"/>
      <c r="G120" s="125"/>
      <c r="H120" s="51" t="s">
        <v>88</v>
      </c>
      <c r="I120" s="52" t="s">
        <v>89</v>
      </c>
      <c r="J120" s="53" t="s">
        <v>88</v>
      </c>
      <c r="K120" s="52" t="s">
        <v>87</v>
      </c>
      <c r="L120" s="52"/>
      <c r="M120" s="62"/>
      <c r="N120" s="44" t="str">
        <f t="shared" si="9"/>
        <v/>
      </c>
      <c r="O120" s="41"/>
      <c r="P120" s="41"/>
      <c r="Q120" s="41"/>
      <c r="R120" s="41">
        <f>IF(H120="[V]",1,0)</f>
        <v>0</v>
      </c>
      <c r="S120" s="41"/>
      <c r="T120" s="41"/>
      <c r="U120" s="41">
        <f>IF(J120="[V]",1,0)</f>
        <v>0</v>
      </c>
    </row>
    <row r="121" spans="1:21" s="2" customFormat="1" ht="14.25" x14ac:dyDescent="0.3">
      <c r="A121" s="123" t="s">
        <v>43</v>
      </c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5"/>
      <c r="N121" s="44" t="str">
        <f t="shared" si="9"/>
        <v/>
      </c>
      <c r="O121" s="41"/>
      <c r="P121" s="41"/>
      <c r="Q121" s="41"/>
      <c r="R121" s="41"/>
      <c r="S121" s="41"/>
      <c r="T121" s="41"/>
      <c r="U121" s="41"/>
    </row>
    <row r="122" spans="1:21" s="2" customFormat="1" ht="18.600000000000001" customHeight="1" x14ac:dyDescent="0.3">
      <c r="A122" s="63"/>
      <c r="B122" s="42" t="s">
        <v>88</v>
      </c>
      <c r="C122" s="87" t="s">
        <v>121</v>
      </c>
      <c r="D122" s="87"/>
      <c r="E122" s="87"/>
      <c r="F122" s="87"/>
      <c r="G122" s="87"/>
      <c r="H122" s="87"/>
      <c r="I122" s="87"/>
      <c r="J122" s="87"/>
      <c r="K122" s="87"/>
      <c r="L122" s="87"/>
      <c r="M122" s="88"/>
      <c r="N122" s="44" t="str">
        <f t="shared" si="9"/>
        <v/>
      </c>
      <c r="O122" s="41"/>
      <c r="P122" s="41"/>
      <c r="Q122" s="41"/>
      <c r="R122" s="41"/>
      <c r="S122" s="41">
        <f t="shared" ref="S122:S128" si="17">IF(B122="[V]",1,0)</f>
        <v>0</v>
      </c>
      <c r="T122" s="41"/>
      <c r="U122" s="41"/>
    </row>
    <row r="123" spans="1:21" s="2" customFormat="1" ht="15.6" customHeight="1" x14ac:dyDescent="0.3">
      <c r="A123" s="63"/>
      <c r="B123" s="42" t="s">
        <v>88</v>
      </c>
      <c r="C123" s="87" t="s">
        <v>122</v>
      </c>
      <c r="D123" s="87"/>
      <c r="E123" s="87"/>
      <c r="F123" s="87"/>
      <c r="G123" s="87"/>
      <c r="H123" s="87"/>
      <c r="I123" s="87"/>
      <c r="J123" s="87"/>
      <c r="K123" s="87"/>
      <c r="L123" s="87"/>
      <c r="M123" s="88"/>
      <c r="N123" s="44" t="str">
        <f t="shared" si="9"/>
        <v/>
      </c>
      <c r="O123" s="41"/>
      <c r="P123" s="41"/>
      <c r="Q123" s="41"/>
      <c r="R123" s="41"/>
      <c r="S123" s="41">
        <f t="shared" si="17"/>
        <v>0</v>
      </c>
      <c r="T123" s="41"/>
      <c r="U123" s="41"/>
    </row>
    <row r="124" spans="1:21" s="2" customFormat="1" ht="14.25" x14ac:dyDescent="0.3">
      <c r="A124" s="63"/>
      <c r="B124" s="42" t="s">
        <v>88</v>
      </c>
      <c r="C124" s="87" t="s">
        <v>123</v>
      </c>
      <c r="D124" s="87"/>
      <c r="E124" s="87"/>
      <c r="F124" s="87"/>
      <c r="G124" s="87"/>
      <c r="H124" s="87"/>
      <c r="I124" s="87"/>
      <c r="J124" s="87"/>
      <c r="K124" s="87"/>
      <c r="L124" s="87"/>
      <c r="M124" s="88"/>
      <c r="N124" s="44" t="str">
        <f t="shared" si="9"/>
        <v/>
      </c>
      <c r="O124" s="41"/>
      <c r="P124" s="41"/>
      <c r="Q124" s="41"/>
      <c r="R124" s="41"/>
      <c r="S124" s="41">
        <f t="shared" si="17"/>
        <v>0</v>
      </c>
      <c r="T124" s="41"/>
      <c r="U124" s="41"/>
    </row>
    <row r="125" spans="1:21" s="2" customFormat="1" ht="20.100000000000001" customHeight="1" x14ac:dyDescent="0.3">
      <c r="A125" s="63"/>
      <c r="B125" s="42" t="s">
        <v>88</v>
      </c>
      <c r="C125" s="87" t="s">
        <v>124</v>
      </c>
      <c r="D125" s="87"/>
      <c r="E125" s="87"/>
      <c r="F125" s="87"/>
      <c r="G125" s="87"/>
      <c r="H125" s="87"/>
      <c r="I125" s="87"/>
      <c r="J125" s="87"/>
      <c r="K125" s="87"/>
      <c r="L125" s="87"/>
      <c r="M125" s="88"/>
      <c r="N125" s="44" t="str">
        <f t="shared" si="9"/>
        <v/>
      </c>
      <c r="O125" s="41"/>
      <c r="P125" s="41"/>
      <c r="Q125" s="41"/>
      <c r="R125" s="41"/>
      <c r="S125" s="41">
        <f t="shared" si="17"/>
        <v>0</v>
      </c>
      <c r="T125" s="41"/>
      <c r="U125" s="41"/>
    </row>
    <row r="126" spans="1:21" s="2" customFormat="1" ht="14.25" x14ac:dyDescent="0.3">
      <c r="A126" s="63"/>
      <c r="B126" s="42" t="s">
        <v>88</v>
      </c>
      <c r="C126" s="87" t="s">
        <v>125</v>
      </c>
      <c r="D126" s="87"/>
      <c r="E126" s="87"/>
      <c r="F126" s="87"/>
      <c r="G126" s="87"/>
      <c r="H126" s="87"/>
      <c r="I126" s="87"/>
      <c r="J126" s="87"/>
      <c r="K126" s="87"/>
      <c r="L126" s="87"/>
      <c r="M126" s="88"/>
      <c r="N126" s="44" t="str">
        <f t="shared" si="9"/>
        <v/>
      </c>
      <c r="O126" s="41"/>
      <c r="P126" s="41"/>
      <c r="Q126" s="41"/>
      <c r="R126" s="41"/>
      <c r="S126" s="41">
        <f t="shared" si="17"/>
        <v>0</v>
      </c>
      <c r="T126" s="41"/>
      <c r="U126" s="41"/>
    </row>
    <row r="127" spans="1:21" s="2" customFormat="1" ht="16.5" customHeight="1" x14ac:dyDescent="0.3">
      <c r="A127" s="63"/>
      <c r="B127" s="42" t="s">
        <v>88</v>
      </c>
      <c r="C127" s="87" t="s">
        <v>126</v>
      </c>
      <c r="D127" s="87"/>
      <c r="E127" s="87"/>
      <c r="F127" s="87"/>
      <c r="G127" s="87"/>
      <c r="H127" s="87"/>
      <c r="I127" s="87"/>
      <c r="J127" s="87"/>
      <c r="K127" s="87"/>
      <c r="L127" s="87"/>
      <c r="M127" s="88"/>
      <c r="N127" s="44" t="str">
        <f t="shared" si="9"/>
        <v/>
      </c>
      <c r="O127" s="41"/>
      <c r="P127" s="41"/>
      <c r="Q127" s="41"/>
      <c r="R127" s="41"/>
      <c r="S127" s="41">
        <f t="shared" si="17"/>
        <v>0</v>
      </c>
      <c r="T127" s="41"/>
      <c r="U127" s="41"/>
    </row>
    <row r="128" spans="1:21" s="2" customFormat="1" ht="18.75" customHeight="1" x14ac:dyDescent="0.3">
      <c r="A128" s="63"/>
      <c r="B128" s="42" t="s">
        <v>88</v>
      </c>
      <c r="C128" s="87" t="s">
        <v>127</v>
      </c>
      <c r="D128" s="87"/>
      <c r="E128" s="87"/>
      <c r="F128" s="87"/>
      <c r="G128" s="87"/>
      <c r="H128" s="87"/>
      <c r="I128" s="87"/>
      <c r="J128" s="87"/>
      <c r="K128" s="87"/>
      <c r="L128" s="87"/>
      <c r="M128" s="88"/>
      <c r="N128" s="44" t="str">
        <f t="shared" si="9"/>
        <v/>
      </c>
      <c r="O128" s="41"/>
      <c r="P128" s="41"/>
      <c r="Q128" s="41"/>
      <c r="R128" s="41"/>
      <c r="S128" s="41">
        <f t="shared" si="17"/>
        <v>0</v>
      </c>
      <c r="T128" s="41"/>
      <c r="U128" s="41"/>
    </row>
    <row r="129" spans="1:21" s="2" customFormat="1" ht="18.75" customHeight="1" x14ac:dyDescent="0.3">
      <c r="A129" s="64"/>
      <c r="B129" s="56" t="s">
        <v>88</v>
      </c>
      <c r="C129" s="142" t="s">
        <v>110</v>
      </c>
      <c r="D129" s="142"/>
      <c r="E129" s="142"/>
      <c r="F129" s="142"/>
      <c r="G129" s="142"/>
      <c r="H129" s="142"/>
      <c r="I129" s="142"/>
      <c r="J129" s="142"/>
      <c r="K129" s="142"/>
      <c r="L129" s="142"/>
      <c r="M129" s="143"/>
      <c r="N129" s="44" t="str">
        <f t="shared" si="9"/>
        <v/>
      </c>
      <c r="O129" s="41"/>
      <c r="P129" s="41"/>
      <c r="Q129" s="41"/>
      <c r="R129" s="41"/>
      <c r="S129" s="41"/>
      <c r="T129" s="41">
        <f>IF(B129="[v]",1,0)</f>
        <v>0</v>
      </c>
      <c r="U129" s="41"/>
    </row>
    <row r="130" spans="1:21" s="2" customFormat="1" ht="34.9" customHeight="1" x14ac:dyDescent="0.3">
      <c r="A130" s="112" t="s">
        <v>44</v>
      </c>
      <c r="B130" s="113"/>
      <c r="C130" s="113"/>
      <c r="D130" s="113"/>
      <c r="E130" s="113"/>
      <c r="F130" s="113"/>
      <c r="G130" s="114"/>
      <c r="H130" s="51" t="s">
        <v>88</v>
      </c>
      <c r="I130" s="52" t="s">
        <v>89</v>
      </c>
      <c r="J130" s="53" t="s">
        <v>88</v>
      </c>
      <c r="K130" s="52" t="s">
        <v>87</v>
      </c>
      <c r="L130" s="52"/>
      <c r="M130" s="62"/>
      <c r="N130" s="44" t="str">
        <f t="shared" si="9"/>
        <v/>
      </c>
      <c r="O130" s="41"/>
      <c r="P130" s="41"/>
      <c r="Q130" s="41"/>
      <c r="R130" s="41">
        <f>IF(H130="[V]",1,0)</f>
        <v>0</v>
      </c>
      <c r="S130" s="41"/>
      <c r="T130" s="41"/>
      <c r="U130" s="41">
        <f>IF(J130="[V]",1,0)</f>
        <v>0</v>
      </c>
    </row>
    <row r="131" spans="1:21" s="2" customFormat="1" ht="15.6" customHeight="1" x14ac:dyDescent="0.3">
      <c r="A131" s="144" t="s">
        <v>45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6"/>
      <c r="N131" s="44" t="str">
        <f t="shared" si="9"/>
        <v/>
      </c>
      <c r="O131" s="41"/>
      <c r="P131" s="41"/>
      <c r="Q131" s="41"/>
      <c r="R131" s="41"/>
      <c r="S131" s="41"/>
      <c r="T131" s="41"/>
      <c r="U131" s="41"/>
    </row>
    <row r="132" spans="1:21" s="2" customFormat="1" ht="13.5" customHeight="1" x14ac:dyDescent="0.3">
      <c r="A132" s="123" t="s">
        <v>46</v>
      </c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5"/>
      <c r="N132" s="44" t="str">
        <f t="shared" si="9"/>
        <v/>
      </c>
      <c r="O132" s="41"/>
      <c r="P132" s="41"/>
      <c r="Q132" s="41"/>
      <c r="R132" s="41"/>
      <c r="S132" s="41"/>
      <c r="T132" s="41"/>
      <c r="U132" s="41"/>
    </row>
    <row r="133" spans="1:21" s="2" customFormat="1" ht="13.5" customHeight="1" x14ac:dyDescent="0.3">
      <c r="A133" s="65"/>
      <c r="B133" s="42" t="s">
        <v>88</v>
      </c>
      <c r="C133" s="87" t="s">
        <v>128</v>
      </c>
      <c r="D133" s="87"/>
      <c r="E133" s="87"/>
      <c r="F133" s="87"/>
      <c r="G133" s="87"/>
      <c r="H133" s="87"/>
      <c r="I133" s="87"/>
      <c r="J133" s="87"/>
      <c r="K133" s="87"/>
      <c r="L133" s="87"/>
      <c r="M133" s="88"/>
      <c r="N133" s="44" t="str">
        <f t="shared" si="9"/>
        <v/>
      </c>
      <c r="O133" s="41"/>
      <c r="P133" s="41"/>
      <c r="Q133" s="41"/>
      <c r="R133" s="41"/>
      <c r="S133" s="41">
        <f t="shared" ref="S133:S134" si="18">IF(B133="[V]",1,0)</f>
        <v>0</v>
      </c>
      <c r="T133" s="41"/>
      <c r="U133" s="41"/>
    </row>
    <row r="134" spans="1:21" s="2" customFormat="1" ht="15.6" customHeight="1" x14ac:dyDescent="0.3">
      <c r="A134" s="63"/>
      <c r="B134" s="42" t="s">
        <v>88</v>
      </c>
      <c r="C134" s="87" t="s">
        <v>129</v>
      </c>
      <c r="D134" s="87"/>
      <c r="E134" s="87"/>
      <c r="F134" s="87"/>
      <c r="G134" s="87"/>
      <c r="H134" s="87"/>
      <c r="I134" s="87"/>
      <c r="J134" s="87"/>
      <c r="K134" s="87"/>
      <c r="L134" s="87"/>
      <c r="M134" s="88"/>
      <c r="N134" s="44" t="str">
        <f t="shared" si="9"/>
        <v/>
      </c>
      <c r="O134" s="41"/>
      <c r="P134" s="41"/>
      <c r="Q134" s="41"/>
      <c r="R134" s="41"/>
      <c r="S134" s="41">
        <f t="shared" si="18"/>
        <v>0</v>
      </c>
      <c r="T134" s="41"/>
      <c r="U134" s="41"/>
    </row>
    <row r="135" spans="1:21" s="2" customFormat="1" ht="15.6" customHeight="1" x14ac:dyDescent="0.3">
      <c r="A135" s="57"/>
      <c r="B135" s="42" t="s">
        <v>88</v>
      </c>
      <c r="C135" s="87" t="s">
        <v>110</v>
      </c>
      <c r="D135" s="87"/>
      <c r="E135" s="87"/>
      <c r="F135" s="87"/>
      <c r="G135" s="87"/>
      <c r="H135" s="87"/>
      <c r="I135" s="87"/>
      <c r="J135" s="87"/>
      <c r="K135" s="87"/>
      <c r="L135" s="87"/>
      <c r="M135" s="88"/>
      <c r="N135" s="44" t="str">
        <f t="shared" si="9"/>
        <v/>
      </c>
      <c r="O135" s="41"/>
      <c r="P135" s="41"/>
      <c r="Q135" s="41"/>
      <c r="R135" s="41"/>
      <c r="S135" s="41"/>
      <c r="T135" s="41">
        <f>IF(B135="[v]",1,0)</f>
        <v>0</v>
      </c>
      <c r="U135" s="41"/>
    </row>
    <row r="136" spans="1:21" s="2" customFormat="1" ht="14.25" x14ac:dyDescent="0.3">
      <c r="A136" s="123" t="s">
        <v>47</v>
      </c>
      <c r="B136" s="124"/>
      <c r="C136" s="124"/>
      <c r="D136" s="124"/>
      <c r="E136" s="124"/>
      <c r="F136" s="124"/>
      <c r="G136" s="125"/>
      <c r="H136" s="51" t="s">
        <v>88</v>
      </c>
      <c r="I136" s="52" t="s">
        <v>89</v>
      </c>
      <c r="J136" s="53" t="s">
        <v>88</v>
      </c>
      <c r="K136" s="52" t="s">
        <v>87</v>
      </c>
      <c r="L136" s="52"/>
      <c r="M136" s="62"/>
      <c r="N136" s="44" t="str">
        <f t="shared" si="9"/>
        <v/>
      </c>
      <c r="O136" s="41"/>
      <c r="P136" s="41"/>
      <c r="Q136" s="41"/>
      <c r="R136" s="41">
        <f>IF(H136="[V]",1,0)</f>
        <v>0</v>
      </c>
      <c r="S136" s="41"/>
      <c r="T136" s="41"/>
      <c r="U136" s="41">
        <f>IF(J136="[V]",1,0)</f>
        <v>0</v>
      </c>
    </row>
    <row r="137" spans="1:21" s="2" customFormat="1" ht="14.25" x14ac:dyDescent="0.3">
      <c r="A137" s="112" t="s">
        <v>48</v>
      </c>
      <c r="B137" s="113"/>
      <c r="C137" s="113"/>
      <c r="D137" s="113"/>
      <c r="E137" s="113"/>
      <c r="F137" s="113"/>
      <c r="G137" s="114"/>
      <c r="H137" s="51" t="s">
        <v>88</v>
      </c>
      <c r="I137" s="52" t="s">
        <v>89</v>
      </c>
      <c r="J137" s="53" t="s">
        <v>88</v>
      </c>
      <c r="K137" s="52" t="s">
        <v>87</v>
      </c>
      <c r="L137" s="52"/>
      <c r="M137" s="62"/>
      <c r="N137" s="44" t="str">
        <f t="shared" si="9"/>
        <v/>
      </c>
      <c r="O137" s="41"/>
      <c r="P137" s="41"/>
      <c r="Q137" s="41"/>
      <c r="R137" s="41">
        <f>IF(H137="[V]",1,0)</f>
        <v>0</v>
      </c>
      <c r="S137" s="41"/>
      <c r="T137" s="41"/>
      <c r="U137" s="41">
        <f>IF(J137="[V]",1,0)</f>
        <v>0</v>
      </c>
    </row>
    <row r="138" spans="1:21" s="2" customFormat="1" ht="13.5" customHeight="1" x14ac:dyDescent="0.3">
      <c r="A138" s="123" t="s">
        <v>49</v>
      </c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5"/>
      <c r="N138" s="44" t="str">
        <f t="shared" ref="N138:N176" si="19">IF(OR(R138=1,S138=1),"*","")</f>
        <v/>
      </c>
      <c r="O138" s="41"/>
      <c r="P138" s="41"/>
      <c r="Q138" s="41"/>
      <c r="R138" s="41"/>
      <c r="S138" s="41"/>
      <c r="T138" s="41"/>
      <c r="U138" s="41"/>
    </row>
    <row r="139" spans="1:21" s="2" customFormat="1" ht="14.25" x14ac:dyDescent="0.3">
      <c r="A139" s="63"/>
      <c r="B139" s="42" t="s">
        <v>88</v>
      </c>
      <c r="C139" s="87" t="s">
        <v>130</v>
      </c>
      <c r="D139" s="87"/>
      <c r="E139" s="87"/>
      <c r="F139" s="87"/>
      <c r="G139" s="87"/>
      <c r="H139" s="87"/>
      <c r="I139" s="87"/>
      <c r="J139" s="87"/>
      <c r="K139" s="87"/>
      <c r="L139" s="87"/>
      <c r="M139" s="88"/>
      <c r="N139" s="44" t="str">
        <f t="shared" si="19"/>
        <v/>
      </c>
      <c r="O139" s="41"/>
      <c r="P139" s="41"/>
      <c r="Q139" s="41"/>
      <c r="R139" s="41"/>
      <c r="S139" s="41">
        <f t="shared" ref="S139:S142" si="20">IF(B139="[V]",1,0)</f>
        <v>0</v>
      </c>
      <c r="T139" s="41"/>
      <c r="U139" s="41"/>
    </row>
    <row r="140" spans="1:21" s="2" customFormat="1" ht="14.25" x14ac:dyDescent="0.3">
      <c r="A140" s="63"/>
      <c r="B140" s="42" t="s">
        <v>88</v>
      </c>
      <c r="C140" s="87" t="s">
        <v>131</v>
      </c>
      <c r="D140" s="87"/>
      <c r="E140" s="87"/>
      <c r="F140" s="87"/>
      <c r="G140" s="87"/>
      <c r="H140" s="87"/>
      <c r="I140" s="87"/>
      <c r="J140" s="87"/>
      <c r="K140" s="87"/>
      <c r="L140" s="87"/>
      <c r="M140" s="88"/>
      <c r="N140" s="44" t="str">
        <f t="shared" si="19"/>
        <v/>
      </c>
      <c r="O140" s="41"/>
      <c r="P140" s="41"/>
      <c r="Q140" s="41"/>
      <c r="R140" s="41"/>
      <c r="S140" s="41">
        <f t="shared" si="20"/>
        <v>0</v>
      </c>
      <c r="T140" s="41"/>
      <c r="U140" s="41"/>
    </row>
    <row r="141" spans="1:21" s="2" customFormat="1" ht="14.25" x14ac:dyDescent="0.3">
      <c r="A141" s="63"/>
      <c r="B141" s="42" t="s">
        <v>88</v>
      </c>
      <c r="C141" s="87" t="s">
        <v>132</v>
      </c>
      <c r="D141" s="87"/>
      <c r="E141" s="87"/>
      <c r="F141" s="87"/>
      <c r="G141" s="87"/>
      <c r="H141" s="87"/>
      <c r="I141" s="87"/>
      <c r="J141" s="87"/>
      <c r="K141" s="87"/>
      <c r="L141" s="87"/>
      <c r="M141" s="88"/>
      <c r="N141" s="44" t="str">
        <f t="shared" si="19"/>
        <v/>
      </c>
      <c r="O141" s="41"/>
      <c r="P141" s="41"/>
      <c r="Q141" s="41"/>
      <c r="R141" s="41"/>
      <c r="S141" s="41">
        <f t="shared" si="20"/>
        <v>0</v>
      </c>
      <c r="T141" s="41"/>
      <c r="U141" s="41"/>
    </row>
    <row r="142" spans="1:21" s="2" customFormat="1" ht="14.25" x14ac:dyDescent="0.3">
      <c r="A142" s="63"/>
      <c r="B142" s="42" t="s">
        <v>88</v>
      </c>
      <c r="C142" s="87" t="s">
        <v>133</v>
      </c>
      <c r="D142" s="87"/>
      <c r="E142" s="87"/>
      <c r="F142" s="87"/>
      <c r="G142" s="87"/>
      <c r="H142" s="87"/>
      <c r="I142" s="87"/>
      <c r="J142" s="87"/>
      <c r="K142" s="87"/>
      <c r="L142" s="87"/>
      <c r="M142" s="88"/>
      <c r="N142" s="44" t="str">
        <f t="shared" si="19"/>
        <v/>
      </c>
      <c r="O142" s="41"/>
      <c r="P142" s="41"/>
      <c r="Q142" s="41"/>
      <c r="R142" s="41"/>
      <c r="S142" s="41">
        <f t="shared" si="20"/>
        <v>0</v>
      </c>
      <c r="T142" s="41"/>
      <c r="U142" s="41"/>
    </row>
    <row r="143" spans="1:21" s="2" customFormat="1" ht="14.25" x14ac:dyDescent="0.3">
      <c r="A143" s="64"/>
      <c r="B143" s="56" t="s">
        <v>88</v>
      </c>
      <c r="C143" s="142" t="s">
        <v>110</v>
      </c>
      <c r="D143" s="142"/>
      <c r="E143" s="142"/>
      <c r="F143" s="142"/>
      <c r="G143" s="142"/>
      <c r="H143" s="142"/>
      <c r="I143" s="142"/>
      <c r="J143" s="142"/>
      <c r="K143" s="142"/>
      <c r="L143" s="142"/>
      <c r="M143" s="143"/>
      <c r="N143" s="44" t="str">
        <f t="shared" si="19"/>
        <v/>
      </c>
      <c r="O143" s="41"/>
      <c r="P143" s="41"/>
      <c r="Q143" s="41"/>
      <c r="R143" s="41"/>
      <c r="S143" s="41"/>
      <c r="T143" s="41">
        <f>IF(B143="[v]",1,0)</f>
        <v>0</v>
      </c>
      <c r="U143" s="41"/>
    </row>
    <row r="144" spans="1:21" s="2" customFormat="1" ht="37.9" customHeight="1" x14ac:dyDescent="0.3">
      <c r="A144" s="123" t="s">
        <v>50</v>
      </c>
      <c r="B144" s="124"/>
      <c r="C144" s="124"/>
      <c r="D144" s="124"/>
      <c r="E144" s="124"/>
      <c r="F144" s="124"/>
      <c r="G144" s="125"/>
      <c r="H144" s="51" t="s">
        <v>88</v>
      </c>
      <c r="I144" s="52" t="s">
        <v>89</v>
      </c>
      <c r="J144" s="53" t="s">
        <v>88</v>
      </c>
      <c r="K144" s="52" t="s">
        <v>87</v>
      </c>
      <c r="L144" s="52"/>
      <c r="M144" s="62"/>
      <c r="N144" s="44" t="str">
        <f t="shared" si="19"/>
        <v/>
      </c>
      <c r="O144" s="41"/>
      <c r="P144" s="41"/>
      <c r="Q144" s="41"/>
      <c r="R144" s="41">
        <f>IF(H144="[V]",1,0)</f>
        <v>0</v>
      </c>
      <c r="S144" s="41"/>
      <c r="T144" s="41"/>
      <c r="U144" s="41">
        <f>IF(J144="[V]",1,0)</f>
        <v>0</v>
      </c>
    </row>
    <row r="145" spans="1:21" s="2" customFormat="1" ht="14.25" x14ac:dyDescent="0.3">
      <c r="A145" s="136" t="s">
        <v>51</v>
      </c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8"/>
      <c r="N145" s="44" t="str">
        <f t="shared" si="19"/>
        <v/>
      </c>
      <c r="O145" s="41"/>
      <c r="P145" s="41"/>
      <c r="Q145" s="41"/>
      <c r="R145" s="41"/>
      <c r="S145" s="41"/>
      <c r="T145" s="41"/>
      <c r="U145" s="41"/>
    </row>
    <row r="146" spans="1:21" s="2" customFormat="1" ht="14.25" x14ac:dyDescent="0.3">
      <c r="A146" s="54"/>
      <c r="B146" s="42" t="s">
        <v>88</v>
      </c>
      <c r="C146" s="87" t="s">
        <v>134</v>
      </c>
      <c r="D146" s="87"/>
      <c r="E146" s="87"/>
      <c r="F146" s="87"/>
      <c r="G146" s="87"/>
      <c r="H146" s="87"/>
      <c r="I146" s="87"/>
      <c r="J146" s="87"/>
      <c r="K146" s="87"/>
      <c r="L146" s="87"/>
      <c r="M146" s="88"/>
      <c r="N146" s="44" t="str">
        <f t="shared" si="19"/>
        <v/>
      </c>
      <c r="O146" s="41"/>
      <c r="P146" s="41"/>
      <c r="Q146" s="41"/>
      <c r="R146" s="41"/>
      <c r="S146" s="41">
        <f t="shared" ref="S146:S147" si="21">IF(B146="[V]",1,0)</f>
        <v>0</v>
      </c>
      <c r="T146" s="41"/>
      <c r="U146" s="41"/>
    </row>
    <row r="147" spans="1:21" s="2" customFormat="1" ht="14.25" x14ac:dyDescent="0.3">
      <c r="A147" s="54"/>
      <c r="B147" s="42" t="s">
        <v>88</v>
      </c>
      <c r="C147" s="87" t="s">
        <v>135</v>
      </c>
      <c r="D147" s="87"/>
      <c r="E147" s="87"/>
      <c r="F147" s="87"/>
      <c r="G147" s="87"/>
      <c r="H147" s="87"/>
      <c r="I147" s="87"/>
      <c r="J147" s="87"/>
      <c r="K147" s="87"/>
      <c r="L147" s="87"/>
      <c r="M147" s="88"/>
      <c r="N147" s="44" t="str">
        <f t="shared" si="19"/>
        <v/>
      </c>
      <c r="O147" s="41"/>
      <c r="P147" s="41"/>
      <c r="Q147" s="41"/>
      <c r="R147" s="41"/>
      <c r="S147" s="41">
        <f t="shared" si="21"/>
        <v>0</v>
      </c>
      <c r="T147" s="41"/>
      <c r="U147" s="41"/>
    </row>
    <row r="148" spans="1:21" s="2" customFormat="1" ht="14.25" x14ac:dyDescent="0.3">
      <c r="A148" s="61"/>
      <c r="B148" s="42" t="s">
        <v>88</v>
      </c>
      <c r="C148" s="87" t="s">
        <v>110</v>
      </c>
      <c r="D148" s="87"/>
      <c r="E148" s="87"/>
      <c r="F148" s="87"/>
      <c r="G148" s="87"/>
      <c r="H148" s="87"/>
      <c r="I148" s="87"/>
      <c r="J148" s="87"/>
      <c r="K148" s="87"/>
      <c r="L148" s="87"/>
      <c r="M148" s="88"/>
      <c r="N148" s="44" t="str">
        <f t="shared" si="19"/>
        <v/>
      </c>
      <c r="O148" s="41"/>
      <c r="P148" s="41"/>
      <c r="Q148" s="41"/>
      <c r="R148" s="41"/>
      <c r="S148" s="41"/>
      <c r="T148" s="41">
        <f>IF(B148="[v]",1,0)</f>
        <v>0</v>
      </c>
      <c r="U148" s="41"/>
    </row>
    <row r="149" spans="1:21" s="2" customFormat="1" ht="38.450000000000003" customHeight="1" x14ac:dyDescent="0.3">
      <c r="A149" s="112" t="s">
        <v>52</v>
      </c>
      <c r="B149" s="113"/>
      <c r="C149" s="113"/>
      <c r="D149" s="113"/>
      <c r="E149" s="113"/>
      <c r="F149" s="113"/>
      <c r="G149" s="114"/>
      <c r="H149" s="51" t="s">
        <v>88</v>
      </c>
      <c r="I149" s="52" t="s">
        <v>89</v>
      </c>
      <c r="J149" s="53" t="s">
        <v>88</v>
      </c>
      <c r="K149" s="52" t="s">
        <v>87</v>
      </c>
      <c r="L149" s="52"/>
      <c r="M149" s="62"/>
      <c r="N149" s="44" t="str">
        <f t="shared" si="19"/>
        <v/>
      </c>
      <c r="O149" s="41"/>
      <c r="P149" s="41"/>
      <c r="Q149" s="41"/>
      <c r="R149" s="41">
        <f>IF(H149="[V]",1,0)</f>
        <v>0</v>
      </c>
      <c r="S149" s="41"/>
      <c r="T149" s="41"/>
      <c r="U149" s="41">
        <f>IF(J149="[V]",1,0)</f>
        <v>0</v>
      </c>
    </row>
    <row r="150" spans="1:21" s="2" customFormat="1" ht="14.25" x14ac:dyDescent="0.3">
      <c r="A150" s="139" t="s">
        <v>53</v>
      </c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1"/>
      <c r="N150" s="44" t="str">
        <f t="shared" si="19"/>
        <v/>
      </c>
      <c r="O150" s="41"/>
      <c r="P150" s="41"/>
      <c r="Q150" s="41"/>
      <c r="R150" s="41"/>
      <c r="S150" s="41"/>
      <c r="T150" s="41"/>
      <c r="U150" s="41"/>
    </row>
    <row r="151" spans="1:21" s="2" customFormat="1" ht="14.25" x14ac:dyDescent="0.3">
      <c r="A151" s="54"/>
      <c r="B151" s="42" t="s">
        <v>88</v>
      </c>
      <c r="C151" s="86" t="s">
        <v>91</v>
      </c>
      <c r="D151" s="86"/>
      <c r="E151" s="86"/>
      <c r="F151" s="86"/>
      <c r="G151" s="86"/>
      <c r="H151" s="86"/>
      <c r="I151" s="86"/>
      <c r="J151" s="86"/>
      <c r="K151" s="86"/>
      <c r="L151" s="86"/>
      <c r="M151" s="132"/>
      <c r="N151" s="44" t="str">
        <f t="shared" si="19"/>
        <v/>
      </c>
      <c r="O151" s="41"/>
      <c r="P151" s="41"/>
      <c r="Q151" s="41">
        <f>IF(B151="[V]",1,0)</f>
        <v>0</v>
      </c>
      <c r="R151" s="41"/>
      <c r="S151" s="41"/>
      <c r="T151" s="41"/>
      <c r="U151" s="41"/>
    </row>
    <row r="152" spans="1:21" s="2" customFormat="1" ht="14.25" x14ac:dyDescent="0.3">
      <c r="A152" s="54"/>
      <c r="B152" s="42" t="s">
        <v>88</v>
      </c>
      <c r="C152" s="86" t="s">
        <v>92</v>
      </c>
      <c r="D152" s="86"/>
      <c r="E152" s="86"/>
      <c r="F152" s="86"/>
      <c r="G152" s="86"/>
      <c r="H152" s="86"/>
      <c r="I152" s="86"/>
      <c r="J152" s="86"/>
      <c r="K152" s="86"/>
      <c r="L152" s="86"/>
      <c r="M152" s="132"/>
      <c r="N152" s="44" t="str">
        <f t="shared" si="19"/>
        <v/>
      </c>
      <c r="O152" s="41"/>
      <c r="P152" s="41"/>
      <c r="Q152" s="41">
        <f t="shared" ref="Q152:Q153" si="22">IF(B152="[V]",1,0)</f>
        <v>0</v>
      </c>
      <c r="R152" s="41"/>
      <c r="S152" s="41"/>
      <c r="T152" s="41"/>
      <c r="U152" s="41"/>
    </row>
    <row r="153" spans="1:21" s="2" customFormat="1" ht="14.25" x14ac:dyDescent="0.3">
      <c r="A153" s="54"/>
      <c r="B153" s="42" t="s">
        <v>88</v>
      </c>
      <c r="C153" s="86" t="s">
        <v>93</v>
      </c>
      <c r="D153" s="86"/>
      <c r="E153" s="86"/>
      <c r="F153" s="86"/>
      <c r="G153" s="86"/>
      <c r="H153" s="86"/>
      <c r="I153" s="86"/>
      <c r="J153" s="86"/>
      <c r="K153" s="86"/>
      <c r="L153" s="86"/>
      <c r="M153" s="132"/>
      <c r="N153" s="44" t="str">
        <f t="shared" si="19"/>
        <v/>
      </c>
      <c r="O153" s="41"/>
      <c r="P153" s="41"/>
      <c r="Q153" s="41">
        <f t="shared" si="22"/>
        <v>0</v>
      </c>
      <c r="R153" s="41"/>
      <c r="S153" s="41"/>
      <c r="T153" s="41"/>
      <c r="U153" s="41"/>
    </row>
    <row r="154" spans="1:21" s="2" customFormat="1" ht="14.25" x14ac:dyDescent="0.3">
      <c r="A154" s="54"/>
      <c r="B154" s="42" t="s">
        <v>88</v>
      </c>
      <c r="C154" s="86" t="s">
        <v>94</v>
      </c>
      <c r="D154" s="86"/>
      <c r="E154" s="86"/>
      <c r="F154" s="86"/>
      <c r="G154" s="86"/>
      <c r="H154" s="86"/>
      <c r="I154" s="86"/>
      <c r="J154" s="86"/>
      <c r="K154" s="86"/>
      <c r="L154" s="86"/>
      <c r="M154" s="132"/>
      <c r="N154" s="44" t="str">
        <f t="shared" si="19"/>
        <v/>
      </c>
      <c r="O154" s="41"/>
      <c r="P154" s="41">
        <f>IF(B154="[V]",1,0)</f>
        <v>0</v>
      </c>
      <c r="Q154" s="41"/>
      <c r="R154" s="41"/>
      <c r="S154" s="41"/>
      <c r="T154" s="41"/>
      <c r="U154" s="41"/>
    </row>
    <row r="155" spans="1:21" s="2" customFormat="1" ht="14.25" x14ac:dyDescent="0.3">
      <c r="A155" s="57"/>
      <c r="B155" s="42" t="s">
        <v>88</v>
      </c>
      <c r="C155" s="87" t="s">
        <v>136</v>
      </c>
      <c r="D155" s="87"/>
      <c r="E155" s="87"/>
      <c r="F155" s="87"/>
      <c r="G155" s="87"/>
      <c r="H155" s="89"/>
      <c r="I155" s="89"/>
      <c r="J155" s="89"/>
      <c r="K155" s="89"/>
      <c r="L155" s="89"/>
      <c r="M155" s="90"/>
      <c r="N155" s="44" t="str">
        <f t="shared" si="19"/>
        <v/>
      </c>
      <c r="O155" s="41">
        <f>IF(B155="[V]",1,0)</f>
        <v>0</v>
      </c>
      <c r="P155" s="41"/>
      <c r="Q155" s="41"/>
      <c r="R155" s="41"/>
      <c r="S155" s="41"/>
      <c r="T155" s="41"/>
      <c r="U155" s="41"/>
    </row>
    <row r="156" spans="1:21" s="2" customFormat="1" ht="34.9" customHeight="1" x14ac:dyDescent="0.3">
      <c r="A156" s="123" t="s">
        <v>54</v>
      </c>
      <c r="B156" s="124"/>
      <c r="C156" s="124"/>
      <c r="D156" s="124"/>
      <c r="E156" s="124"/>
      <c r="F156" s="124"/>
      <c r="G156" s="125"/>
      <c r="H156" s="51" t="s">
        <v>88</v>
      </c>
      <c r="I156" s="52" t="s">
        <v>89</v>
      </c>
      <c r="J156" s="53" t="s">
        <v>88</v>
      </c>
      <c r="K156" s="52" t="s">
        <v>87</v>
      </c>
      <c r="L156" s="52"/>
      <c r="M156" s="62"/>
      <c r="N156" s="44" t="str">
        <f t="shared" si="19"/>
        <v/>
      </c>
      <c r="O156" s="41"/>
      <c r="P156" s="41"/>
      <c r="Q156" s="41"/>
      <c r="R156" s="41">
        <f>IF(H156="[V]",1,0)</f>
        <v>0</v>
      </c>
      <c r="S156" s="41"/>
      <c r="T156" s="41"/>
      <c r="U156" s="41">
        <f>IF(J156="[V]",1,0)</f>
        <v>0</v>
      </c>
    </row>
    <row r="157" spans="1:21" s="2" customFormat="1" ht="23.25" customHeight="1" x14ac:dyDescent="0.3">
      <c r="A157" s="133" t="s">
        <v>55</v>
      </c>
      <c r="B157" s="134"/>
      <c r="C157" s="134"/>
      <c r="D157" s="134"/>
      <c r="E157" s="134"/>
      <c r="F157" s="134"/>
      <c r="G157" s="135"/>
      <c r="H157" s="42" t="s">
        <v>88</v>
      </c>
      <c r="I157" s="52" t="s">
        <v>89</v>
      </c>
      <c r="J157" s="42" t="s">
        <v>88</v>
      </c>
      <c r="K157" s="52" t="s">
        <v>87</v>
      </c>
      <c r="L157" s="52"/>
      <c r="M157" s="62"/>
      <c r="N157" s="44" t="str">
        <f t="shared" si="19"/>
        <v/>
      </c>
      <c r="O157" s="41"/>
      <c r="P157" s="41"/>
      <c r="Q157" s="41"/>
      <c r="R157" s="41">
        <f>IF(H157="[V]",1,0)</f>
        <v>0</v>
      </c>
      <c r="S157" s="41"/>
      <c r="T157" s="41"/>
      <c r="U157" s="41">
        <f>IF(J157="[V]",1,0)</f>
        <v>0</v>
      </c>
    </row>
    <row r="158" spans="1:21" s="2" customFormat="1" ht="14.25" x14ac:dyDescent="0.3">
      <c r="A158" s="136" t="s">
        <v>56</v>
      </c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8"/>
      <c r="N158" s="44" t="str">
        <f t="shared" si="19"/>
        <v/>
      </c>
      <c r="O158" s="41"/>
      <c r="P158" s="41"/>
      <c r="Q158" s="41"/>
      <c r="R158" s="41"/>
      <c r="S158" s="41"/>
      <c r="T158" s="41"/>
      <c r="U158" s="41"/>
    </row>
    <row r="159" spans="1:21" s="2" customFormat="1" ht="14.25" x14ac:dyDescent="0.3">
      <c r="A159" s="54"/>
      <c r="B159" s="42" t="s">
        <v>88</v>
      </c>
      <c r="C159" s="86" t="s">
        <v>91</v>
      </c>
      <c r="D159" s="86"/>
      <c r="E159" s="86"/>
      <c r="F159" s="86"/>
      <c r="G159" s="86"/>
      <c r="H159" s="86"/>
      <c r="I159" s="86"/>
      <c r="J159" s="86"/>
      <c r="K159" s="86"/>
      <c r="L159" s="86"/>
      <c r="M159" s="132"/>
      <c r="N159" s="44" t="str">
        <f t="shared" si="19"/>
        <v/>
      </c>
      <c r="O159" s="41"/>
      <c r="P159" s="41"/>
      <c r="Q159" s="41">
        <f>IF(B159="[V]",1,0)</f>
        <v>0</v>
      </c>
      <c r="R159" s="41"/>
      <c r="S159" s="41"/>
      <c r="T159" s="41"/>
      <c r="U159" s="41"/>
    </row>
    <row r="160" spans="1:21" s="2" customFormat="1" ht="14.25" x14ac:dyDescent="0.3">
      <c r="A160" s="54"/>
      <c r="B160" s="42" t="s">
        <v>88</v>
      </c>
      <c r="C160" s="86" t="s">
        <v>92</v>
      </c>
      <c r="D160" s="86"/>
      <c r="E160" s="86"/>
      <c r="F160" s="86"/>
      <c r="G160" s="86"/>
      <c r="H160" s="86"/>
      <c r="I160" s="86"/>
      <c r="J160" s="86"/>
      <c r="K160" s="86"/>
      <c r="L160" s="86"/>
      <c r="M160" s="132"/>
      <c r="N160" s="44" t="str">
        <f t="shared" si="19"/>
        <v/>
      </c>
      <c r="O160" s="41"/>
      <c r="P160" s="41"/>
      <c r="Q160" s="41">
        <f t="shared" ref="Q160:Q161" si="23">IF(B160="[V]",1,0)</f>
        <v>0</v>
      </c>
      <c r="R160" s="41"/>
      <c r="S160" s="41"/>
      <c r="T160" s="41"/>
      <c r="U160" s="41"/>
    </row>
    <row r="161" spans="1:22" s="2" customFormat="1" ht="14.25" x14ac:dyDescent="0.3">
      <c r="A161" s="54"/>
      <c r="B161" s="42" t="s">
        <v>88</v>
      </c>
      <c r="C161" s="86" t="s">
        <v>93</v>
      </c>
      <c r="D161" s="86"/>
      <c r="E161" s="86"/>
      <c r="F161" s="86"/>
      <c r="G161" s="86"/>
      <c r="H161" s="86"/>
      <c r="I161" s="86"/>
      <c r="J161" s="86"/>
      <c r="K161" s="86"/>
      <c r="L161" s="86"/>
      <c r="M161" s="132"/>
      <c r="N161" s="44" t="str">
        <f t="shared" si="19"/>
        <v/>
      </c>
      <c r="O161" s="41"/>
      <c r="P161" s="41"/>
      <c r="Q161" s="41">
        <f t="shared" si="23"/>
        <v>0</v>
      </c>
      <c r="R161" s="41"/>
      <c r="S161" s="41"/>
      <c r="T161" s="41"/>
      <c r="U161" s="41"/>
    </row>
    <row r="162" spans="1:22" s="2" customFormat="1" ht="14.25" x14ac:dyDescent="0.3">
      <c r="A162" s="54"/>
      <c r="B162" s="42" t="s">
        <v>88</v>
      </c>
      <c r="C162" s="86" t="s">
        <v>94</v>
      </c>
      <c r="D162" s="86"/>
      <c r="E162" s="86"/>
      <c r="F162" s="86"/>
      <c r="G162" s="86"/>
      <c r="H162" s="86"/>
      <c r="I162" s="86"/>
      <c r="J162" s="86"/>
      <c r="K162" s="86"/>
      <c r="L162" s="86"/>
      <c r="M162" s="132"/>
      <c r="N162" s="44" t="str">
        <f t="shared" si="19"/>
        <v/>
      </c>
      <c r="O162" s="41"/>
      <c r="P162" s="41">
        <f>IF(B162="[V]",1,0)</f>
        <v>0</v>
      </c>
      <c r="Q162" s="41"/>
      <c r="R162" s="41"/>
      <c r="S162" s="41"/>
      <c r="T162" s="41"/>
      <c r="U162" s="41"/>
    </row>
    <row r="163" spans="1:22" s="2" customFormat="1" ht="96.6" customHeight="1" x14ac:dyDescent="0.3">
      <c r="A163" s="57"/>
      <c r="B163" s="42" t="s">
        <v>88</v>
      </c>
      <c r="C163" s="87" t="s">
        <v>137</v>
      </c>
      <c r="D163" s="87"/>
      <c r="E163" s="87"/>
      <c r="F163" s="87"/>
      <c r="G163" s="87"/>
      <c r="H163" s="89"/>
      <c r="I163" s="89"/>
      <c r="J163" s="89"/>
      <c r="K163" s="89"/>
      <c r="L163" s="89"/>
      <c r="M163" s="90"/>
      <c r="N163" s="44" t="str">
        <f t="shared" si="19"/>
        <v/>
      </c>
      <c r="O163" s="41">
        <f>IF(B163="[V]",1,0)</f>
        <v>0</v>
      </c>
      <c r="P163" s="41"/>
      <c r="Q163" s="41"/>
      <c r="R163" s="41"/>
      <c r="S163" s="41"/>
      <c r="T163" s="41"/>
      <c r="U163" s="41"/>
    </row>
    <row r="164" spans="1:22" s="2" customFormat="1" ht="14.25" x14ac:dyDescent="0.3">
      <c r="A164" s="123" t="s">
        <v>57</v>
      </c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5"/>
      <c r="N164" s="44" t="str">
        <f t="shared" si="19"/>
        <v/>
      </c>
      <c r="O164" s="41"/>
      <c r="P164" s="41"/>
      <c r="Q164" s="41"/>
      <c r="R164" s="41"/>
      <c r="S164" s="41"/>
      <c r="T164" s="41"/>
      <c r="U164" s="41"/>
    </row>
    <row r="165" spans="1:22" s="2" customFormat="1" ht="14.25" x14ac:dyDescent="0.3">
      <c r="A165" s="54"/>
      <c r="B165" s="42" t="s">
        <v>88</v>
      </c>
      <c r="C165" s="87" t="s">
        <v>138</v>
      </c>
      <c r="D165" s="87"/>
      <c r="E165" s="87"/>
      <c r="F165" s="87"/>
      <c r="G165" s="87"/>
      <c r="H165" s="87"/>
      <c r="I165" s="87"/>
      <c r="J165" s="87"/>
      <c r="K165" s="87"/>
      <c r="L165" s="87"/>
      <c r="M165" s="88"/>
      <c r="N165" s="44" t="str">
        <f t="shared" si="19"/>
        <v/>
      </c>
      <c r="O165" s="41"/>
      <c r="P165" s="41"/>
      <c r="Q165" s="41"/>
      <c r="R165" s="41"/>
      <c r="S165" s="41">
        <f t="shared" ref="S165:S167" si="24">IF(B165="[V]",1,0)</f>
        <v>0</v>
      </c>
      <c r="T165" s="41"/>
      <c r="U165" s="41"/>
    </row>
    <row r="166" spans="1:22" s="2" customFormat="1" ht="34.9" customHeight="1" x14ac:dyDescent="0.3">
      <c r="A166" s="63"/>
      <c r="B166" s="42" t="s">
        <v>88</v>
      </c>
      <c r="C166" s="87" t="s">
        <v>139</v>
      </c>
      <c r="D166" s="87"/>
      <c r="E166" s="87"/>
      <c r="F166" s="87"/>
      <c r="G166" s="87"/>
      <c r="H166" s="87"/>
      <c r="I166" s="87"/>
      <c r="J166" s="87"/>
      <c r="K166" s="87"/>
      <c r="L166" s="87"/>
      <c r="M166" s="88"/>
      <c r="N166" s="44" t="str">
        <f t="shared" si="19"/>
        <v/>
      </c>
      <c r="O166" s="41"/>
      <c r="P166" s="41"/>
      <c r="Q166" s="41"/>
      <c r="R166" s="41"/>
      <c r="S166" s="41">
        <f t="shared" si="24"/>
        <v>0</v>
      </c>
      <c r="T166" s="41"/>
      <c r="U166" s="41"/>
    </row>
    <row r="167" spans="1:22" s="2" customFormat="1" ht="14.25" x14ac:dyDescent="0.3">
      <c r="A167" s="54"/>
      <c r="B167" s="42" t="s">
        <v>88</v>
      </c>
      <c r="C167" s="87" t="s">
        <v>140</v>
      </c>
      <c r="D167" s="87"/>
      <c r="E167" s="87"/>
      <c r="F167" s="87"/>
      <c r="G167" s="87"/>
      <c r="H167" s="87"/>
      <c r="I167" s="87"/>
      <c r="J167" s="87"/>
      <c r="K167" s="87"/>
      <c r="L167" s="87"/>
      <c r="M167" s="88"/>
      <c r="N167" s="44" t="str">
        <f t="shared" si="19"/>
        <v/>
      </c>
      <c r="O167" s="41"/>
      <c r="P167" s="41"/>
      <c r="Q167" s="41"/>
      <c r="R167" s="41"/>
      <c r="S167" s="41">
        <f t="shared" si="24"/>
        <v>0</v>
      </c>
      <c r="T167" s="41"/>
      <c r="U167" s="41"/>
    </row>
    <row r="168" spans="1:22" s="2" customFormat="1" ht="14.25" x14ac:dyDescent="0.3">
      <c r="A168" s="61"/>
      <c r="B168" s="42" t="s">
        <v>88</v>
      </c>
      <c r="C168" s="89" t="s">
        <v>110</v>
      </c>
      <c r="D168" s="89"/>
      <c r="E168" s="89"/>
      <c r="F168" s="89"/>
      <c r="G168" s="89"/>
      <c r="H168" s="89"/>
      <c r="I168" s="89"/>
      <c r="J168" s="89"/>
      <c r="K168" s="89"/>
      <c r="L168" s="89"/>
      <c r="M168" s="90"/>
      <c r="N168" s="44" t="str">
        <f t="shared" si="19"/>
        <v/>
      </c>
      <c r="O168" s="41"/>
      <c r="P168" s="41"/>
      <c r="Q168" s="41"/>
      <c r="R168" s="41"/>
      <c r="S168" s="41"/>
      <c r="T168" s="41">
        <f>IF(B168="[v]",1,0)</f>
        <v>0</v>
      </c>
      <c r="U168" s="41"/>
    </row>
    <row r="169" spans="1:22" s="2" customFormat="1" ht="33.6" customHeight="1" x14ac:dyDescent="0.3">
      <c r="A169" s="123" t="s">
        <v>58</v>
      </c>
      <c r="B169" s="124"/>
      <c r="C169" s="124"/>
      <c r="D169" s="124"/>
      <c r="E169" s="124"/>
      <c r="F169" s="124"/>
      <c r="G169" s="125"/>
      <c r="H169" s="51" t="s">
        <v>88</v>
      </c>
      <c r="I169" s="52" t="s">
        <v>89</v>
      </c>
      <c r="J169" s="53" t="s">
        <v>88</v>
      </c>
      <c r="K169" s="52" t="s">
        <v>87</v>
      </c>
      <c r="L169" s="52"/>
      <c r="M169" s="62"/>
      <c r="N169" s="44" t="str">
        <f t="shared" si="19"/>
        <v/>
      </c>
      <c r="O169" s="41"/>
      <c r="P169" s="41"/>
      <c r="Q169" s="41"/>
      <c r="R169" s="41">
        <f>IF(H169="[V]",1,0)</f>
        <v>0</v>
      </c>
      <c r="S169" s="41"/>
      <c r="T169" s="41"/>
      <c r="U169" s="41">
        <f>IF(J169="[V]",1,0)</f>
        <v>0</v>
      </c>
    </row>
    <row r="170" spans="1:22" s="2" customFormat="1" ht="30.6" customHeight="1" x14ac:dyDescent="0.3">
      <c r="A170" s="123" t="s">
        <v>59</v>
      </c>
      <c r="B170" s="124"/>
      <c r="C170" s="124"/>
      <c r="D170" s="124"/>
      <c r="E170" s="124"/>
      <c r="F170" s="124"/>
      <c r="G170" s="125"/>
      <c r="H170" s="51" t="s">
        <v>88</v>
      </c>
      <c r="I170" s="52" t="s">
        <v>89</v>
      </c>
      <c r="J170" s="53" t="s">
        <v>88</v>
      </c>
      <c r="K170" s="52" t="s">
        <v>87</v>
      </c>
      <c r="L170" s="52"/>
      <c r="M170" s="62"/>
      <c r="N170" s="44" t="str">
        <f t="shared" si="19"/>
        <v/>
      </c>
      <c r="O170" s="41"/>
      <c r="P170" s="41"/>
      <c r="Q170" s="41"/>
      <c r="R170" s="41">
        <f>IF(H170="[V]",1,0)</f>
        <v>0</v>
      </c>
      <c r="S170" s="41"/>
      <c r="T170" s="41"/>
      <c r="U170" s="41">
        <f>IF(J170="[V]",1,0)</f>
        <v>0</v>
      </c>
    </row>
    <row r="171" spans="1:22" s="2" customFormat="1" ht="47.45" customHeight="1" x14ac:dyDescent="0.3">
      <c r="A171" s="112" t="s">
        <v>60</v>
      </c>
      <c r="B171" s="113"/>
      <c r="C171" s="113"/>
      <c r="D171" s="113"/>
      <c r="E171" s="113"/>
      <c r="F171" s="113"/>
      <c r="G171" s="114"/>
      <c r="H171" s="51" t="s">
        <v>88</v>
      </c>
      <c r="I171" s="52" t="s">
        <v>89</v>
      </c>
      <c r="J171" s="53" t="s">
        <v>88</v>
      </c>
      <c r="K171" s="52" t="s">
        <v>87</v>
      </c>
      <c r="L171" s="52"/>
      <c r="M171" s="62"/>
      <c r="N171" s="44" t="str">
        <f t="shared" si="19"/>
        <v/>
      </c>
      <c r="O171" s="41"/>
      <c r="P171" s="41"/>
      <c r="Q171" s="41"/>
      <c r="R171" s="41">
        <f>IF(H171="[V]",1,0)</f>
        <v>0</v>
      </c>
      <c r="S171" s="41"/>
      <c r="T171" s="41"/>
      <c r="U171" s="41">
        <f>IF(J171="[V]",1,0)</f>
        <v>0</v>
      </c>
    </row>
    <row r="172" spans="1:22" s="2" customFormat="1" ht="40.15" customHeight="1" x14ac:dyDescent="0.3">
      <c r="A172" s="126" t="s">
        <v>61</v>
      </c>
      <c r="B172" s="127"/>
      <c r="C172" s="127"/>
      <c r="D172" s="127"/>
      <c r="E172" s="127"/>
      <c r="F172" s="127"/>
      <c r="G172" s="128"/>
      <c r="H172" s="42" t="s">
        <v>88</v>
      </c>
      <c r="I172" s="52" t="s">
        <v>89</v>
      </c>
      <c r="J172" s="42" t="s">
        <v>88</v>
      </c>
      <c r="K172" s="52" t="s">
        <v>87</v>
      </c>
      <c r="L172" s="42" t="s">
        <v>88</v>
      </c>
      <c r="M172" s="60" t="s">
        <v>86</v>
      </c>
      <c r="N172" s="44" t="str">
        <f t="shared" si="19"/>
        <v/>
      </c>
      <c r="O172" s="41"/>
      <c r="P172" s="41"/>
      <c r="Q172" s="41"/>
      <c r="R172" s="41">
        <f>IF(J172="[V]",1,0)</f>
        <v>0</v>
      </c>
      <c r="S172" s="41"/>
      <c r="T172" s="41">
        <f>IF(L172="[V]",1,0)</f>
        <v>0</v>
      </c>
      <c r="U172" s="41">
        <f>IF(H172="[V]",1,0)</f>
        <v>0</v>
      </c>
      <c r="V172" s="2" t="s">
        <v>141</v>
      </c>
    </row>
    <row r="173" spans="1:22" s="2" customFormat="1" ht="24" customHeight="1" x14ac:dyDescent="0.3">
      <c r="A173" s="129" t="s">
        <v>62</v>
      </c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1"/>
      <c r="N173" s="44" t="str">
        <f t="shared" si="19"/>
        <v/>
      </c>
      <c r="O173" s="41"/>
      <c r="P173" s="41"/>
      <c r="Q173" s="41"/>
      <c r="R173" s="41"/>
      <c r="S173" s="41"/>
      <c r="T173" s="41"/>
      <c r="U173" s="41"/>
    </row>
    <row r="174" spans="1:22" s="2" customFormat="1" ht="37.15" customHeight="1" x14ac:dyDescent="0.3">
      <c r="A174" s="112" t="s">
        <v>63</v>
      </c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4"/>
      <c r="N174" s="44" t="str">
        <f t="shared" si="19"/>
        <v/>
      </c>
      <c r="O174" s="41"/>
      <c r="P174" s="41"/>
      <c r="Q174" s="41"/>
      <c r="R174" s="41"/>
      <c r="S174" s="41"/>
      <c r="T174" s="41"/>
      <c r="U174" s="41"/>
    </row>
    <row r="175" spans="1:22" s="2" customFormat="1" ht="33.6" customHeight="1" x14ac:dyDescent="0.3">
      <c r="A175" s="115" t="s">
        <v>64</v>
      </c>
      <c r="B175" s="116"/>
      <c r="C175" s="116"/>
      <c r="D175" s="113"/>
      <c r="E175" s="113"/>
      <c r="F175" s="113"/>
      <c r="G175" s="114"/>
      <c r="H175" s="51" t="s">
        <v>88</v>
      </c>
      <c r="I175" s="52" t="s">
        <v>89</v>
      </c>
      <c r="J175" s="53" t="s">
        <v>88</v>
      </c>
      <c r="K175" s="52" t="s">
        <v>87</v>
      </c>
      <c r="L175" s="52"/>
      <c r="M175" s="62"/>
      <c r="N175" s="44" t="str">
        <f t="shared" si="19"/>
        <v/>
      </c>
      <c r="O175" s="41"/>
      <c r="P175" s="41"/>
      <c r="Q175" s="41"/>
      <c r="R175" s="41"/>
      <c r="S175" s="41">
        <f>IF(J175="[V]",1,0)</f>
        <v>0</v>
      </c>
      <c r="T175" s="41">
        <f>IF(H175="[V]",1,0)</f>
        <v>0</v>
      </c>
      <c r="U175" s="41"/>
    </row>
    <row r="176" spans="1:22" s="2" customFormat="1" ht="52.9" customHeight="1" x14ac:dyDescent="0.3">
      <c r="A176" s="115" t="s">
        <v>65</v>
      </c>
      <c r="B176" s="116"/>
      <c r="C176" s="116"/>
      <c r="D176" s="113"/>
      <c r="E176" s="113"/>
      <c r="F176" s="113"/>
      <c r="G176" s="114"/>
      <c r="H176" s="51" t="s">
        <v>88</v>
      </c>
      <c r="I176" s="52" t="s">
        <v>89</v>
      </c>
      <c r="J176" s="53" t="s">
        <v>88</v>
      </c>
      <c r="K176" s="52" t="s">
        <v>87</v>
      </c>
      <c r="L176" s="52"/>
      <c r="M176" s="62"/>
      <c r="N176" s="44" t="str">
        <f t="shared" si="19"/>
        <v/>
      </c>
      <c r="O176" s="41"/>
      <c r="P176" s="41"/>
      <c r="Q176" s="41"/>
      <c r="R176" s="41"/>
      <c r="S176" s="41">
        <f>IF(J176="[V]",1,0)</f>
        <v>0</v>
      </c>
      <c r="T176" s="41">
        <f>IF(H176="[V]",1,0)</f>
        <v>0</v>
      </c>
      <c r="U176" s="41"/>
    </row>
    <row r="177" spans="1:21" s="2" customFormat="1" ht="14.25" x14ac:dyDescent="0.3">
      <c r="A177" s="22"/>
      <c r="B177" s="66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1"/>
      <c r="O177" s="41"/>
      <c r="P177" s="41"/>
      <c r="Q177" s="41"/>
      <c r="R177" s="41"/>
      <c r="S177" s="41"/>
      <c r="T177" s="41"/>
      <c r="U177" s="41"/>
    </row>
    <row r="178" spans="1:21" s="2" customFormat="1" ht="14.25" x14ac:dyDescent="0.3">
      <c r="A178" s="24" t="s">
        <v>142</v>
      </c>
      <c r="B178" s="49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3"/>
      <c r="O178" s="67">
        <f>SUM(O9:O177)</f>
        <v>0</v>
      </c>
      <c r="P178" s="67">
        <f t="shared" ref="P178:U178" si="25">SUM(P9:P177)</f>
        <v>0</v>
      </c>
      <c r="Q178" s="67">
        <f t="shared" si="25"/>
        <v>0</v>
      </c>
      <c r="R178" s="67">
        <f t="shared" si="25"/>
        <v>0</v>
      </c>
      <c r="S178" s="67">
        <f t="shared" si="25"/>
        <v>0</v>
      </c>
      <c r="T178" s="67">
        <f t="shared" si="25"/>
        <v>0</v>
      </c>
      <c r="U178" s="67">
        <f t="shared" si="25"/>
        <v>0</v>
      </c>
    </row>
    <row r="179" spans="1:21" s="2" customFormat="1" ht="14.25" x14ac:dyDescent="0.3">
      <c r="A179" s="15"/>
      <c r="B179" s="49"/>
      <c r="C179" s="16" t="s">
        <v>143</v>
      </c>
      <c r="D179" s="68">
        <f>+O178</f>
        <v>0</v>
      </c>
      <c r="E179" s="16"/>
      <c r="F179" s="16"/>
      <c r="G179" s="16"/>
      <c r="H179" s="16"/>
      <c r="I179" s="16"/>
      <c r="J179" s="16"/>
      <c r="K179" s="16"/>
      <c r="L179" s="16"/>
      <c r="M179" s="3"/>
    </row>
    <row r="180" spans="1:21" s="2" customFormat="1" ht="14.25" x14ac:dyDescent="0.3">
      <c r="A180" s="15"/>
      <c r="B180" s="49"/>
      <c r="C180" s="16" t="s">
        <v>144</v>
      </c>
      <c r="D180" s="68">
        <f>+P178</f>
        <v>0</v>
      </c>
      <c r="E180" s="16"/>
      <c r="F180" s="16"/>
      <c r="G180" s="16"/>
      <c r="H180" s="16"/>
      <c r="I180" s="16"/>
      <c r="J180" s="16"/>
      <c r="K180" s="16"/>
      <c r="L180" s="16"/>
      <c r="M180" s="3"/>
    </row>
    <row r="181" spans="1:21" s="2" customFormat="1" ht="14.25" x14ac:dyDescent="0.3">
      <c r="A181" s="15"/>
      <c r="B181" s="49"/>
      <c r="C181" s="16" t="s">
        <v>145</v>
      </c>
      <c r="D181" s="68">
        <f>+Q178</f>
        <v>0</v>
      </c>
      <c r="E181" s="16"/>
      <c r="F181" s="16"/>
      <c r="G181" s="16"/>
      <c r="H181" s="16"/>
      <c r="I181" s="16"/>
      <c r="J181" s="16"/>
      <c r="K181" s="16"/>
      <c r="L181" s="16"/>
      <c r="M181" s="3"/>
    </row>
    <row r="182" spans="1:21" s="2" customFormat="1" ht="14.25" x14ac:dyDescent="0.3">
      <c r="A182" s="15"/>
      <c r="B182" s="49"/>
      <c r="C182" s="16" t="s">
        <v>146</v>
      </c>
      <c r="D182" s="68">
        <f>+R178+S178</f>
        <v>0</v>
      </c>
      <c r="E182" s="69" t="s">
        <v>147</v>
      </c>
      <c r="F182" s="16"/>
      <c r="G182" s="16"/>
      <c r="H182" s="16"/>
      <c r="I182" s="16"/>
      <c r="J182" s="16"/>
      <c r="K182" s="16"/>
      <c r="L182" s="16"/>
      <c r="M182" s="3"/>
    </row>
    <row r="183" spans="1:21" s="2" customFormat="1" ht="14.25" x14ac:dyDescent="0.3">
      <c r="A183" s="15"/>
      <c r="B183" s="49"/>
      <c r="C183" s="16" t="s">
        <v>148</v>
      </c>
      <c r="D183" s="68">
        <f>+T178+U178</f>
        <v>0</v>
      </c>
      <c r="E183" s="69" t="s">
        <v>149</v>
      </c>
      <c r="F183" s="16"/>
      <c r="G183" s="16"/>
      <c r="H183" s="16"/>
      <c r="I183" s="16"/>
      <c r="J183" s="16"/>
      <c r="K183" s="16"/>
      <c r="L183" s="16"/>
      <c r="M183" s="3"/>
    </row>
    <row r="184" spans="1:21" s="2" customFormat="1" ht="14.25" x14ac:dyDescent="0.3">
      <c r="A184" s="15"/>
      <c r="B184" s="49"/>
      <c r="C184" s="49" t="s">
        <v>150</v>
      </c>
      <c r="D184" s="68">
        <f>SUM(D179:D183)</f>
        <v>0</v>
      </c>
      <c r="E184" s="69" t="s">
        <v>151</v>
      </c>
      <c r="F184" s="16"/>
      <c r="G184" s="16"/>
      <c r="H184" s="16"/>
      <c r="I184" s="16"/>
      <c r="J184" s="16"/>
      <c r="K184" s="16"/>
      <c r="L184" s="16"/>
      <c r="M184" s="3"/>
    </row>
    <row r="185" spans="1:21" s="2" customFormat="1" ht="14.25" x14ac:dyDescent="0.3">
      <c r="A185" s="15"/>
      <c r="B185" s="49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3"/>
    </row>
    <row r="186" spans="1:21" s="2" customFormat="1" ht="21" customHeight="1" x14ac:dyDescent="0.3">
      <c r="A186" s="117" t="s">
        <v>66</v>
      </c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9"/>
      <c r="N186" s="25"/>
      <c r="O186" s="25"/>
    </row>
    <row r="187" spans="1:21" s="2" customFormat="1" ht="14.25" x14ac:dyDescent="0.3">
      <c r="A187" s="120" t="s">
        <v>152</v>
      </c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2"/>
      <c r="N187" s="70"/>
      <c r="O187" s="70"/>
    </row>
    <row r="188" spans="1:21" s="2" customFormat="1" ht="14.25" x14ac:dyDescent="0.3">
      <c r="A188" s="98" t="s">
        <v>153</v>
      </c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100"/>
      <c r="N188" s="70"/>
      <c r="O188" s="70"/>
    </row>
    <row r="189" spans="1:21" s="2" customFormat="1" ht="16.899999999999999" customHeight="1" x14ac:dyDescent="0.3">
      <c r="A189" s="98" t="s">
        <v>154</v>
      </c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100"/>
      <c r="N189" s="70"/>
      <c r="O189" s="70"/>
    </row>
    <row r="190" spans="1:21" s="2" customFormat="1" ht="51" customHeight="1" x14ac:dyDescent="0.3">
      <c r="A190" s="101" t="s">
        <v>155</v>
      </c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3"/>
      <c r="N190" s="70"/>
      <c r="O190" s="70"/>
    </row>
    <row r="191" spans="1:21" s="2" customFormat="1" ht="29.45" customHeight="1" x14ac:dyDescent="0.3">
      <c r="A191" s="104" t="s">
        <v>156</v>
      </c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6"/>
      <c r="N191" s="70"/>
      <c r="O191" s="70"/>
    </row>
    <row r="192" spans="1:21" s="2" customFormat="1" ht="30.6" customHeight="1" x14ac:dyDescent="0.3">
      <c r="A192" s="107" t="s">
        <v>157</v>
      </c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9"/>
      <c r="N192" s="26"/>
      <c r="O192" s="26"/>
    </row>
    <row r="193" spans="1:15" s="2" customFormat="1" ht="21" customHeight="1" x14ac:dyDescent="0.3">
      <c r="A193" s="71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3"/>
    </row>
    <row r="194" spans="1:15" s="2" customFormat="1" ht="21" customHeight="1" x14ac:dyDescent="0.3">
      <c r="A194" s="110" t="s">
        <v>67</v>
      </c>
      <c r="B194" s="111"/>
      <c r="C194" s="111"/>
      <c r="D194" s="111"/>
      <c r="E194" s="111"/>
      <c r="F194" s="111"/>
      <c r="G194" s="111"/>
      <c r="H194" s="10"/>
      <c r="I194" s="10"/>
      <c r="J194" s="10"/>
      <c r="K194" s="10"/>
      <c r="L194" s="10"/>
      <c r="M194" s="3"/>
    </row>
    <row r="195" spans="1:15" s="2" customFormat="1" ht="55.9" customHeight="1" x14ac:dyDescent="0.3">
      <c r="A195" s="101" t="s">
        <v>158</v>
      </c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3"/>
    </row>
    <row r="196" spans="1:15" s="2" customFormat="1" ht="21" customHeight="1" x14ac:dyDescent="0.3">
      <c r="A196" s="58"/>
      <c r="B196" s="42" t="s">
        <v>88</v>
      </c>
      <c r="C196" s="55" t="s">
        <v>159</v>
      </c>
      <c r="D196" s="55"/>
      <c r="E196" s="42" t="s">
        <v>88</v>
      </c>
      <c r="F196" s="55" t="s">
        <v>160</v>
      </c>
      <c r="G196" s="55"/>
      <c r="H196" s="42" t="s">
        <v>88</v>
      </c>
      <c r="I196" s="55" t="s">
        <v>161</v>
      </c>
      <c r="J196" s="55"/>
      <c r="K196" s="55"/>
      <c r="L196" s="55"/>
      <c r="M196" s="74"/>
    </row>
    <row r="197" spans="1:15" s="2" customFormat="1" ht="21" customHeight="1" x14ac:dyDescent="0.3">
      <c r="A197" s="85" t="s">
        <v>68</v>
      </c>
      <c r="B197" s="86"/>
      <c r="C197" s="86"/>
      <c r="D197" s="86"/>
      <c r="E197" s="86"/>
      <c r="F197" s="86"/>
      <c r="G197" s="86"/>
      <c r="H197" s="55"/>
      <c r="I197" s="55"/>
      <c r="J197" s="55"/>
      <c r="K197" s="55"/>
      <c r="L197" s="55"/>
      <c r="M197" s="74"/>
    </row>
    <row r="198" spans="1:15" s="2" customFormat="1" ht="21" customHeight="1" x14ac:dyDescent="0.3">
      <c r="A198" s="54"/>
      <c r="B198" s="42" t="s">
        <v>88</v>
      </c>
      <c r="C198" s="87" t="s">
        <v>162</v>
      </c>
      <c r="D198" s="87"/>
      <c r="E198" s="87"/>
      <c r="F198" s="87"/>
      <c r="G198" s="87"/>
      <c r="H198" s="87"/>
      <c r="I198" s="87"/>
      <c r="J198" s="87"/>
      <c r="K198" s="87"/>
      <c r="L198" s="87"/>
      <c r="M198" s="88"/>
    </row>
    <row r="199" spans="1:15" s="2" customFormat="1" ht="14.25" x14ac:dyDescent="0.3">
      <c r="A199" s="61"/>
      <c r="B199" s="42" t="s">
        <v>88</v>
      </c>
      <c r="C199" s="89" t="s">
        <v>163</v>
      </c>
      <c r="D199" s="89"/>
      <c r="E199" s="89"/>
      <c r="F199" s="89"/>
      <c r="G199" s="89"/>
      <c r="H199" s="89"/>
      <c r="I199" s="89"/>
      <c r="J199" s="89"/>
      <c r="K199" s="89"/>
      <c r="L199" s="89"/>
      <c r="M199" s="90"/>
    </row>
    <row r="200" spans="1:15" s="2" customFormat="1" ht="21" customHeight="1" x14ac:dyDescent="0.3">
      <c r="A200" s="91" t="s">
        <v>164</v>
      </c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3"/>
      <c r="N200" s="8"/>
      <c r="O200" s="8"/>
    </row>
    <row r="201" spans="1:15" s="2" customFormat="1" ht="21" customHeight="1" x14ac:dyDescent="0.3">
      <c r="A201" s="94" t="s">
        <v>69</v>
      </c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6"/>
    </row>
    <row r="202" spans="1:15" s="2" customFormat="1" ht="21" customHeight="1" x14ac:dyDescent="0.15">
      <c r="A202" s="29" t="s">
        <v>70</v>
      </c>
      <c r="B202" s="75"/>
      <c r="C202" s="76"/>
      <c r="D202" s="30" t="s">
        <v>71</v>
      </c>
      <c r="E202" s="8"/>
      <c r="F202" s="30" t="s">
        <v>72</v>
      </c>
      <c r="G202" s="8"/>
      <c r="H202" s="97" t="s">
        <v>73</v>
      </c>
      <c r="I202" s="97"/>
      <c r="J202" s="97"/>
      <c r="K202" s="97"/>
      <c r="L202" s="8"/>
      <c r="M202" s="77"/>
    </row>
    <row r="203" spans="1:15" s="2" customFormat="1" ht="21" customHeight="1" x14ac:dyDescent="0.15">
      <c r="A203" s="1" t="s">
        <v>74</v>
      </c>
      <c r="B203" s="8"/>
      <c r="D203" s="78"/>
      <c r="E203" s="32"/>
      <c r="F203" s="33"/>
      <c r="G203" s="34"/>
      <c r="H203" s="81"/>
      <c r="I203" s="81"/>
      <c r="J203" s="81"/>
      <c r="K203" s="81"/>
      <c r="L203" s="34"/>
      <c r="M203" s="3"/>
    </row>
    <row r="204" spans="1:15" s="2" customFormat="1" ht="21" customHeight="1" x14ac:dyDescent="0.15">
      <c r="A204" s="29" t="s">
        <v>75</v>
      </c>
      <c r="B204" s="75"/>
      <c r="C204" s="76"/>
      <c r="D204" s="32"/>
      <c r="E204" s="32"/>
      <c r="F204" s="32"/>
      <c r="G204" s="34"/>
      <c r="H204" s="82"/>
      <c r="I204" s="82"/>
      <c r="J204" s="82"/>
      <c r="K204" s="82"/>
      <c r="L204" s="34"/>
      <c r="M204" s="3"/>
    </row>
    <row r="205" spans="1:15" s="2" customFormat="1" ht="14.25" x14ac:dyDescent="0.15">
      <c r="A205" s="29" t="s">
        <v>76</v>
      </c>
      <c r="B205" s="75"/>
      <c r="C205" s="76"/>
      <c r="D205" s="78"/>
      <c r="E205" s="32"/>
      <c r="F205" s="31"/>
      <c r="G205" s="34"/>
      <c r="H205" s="83"/>
      <c r="I205" s="83"/>
      <c r="J205" s="83"/>
      <c r="K205" s="83"/>
      <c r="L205" s="34"/>
      <c r="M205" s="3"/>
    </row>
    <row r="206" spans="1:15" ht="14.25" x14ac:dyDescent="0.15">
      <c r="A206" s="29" t="s">
        <v>77</v>
      </c>
      <c r="B206" s="75"/>
      <c r="C206" s="76"/>
      <c r="D206" s="78"/>
      <c r="E206" s="32"/>
      <c r="F206" s="33"/>
      <c r="G206" s="34"/>
      <c r="H206" s="81"/>
      <c r="I206" s="81"/>
      <c r="J206" s="81"/>
      <c r="K206" s="81"/>
      <c r="L206" s="34"/>
      <c r="M206" s="3"/>
    </row>
    <row r="207" spans="1:15" ht="15" thickBot="1" x14ac:dyDescent="0.35">
      <c r="A207" s="35"/>
      <c r="B207" s="79"/>
      <c r="C207" s="80"/>
      <c r="D207" s="14"/>
      <c r="E207" s="14"/>
      <c r="F207" s="14"/>
      <c r="G207" s="14"/>
      <c r="H207" s="14"/>
      <c r="I207" s="14"/>
      <c r="J207" s="14"/>
      <c r="K207" s="14"/>
      <c r="L207" s="14"/>
      <c r="M207" s="36"/>
    </row>
    <row r="208" spans="1:15" x14ac:dyDescent="0.3">
      <c r="A208" s="84"/>
      <c r="B208" s="84"/>
      <c r="C208" s="84"/>
      <c r="D208" s="84"/>
      <c r="E208" s="84"/>
      <c r="F208" s="84"/>
      <c r="G208" s="84"/>
    </row>
  </sheetData>
  <mergeCells count="192">
    <mergeCell ref="A10:G10"/>
    <mergeCell ref="H10:M10"/>
    <mergeCell ref="A13:M13"/>
    <mergeCell ref="A14:M14"/>
    <mergeCell ref="A15:M15"/>
    <mergeCell ref="A17:G17"/>
    <mergeCell ref="H17:M17"/>
    <mergeCell ref="A1:M1"/>
    <mergeCell ref="O1:U1"/>
    <mergeCell ref="A2:M2"/>
    <mergeCell ref="A8:G8"/>
    <mergeCell ref="H8:M8"/>
    <mergeCell ref="A9:G9"/>
    <mergeCell ref="C24:M24"/>
    <mergeCell ref="C25:M25"/>
    <mergeCell ref="A26:M26"/>
    <mergeCell ref="C27:M27"/>
    <mergeCell ref="C28:M28"/>
    <mergeCell ref="C29:M29"/>
    <mergeCell ref="A18:M18"/>
    <mergeCell ref="A19:M19"/>
    <mergeCell ref="C20:M20"/>
    <mergeCell ref="C21:M21"/>
    <mergeCell ref="C22:M22"/>
    <mergeCell ref="C23:M23"/>
    <mergeCell ref="C36:M36"/>
    <mergeCell ref="C37:M37"/>
    <mergeCell ref="C38:M38"/>
    <mergeCell ref="A39:M39"/>
    <mergeCell ref="C40:M40"/>
    <mergeCell ref="C41:M41"/>
    <mergeCell ref="C30:M30"/>
    <mergeCell ref="C31:M31"/>
    <mergeCell ref="A32:G32"/>
    <mergeCell ref="A33:M33"/>
    <mergeCell ref="C34:M34"/>
    <mergeCell ref="C35:M35"/>
    <mergeCell ref="C48:M48"/>
    <mergeCell ref="C49:M49"/>
    <mergeCell ref="C50:M50"/>
    <mergeCell ref="C51:M51"/>
    <mergeCell ref="A52:M52"/>
    <mergeCell ref="C53:M53"/>
    <mergeCell ref="C42:M42"/>
    <mergeCell ref="C43:M43"/>
    <mergeCell ref="C44:M44"/>
    <mergeCell ref="A45:M45"/>
    <mergeCell ref="A46:M46"/>
    <mergeCell ref="C47:M47"/>
    <mergeCell ref="C60:M60"/>
    <mergeCell ref="C61:M61"/>
    <mergeCell ref="C62:M62"/>
    <mergeCell ref="C63:M63"/>
    <mergeCell ref="A64:M64"/>
    <mergeCell ref="A65:G65"/>
    <mergeCell ref="C54:M54"/>
    <mergeCell ref="C55:M55"/>
    <mergeCell ref="C56:M56"/>
    <mergeCell ref="C57:M57"/>
    <mergeCell ref="A58:M58"/>
    <mergeCell ref="C59:M59"/>
    <mergeCell ref="A72:M72"/>
    <mergeCell ref="C73:M73"/>
    <mergeCell ref="C74:M74"/>
    <mergeCell ref="C75:M75"/>
    <mergeCell ref="C76:M76"/>
    <mergeCell ref="C77:M77"/>
    <mergeCell ref="A66:M66"/>
    <mergeCell ref="C67:M67"/>
    <mergeCell ref="C68:M68"/>
    <mergeCell ref="C69:M69"/>
    <mergeCell ref="C70:M70"/>
    <mergeCell ref="C71:M71"/>
    <mergeCell ref="C84:M84"/>
    <mergeCell ref="A85:M85"/>
    <mergeCell ref="C86:M86"/>
    <mergeCell ref="C87:M87"/>
    <mergeCell ref="C88:M88"/>
    <mergeCell ref="C89:M89"/>
    <mergeCell ref="A78:G78"/>
    <mergeCell ref="A79:M79"/>
    <mergeCell ref="C80:M80"/>
    <mergeCell ref="C81:M81"/>
    <mergeCell ref="C82:M82"/>
    <mergeCell ref="C83:M83"/>
    <mergeCell ref="A96:G96"/>
    <mergeCell ref="A97:G97"/>
    <mergeCell ref="A98:G98"/>
    <mergeCell ref="A99:M99"/>
    <mergeCell ref="C100:M100"/>
    <mergeCell ref="C101:M101"/>
    <mergeCell ref="C90:M90"/>
    <mergeCell ref="A91:G91"/>
    <mergeCell ref="A92:M92"/>
    <mergeCell ref="A93:G93"/>
    <mergeCell ref="A94:G94"/>
    <mergeCell ref="A95:G95"/>
    <mergeCell ref="C108:M108"/>
    <mergeCell ref="C109:M109"/>
    <mergeCell ref="C110:M110"/>
    <mergeCell ref="A111:M111"/>
    <mergeCell ref="C112:M112"/>
    <mergeCell ref="C113:M113"/>
    <mergeCell ref="C102:M102"/>
    <mergeCell ref="C103:M103"/>
    <mergeCell ref="C104:M104"/>
    <mergeCell ref="A105:M105"/>
    <mergeCell ref="C106:M106"/>
    <mergeCell ref="C107:M107"/>
    <mergeCell ref="A120:G120"/>
    <mergeCell ref="A121:M121"/>
    <mergeCell ref="C122:M122"/>
    <mergeCell ref="C123:M123"/>
    <mergeCell ref="C124:M124"/>
    <mergeCell ref="C125:M125"/>
    <mergeCell ref="C114:M114"/>
    <mergeCell ref="C115:M115"/>
    <mergeCell ref="C116:M116"/>
    <mergeCell ref="A117:G117"/>
    <mergeCell ref="A118:M118"/>
    <mergeCell ref="A119:G119"/>
    <mergeCell ref="A132:M132"/>
    <mergeCell ref="C133:M133"/>
    <mergeCell ref="C134:M134"/>
    <mergeCell ref="C135:M135"/>
    <mergeCell ref="A136:G136"/>
    <mergeCell ref="A137:G137"/>
    <mergeCell ref="C126:M126"/>
    <mergeCell ref="C127:M127"/>
    <mergeCell ref="C128:M128"/>
    <mergeCell ref="C129:M129"/>
    <mergeCell ref="A130:G130"/>
    <mergeCell ref="A131:M131"/>
    <mergeCell ref="A144:G144"/>
    <mergeCell ref="A145:M145"/>
    <mergeCell ref="C146:M146"/>
    <mergeCell ref="C147:M147"/>
    <mergeCell ref="C148:M148"/>
    <mergeCell ref="A149:G149"/>
    <mergeCell ref="A138:M138"/>
    <mergeCell ref="C139:M139"/>
    <mergeCell ref="C140:M140"/>
    <mergeCell ref="C141:M141"/>
    <mergeCell ref="C142:M142"/>
    <mergeCell ref="C143:M143"/>
    <mergeCell ref="A156:G156"/>
    <mergeCell ref="A157:G157"/>
    <mergeCell ref="A158:M158"/>
    <mergeCell ref="C159:M159"/>
    <mergeCell ref="C160:M160"/>
    <mergeCell ref="C161:M161"/>
    <mergeCell ref="A150:M150"/>
    <mergeCell ref="C151:M151"/>
    <mergeCell ref="C152:M152"/>
    <mergeCell ref="C153:M153"/>
    <mergeCell ref="C154:M154"/>
    <mergeCell ref="C155:M155"/>
    <mergeCell ref="C168:M168"/>
    <mergeCell ref="A169:G169"/>
    <mergeCell ref="A170:G170"/>
    <mergeCell ref="A171:G171"/>
    <mergeCell ref="A172:G172"/>
    <mergeCell ref="A173:M173"/>
    <mergeCell ref="C162:M162"/>
    <mergeCell ref="C163:M163"/>
    <mergeCell ref="A164:M164"/>
    <mergeCell ref="C165:M165"/>
    <mergeCell ref="C166:M166"/>
    <mergeCell ref="C167:M167"/>
    <mergeCell ref="A189:M189"/>
    <mergeCell ref="A190:M190"/>
    <mergeCell ref="A191:M191"/>
    <mergeCell ref="A192:M192"/>
    <mergeCell ref="A194:G194"/>
    <mergeCell ref="A195:M195"/>
    <mergeCell ref="A174:M174"/>
    <mergeCell ref="A175:G175"/>
    <mergeCell ref="A176:G176"/>
    <mergeCell ref="A186:M186"/>
    <mergeCell ref="A187:M187"/>
    <mergeCell ref="A188:M188"/>
    <mergeCell ref="H203:K203"/>
    <mergeCell ref="H204:K204"/>
    <mergeCell ref="H205:K205"/>
    <mergeCell ref="H206:K206"/>
    <mergeCell ref="A208:G208"/>
    <mergeCell ref="A197:G197"/>
    <mergeCell ref="C198:M198"/>
    <mergeCell ref="C199:M199"/>
    <mergeCell ref="A200:M200"/>
    <mergeCell ref="A201:M201"/>
    <mergeCell ref="H202:K202"/>
  </mergeCells>
  <phoneticPr fontId="2" type="noConversion"/>
  <dataValidations count="1">
    <dataValidation type="list" allowBlank="1" showInputMessage="1" showErrorMessage="1" sqref="B20:B25 B27:B31 B198:B199 B40:B44 B47:B51 B53:B57 B59:B63 B67:B71 B73:B77 B80:B84 B86:B90 B139:B143 B100:B104 B106:B110 B34:B38 B133:B135 B122:B129 B146:B148 B151:B155 B159:B163 B165:B168 B112:B116 J9 H9 J32 L32 H32 J65 L65 H65 J78 H78 J91 H91 J93:J98 H93:H98 J117 H117 H119:H120 J119:J120 J130 H130 J136:J137 H136:H137 J144 H144 H149 J149 J156:J157 H156:H157 J169:J172 H169:H172 L172 J175:J176 H175:H176 B196 E196 H196" xr:uid="{05A70F2F-B905-4D54-B570-7FBC65BA31E5}">
      <formula1>"[  ],[V]"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&amp;R조서번호: &amp;A&amp;[(&amp; &amp;P)&amp;)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1101A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KICPA</dc:creator>
  <cp:lastModifiedBy>BO IN</cp:lastModifiedBy>
  <cp:lastPrinted>2021-09-10T07:11:38Z</cp:lastPrinted>
  <dcterms:created xsi:type="dcterms:W3CDTF">2021-09-09T09:55:35Z</dcterms:created>
  <dcterms:modified xsi:type="dcterms:W3CDTF">2023-08-30T08:31:17Z</dcterms:modified>
</cp:coreProperties>
</file>