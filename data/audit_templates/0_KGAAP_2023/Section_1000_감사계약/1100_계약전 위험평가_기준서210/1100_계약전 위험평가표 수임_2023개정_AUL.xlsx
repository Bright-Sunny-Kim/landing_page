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oin\Documents\0.20230713 레노보\0.한공회 감사조서 서식\2023년 감사조서서식(예시)_AUL Customized_2022 기반\23. 2023 감사조서 변경 사항\KGAAP 변경_230825\"/>
    </mc:Choice>
  </mc:AlternateContent>
  <xr:revisionPtr revIDLastSave="0" documentId="13_ncr:1_{C4BB4714-C6BB-4495-9753-88D42A6D23ED}" xr6:coauthVersionLast="47" xr6:coauthVersionMax="47" xr10:uidLastSave="{00000000-0000-0000-0000-000000000000}"/>
  <bookViews>
    <workbookView xWindow="2145" yWindow="1755" windowWidth="24225" windowHeight="15495" xr2:uid="{D2113727-E3C1-40F9-AB97-ECB63072F720}"/>
  </bookViews>
  <sheets>
    <sheet name="1100A" sheetId="2" r:id="rId1"/>
  </sheets>
  <definedNames>
    <definedName name="__IntlFixup" hidden="1">TRUE</definedName>
    <definedName name="__KEY2" hidden="1">#REF!</definedName>
    <definedName name="_104s1_" hidden="1">{#N/A,#N/A,FALSE,"UNIT";#N/A,#N/A,FALSE,"UNIT";#N/A,#N/A,FALSE,"계정"}</definedName>
    <definedName name="_105s10_" hidden="1">{#N/A,#N/A,FALSE,"UNIT";#N/A,#N/A,FALSE,"UNIT";#N/A,#N/A,FALSE,"계정"}</definedName>
    <definedName name="_106s11_" hidden="1">{#N/A,#N/A,FALSE,"UNIT";#N/A,#N/A,FALSE,"UNIT";#N/A,#N/A,FALSE,"계정"}</definedName>
    <definedName name="_107s12_" hidden="1">{#N/A,#N/A,FALSE,"UNIT";#N/A,#N/A,FALSE,"UNIT";#N/A,#N/A,FALSE,"계정"}</definedName>
    <definedName name="_108s13_" hidden="1">{#N/A,#N/A,FALSE,"UNIT";#N/A,#N/A,FALSE,"UNIT";#N/A,#N/A,FALSE,"계정"}</definedName>
    <definedName name="_109s14_" hidden="1">{#N/A,#N/A,FALSE,"UNIT";#N/A,#N/A,FALSE,"UNIT";#N/A,#N/A,FALSE,"계정"}</definedName>
    <definedName name="_110s16_" hidden="1">{#N/A,#N/A,FALSE,"UNIT";#N/A,#N/A,FALSE,"UNIT";#N/A,#N/A,FALSE,"계정"}</definedName>
    <definedName name="_111s17_" hidden="1">{#N/A,#N/A,FALSE,"UNIT";#N/A,#N/A,FALSE,"UNIT";#N/A,#N/A,FALSE,"계정"}</definedName>
    <definedName name="_112s2_" hidden="1">{#N/A,#N/A,FALSE,"UNIT";#N/A,#N/A,FALSE,"UNIT";#N/A,#N/A,FALSE,"계정"}</definedName>
    <definedName name="_113s3_" hidden="1">{#N/A,#N/A,FALSE,"UNIT";#N/A,#N/A,FALSE,"UNIT";#N/A,#N/A,FALSE,"계정"}</definedName>
    <definedName name="_114s4_" hidden="1">{#N/A,#N/A,FALSE,"UNIT";#N/A,#N/A,FALSE,"UNIT";#N/A,#N/A,FALSE,"계정"}</definedName>
    <definedName name="_115s5_" hidden="1">{#N/A,#N/A,FALSE,"UNIT";#N/A,#N/A,FALSE,"UNIT";#N/A,#N/A,FALSE,"계정"}</definedName>
    <definedName name="_116s6_" hidden="1">{#N/A,#N/A,FALSE,"UNIT";#N/A,#N/A,FALSE,"UNIT";#N/A,#N/A,FALSE,"계정"}</definedName>
    <definedName name="_117s9_" hidden="1">{#N/A,#N/A,FALSE,"UNIT";#N/A,#N/A,FALSE,"UNIT";#N/A,#N/A,FALSE,"계정"}</definedName>
    <definedName name="_92f3_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Dist_Bin" hidden="1">#N/A</definedName>
    <definedName name="_Dist_Values" hidden="1">#N/A</definedName>
    <definedName name="_Fill" hidden="1">#N/A</definedName>
    <definedName name="_xlnm._FilterDatabase" hidden="1">#N/A</definedName>
    <definedName name="_Key1" hidden="1">#N/A</definedName>
    <definedName name="_Key2" hidden="1">#N/A</definedName>
    <definedName name="_Key3" hidden="1">#REF!</definedName>
    <definedName name="_MatMult_A" hidden="1">#N/A</definedName>
    <definedName name="_MatMult_AxB" hidden="1">#N/A</definedName>
    <definedName name="_Order1" hidden="1">255</definedName>
    <definedName name="_Order2" hidden="1">255</definedName>
    <definedName name="_Parse_In" hidden="1">#N/A</definedName>
    <definedName name="_Parse_Out" hidden="1">#N/A</definedName>
    <definedName name="_Regression_Int" hidden="1">1</definedName>
    <definedName name="_Regression_Out" hidden="1">#N/A</definedName>
    <definedName name="_Regression_X" hidden="1">#N/A</definedName>
    <definedName name="_Regression_Y" hidden="1">#N/A</definedName>
    <definedName name="_Sort" hidden="1">#N/A</definedName>
    <definedName name="Aas" hidden="1">{#N/A,#N/A,FALSE,"을지 (4)";#N/A,#N/A,FALSE,"을지 (5)";#N/A,#N/A,FALSE,"을지 (6)"}</definedName>
    <definedName name="ABC" hidden="1">{#N/A,#N/A,FALSE,"초도품";#N/A,#N/A,FALSE,"초도품 (2)";#N/A,#N/A,FALSE,"초도품 (3)";#N/A,#N/A,FALSE,"초도품 (4)";#N/A,#N/A,FALSE,"초도품 (5)";#N/A,#N/A,FALSE,"초도품 (6)"}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"C:\생산판매\long98\9802장판원본.mdb"</definedName>
    <definedName name="ALㅓ머" hidden="1">{#N/A,#N/A,FALSE,"UNIT";#N/A,#N/A,FALSE,"UNIT";#N/A,#N/A,FALSE,"계정"}</definedName>
    <definedName name="AS2DocOpenMode" hidden="1">"AS2DocumentEdit"</definedName>
    <definedName name="AS2ReportLS" hidden="1">1</definedName>
    <definedName name="AS2SyncStepLS" hidden="1">0</definedName>
    <definedName name="AS2VersionLS" hidden="1">300</definedName>
    <definedName name="ASE" hidden="1">{#N/A,#N/A,FALSE,"초도품";#N/A,#N/A,FALSE,"초도품 (2)";#N/A,#N/A,FALSE,"초도품 (3)";#N/A,#N/A,FALSE,"초도품 (4)";#N/A,#N/A,FALSE,"초도품 (5)";#N/A,#N/A,FALSE,"초도품 (6)"}</definedName>
    <definedName name="ASS" hidden="1">{#N/A,#N/A,FALSE,"을지 (4)";#N/A,#N/A,FALSE,"을지 (5)";#N/A,#N/A,FALSE,"을지 (6)"}</definedName>
    <definedName name="AXD" hidden="1">{#N/A,#N/A,FALSE,"초도품";#N/A,#N/A,FALSE,"초도품 (2)";#N/A,#N/A,FALSE,"초도품 (3)";#N/A,#N/A,FALSE,"초도품 (4)";#N/A,#N/A,FALSE,"초도품 (5)";#N/A,#N/A,FALSE,"초도품 (6)"}</definedName>
    <definedName name="BG_Del" hidden="1">15</definedName>
    <definedName name="BG_Ins" hidden="1">4</definedName>
    <definedName name="BG_Mod" hidden="1">6</definedName>
    <definedName name="book1" hidden="1">{#N/A,#N/A,FALSE,"UNIT";#N/A,#N/A,FALSE,"UNIT";#N/A,#N/A,FALSE,"계정"}</definedName>
    <definedName name="cc0" hidden="1">{"'5국공정'!$A$1:$E$128"}</definedName>
    <definedName name="CF02기초" hidden="1">{#N/A,#N/A,TRUE,"Summary";#N/A,#N/A,TRUE,"IS";#N/A,#N/A,TRUE,"Adj";#N/A,#N/A,TRUE,"BS";#N/A,#N/A,TRUE,"CF";#N/A,#N/A,TRUE,"Debt";#N/A,#N/A,TRUE,"IRR"}</definedName>
    <definedName name="cfclear" hidden="1">{#N/A,#N/A,FALSE,"BS";#N/A,#N/A,FALSE,"PL";#N/A,#N/A,FALSE,"처분";#N/A,#N/A,FALSE,"현금";#N/A,#N/A,FALSE,"매출";#N/A,#N/A,FALSE,"원가";#N/A,#N/A,FALSE,"경영"}</definedName>
    <definedName name="chang" hidden="1">{#N/A,#N/A,FALSE,"을지 (4)";#N/A,#N/A,FALSE,"을지 (5)";#N/A,#N/A,FALSE,"을지 (6)"}</definedName>
    <definedName name="DATABASE1" hidden="1">#REF!</definedName>
    <definedName name="dddd" hidden="1">{#N/A,#N/A,FALSE,"UNIT";#N/A,#N/A,FALSE,"UNIT";#N/A,#N/A,FALSE,"계정"}</definedName>
    <definedName name="dddddddd" hidden="1">{"'5국공정'!$A$1:$E$128"}</definedName>
    <definedName name="DDS" hidden="1">{#N/A,#N/A,FALSE,"을지 (4)";#N/A,#N/A,FALSE,"을지 (5)";#N/A,#N/A,FALSE,"을지 (6)"}</definedName>
    <definedName name="djld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kdkd" hidden="1">{#N/A,#N/A,FALSE,"UNIT";#N/A,#N/A,FALSE,"UNIT";#N/A,#N/A,FALSE,"계정"}</definedName>
    <definedName name="DSA" hidden="1">{#N/A,#N/A,FALSE,"을지 (4)";#N/A,#N/A,FALSE,"을지 (5)";#N/A,#N/A,FALSE,"을지 (6)"}</definedName>
    <definedName name="dsdf" hidden="1">{#N/A,#N/A,TRUE,"Summary";#N/A,#N/A,TRUE,"IS";#N/A,#N/A,TRUE,"Adj";#N/A,#N/A,TRUE,"BS";#N/A,#N/A,TRUE,"CF";#N/A,#N/A,TRUE,"Debt";#N/A,#N/A,TRUE,"IRR"}</definedName>
    <definedName name="finding" hidden="1">{#N/A,#N/A,FALSE,"BS";#N/A,#N/A,FALSE,"PL";#N/A,#N/A,FALSE,"처분";#N/A,#N/A,FALSE,"현금";#N/A,#N/A,FALSE,"매출";#N/A,#N/A,FALSE,"원가";#N/A,#N/A,FALSE,"경영"}</definedName>
    <definedName name="fjalaslaslfasllaa" hidden="1">{#N/A,#N/A,FALSE,"을지 (4)";#N/A,#N/A,FALSE,"을지 (5)";#N/A,#N/A,FALSE,"을지 (6)"}</definedName>
    <definedName name="fjdi0s" hidden="1">#N/A</definedName>
    <definedName name="gg" hidden="1">{#N/A,#N/A,TRUE,"Summary";#N/A,#N/A,TRUE,"IS";#N/A,#N/A,TRUE,"Adj";#N/A,#N/A,TRUE,"BS";#N/A,#N/A,TRUE,"CF";#N/A,#N/A,TRUE,"Debt";#N/A,#N/A,TRUE,"IRR"}</definedName>
    <definedName name="gusg" hidden="1">{#N/A,#N/A,TRUE,"Summary";#N/A,#N/A,TRUE,"IS";#N/A,#N/A,TRUE,"Adj";#N/A,#N/A,TRUE,"BS";#N/A,#N/A,TRUE,"CF";#N/A,#N/A,TRUE,"Debt";#N/A,#N/A,TRUE,"IRR"}</definedName>
    <definedName name="HJKOL" hidden="1">#N/A</definedName>
    <definedName name="HTML_CodePage" hidden="1">949</definedName>
    <definedName name="HTML_Control" hidden="1">{"'5국공정'!$A$1:$E$128"}</definedName>
    <definedName name="HTML_Description" hidden="1">""</definedName>
    <definedName name="HTML_Email" hidden="1">"jaemins@netian.co.kr"</definedName>
    <definedName name="HTML_Header" hidden="1">""</definedName>
    <definedName name="HTML_LastUpdate" hidden="1">"99-01-11"</definedName>
    <definedName name="HTML_LineAfter" hidden="1">FALSE</definedName>
    <definedName name="HTML_LineBefore" hidden="1">TRUE</definedName>
    <definedName name="HTML_Name" hidden="1">"김재민"</definedName>
    <definedName name="HTML_OBDlg2" hidden="1">TRUE</definedName>
    <definedName name="HTML_OBDlg4" hidden="1">TRUE</definedName>
    <definedName name="HTML_OS" hidden="1">0</definedName>
    <definedName name="HTML_PathFile" hidden="1">"C:\홈페이지\일위대가.htm"</definedName>
    <definedName name="HTML_Title" hidden="1">"직접노무비"</definedName>
    <definedName name="HTML1_1" hidden="1">"[수주관리98.xls]회선현황!$A$5:$O$53"</definedName>
    <definedName name="HTML1_10" hidden="1">""</definedName>
    <definedName name="HTML1_11" hidden="1">1</definedName>
    <definedName name="HTML1_12" hidden="1">"C:\My Documents\98년\1월\영업현황\시험.htm"</definedName>
    <definedName name="HTML1_2" hidden="1">1</definedName>
    <definedName name="HTML1_3" hidden="1">"수주관리98"</definedName>
    <definedName name="HTML1_4" hidden="1">"회선현황"</definedName>
    <definedName name="HTML1_5" hidden="1">""</definedName>
    <definedName name="HTML1_6" hidden="1">-4146</definedName>
    <definedName name="HTML1_7" hidden="1">-4146</definedName>
    <definedName name="HTML1_8" hidden="1">"98-01-21"</definedName>
    <definedName name="HTML1_9" hidden="1">"김은광"</definedName>
    <definedName name="HTML10_1" hidden="1">"'[수주관리98.xls]2월1주차'!$A$1:$P$31"</definedName>
    <definedName name="HTML10_10" hidden="1">""</definedName>
    <definedName name="HTML10_11" hidden="1">1</definedName>
    <definedName name="HTML10_12" hidden="1">"C:\My Documents\98년\영업현황\일일현황-98.2.6.htm"</definedName>
    <definedName name="HTML10_2" hidden="1">1</definedName>
    <definedName name="HTML10_3" hidden="1">""</definedName>
    <definedName name="HTML10_4" hidden="1">""</definedName>
    <definedName name="HTML10_5" hidden="1">""</definedName>
    <definedName name="HTML10_6" hidden="1">-4146</definedName>
    <definedName name="HTML10_7" hidden="1">-4146</definedName>
    <definedName name="HTML10_8" hidden="1">""</definedName>
    <definedName name="HTML10_9" hidden="1">""</definedName>
    <definedName name="HTML11_1" hidden="1">"'[수주관리98.xls]2월2주차'!$A$1:$P$21"</definedName>
    <definedName name="HTML11_10" hidden="1">""</definedName>
    <definedName name="HTML11_11" hidden="1">1</definedName>
    <definedName name="HTML11_12" hidden="1">"C:\My Documents\98년\영업현황\일일현황-98.2.12.htm"</definedName>
    <definedName name="HTML11_2" hidden="1">1</definedName>
    <definedName name="HTML11_3" hidden="1">""</definedName>
    <definedName name="HTML11_4" hidden="1">""</definedName>
    <definedName name="HTML11_5" hidden="1">""</definedName>
    <definedName name="HTML11_6" hidden="1">-4146</definedName>
    <definedName name="HTML11_7" hidden="1">-4146</definedName>
    <definedName name="HTML11_8" hidden="1">""</definedName>
    <definedName name="HTML11_9" hidden="1">""</definedName>
    <definedName name="HTML12_1" hidden="1">"'[수주관리98.xls]2월2주차'!$A$1:$P$34"</definedName>
    <definedName name="HTML12_10" hidden="1">""</definedName>
    <definedName name="HTML12_11" hidden="1">1</definedName>
    <definedName name="HTML12_12" hidden="1">"C:\My Documents\98년\영업현황\일일현황-98.2.13.htm"</definedName>
    <definedName name="HTML12_2" hidden="1">1</definedName>
    <definedName name="HTML12_3" hidden="1">""</definedName>
    <definedName name="HTML12_4" hidden="1">""</definedName>
    <definedName name="HTML12_5" hidden="1">""</definedName>
    <definedName name="HTML12_6" hidden="1">-4146</definedName>
    <definedName name="HTML12_7" hidden="1">-4146</definedName>
    <definedName name="HTML12_8" hidden="1">""</definedName>
    <definedName name="HTML12_9" hidden="1">""</definedName>
    <definedName name="HTML13_1" hidden="1">"'[수주관리98.xls]2월2주차'!$A$1:$P$19"</definedName>
    <definedName name="HTML13_10" hidden="1">""</definedName>
    <definedName name="HTML13_11" hidden="1">1</definedName>
    <definedName name="HTML13_12" hidden="1">"C:\My Documents\98년\영업현황\일일현황-98.2.12.htm"</definedName>
    <definedName name="HTML13_2" hidden="1">1</definedName>
    <definedName name="HTML13_3" hidden="1">""</definedName>
    <definedName name="HTML13_4" hidden="1">""</definedName>
    <definedName name="HTML13_5" hidden="1">""</definedName>
    <definedName name="HTML13_6" hidden="1">-4146</definedName>
    <definedName name="HTML13_7" hidden="1">-4146</definedName>
    <definedName name="HTML13_8" hidden="1">""</definedName>
    <definedName name="HTML13_9" hidden="1">""</definedName>
    <definedName name="HTML14_1" hidden="1">"'[수주관리98.xls]2월2주차'!$A$1:$P$17"</definedName>
    <definedName name="HTML14_10" hidden="1">""</definedName>
    <definedName name="HTML14_11" hidden="1">1</definedName>
    <definedName name="HTML14_12" hidden="1">"C:\My Documents\98년\영업현황\일일현황-98.2.9.htm"</definedName>
    <definedName name="HTML14_2" hidden="1">1</definedName>
    <definedName name="HTML14_3" hidden="1">""</definedName>
    <definedName name="HTML14_4" hidden="1">""</definedName>
    <definedName name="HTML14_5" hidden="1">""</definedName>
    <definedName name="HTML14_6" hidden="1">-4146</definedName>
    <definedName name="HTML14_7" hidden="1">-4146</definedName>
    <definedName name="HTML14_8" hidden="1">""</definedName>
    <definedName name="HTML14_9" hidden="1">""</definedName>
    <definedName name="HTML15_1" hidden="1">"'[수주관리98.xls]2월3주차'!$A$1:$P$20"</definedName>
    <definedName name="HTML15_10" hidden="1">""</definedName>
    <definedName name="HTML15_11" hidden="1">1</definedName>
    <definedName name="HTML15_12" hidden="1">"C:\My Documents\98년\영업현황\일일현황-98.2.16.htm"</definedName>
    <definedName name="HTML15_2" hidden="1">1</definedName>
    <definedName name="HTML15_3" hidden="1">""</definedName>
    <definedName name="HTML15_4" hidden="1">""</definedName>
    <definedName name="HTML15_5" hidden="1">""</definedName>
    <definedName name="HTML15_6" hidden="1">-4146</definedName>
    <definedName name="HTML15_7" hidden="1">-4146</definedName>
    <definedName name="HTML15_8" hidden="1">""</definedName>
    <definedName name="HTML15_9" hidden="1">""</definedName>
    <definedName name="HTML16_1" hidden="1">"'[수주통합관리98_2_21.xls]2월3주차'!$A$1:$I$89"</definedName>
    <definedName name="HTML16_10" hidden="1">""</definedName>
    <definedName name="HTML16_11" hidden="1">1</definedName>
    <definedName name="HTML16_12" hidden="1">"C:\My Documents\98년\영업현황\일일현황-98.2.25.htm"</definedName>
    <definedName name="HTML16_2" hidden="1">1</definedName>
    <definedName name="HTML16_3" hidden="1">""</definedName>
    <definedName name="HTML16_4" hidden="1">""</definedName>
    <definedName name="HTML16_5" hidden="1">""</definedName>
    <definedName name="HTML16_6" hidden="1">-4146</definedName>
    <definedName name="HTML16_7" hidden="1">-4146</definedName>
    <definedName name="HTML16_8" hidden="1">""</definedName>
    <definedName name="HTML16_9" hidden="1">""</definedName>
    <definedName name="HTML17_1" hidden="1">"'[수주통합관리98_2_21.xls]2월3주차'!$A$4:$H$30"</definedName>
    <definedName name="HTML17_10" hidden="1">""</definedName>
    <definedName name="HTML17_11" hidden="1">1</definedName>
    <definedName name="HTML17_12" hidden="1">"C:\My Documents\98년\영업현황\1월 수주현황.htm"</definedName>
    <definedName name="HTML17_2" hidden="1">1</definedName>
    <definedName name="HTML17_3" hidden="1">""</definedName>
    <definedName name="HTML17_4" hidden="1">""</definedName>
    <definedName name="HTML17_5" hidden="1">""</definedName>
    <definedName name="HTML17_6" hidden="1">-4146</definedName>
    <definedName name="HTML17_7" hidden="1">-4146</definedName>
    <definedName name="HTML17_8" hidden="1">""</definedName>
    <definedName name="HTML17_9" hidden="1">""</definedName>
    <definedName name="HTML18_1" hidden="1">"'[수주통합관리98_2_21.xls]2월3주차'!$A$32:$I$58"</definedName>
    <definedName name="HTML18_10" hidden="1">""</definedName>
    <definedName name="HTML18_11" hidden="1">1</definedName>
    <definedName name="HTML18_12" hidden="1">"C:\My Documents\98년\영업현황\2월 수주현황(2월25일 현재).htm"</definedName>
    <definedName name="HTML18_2" hidden="1">1</definedName>
    <definedName name="HTML18_3" hidden="1">""</definedName>
    <definedName name="HTML18_4" hidden="1">""</definedName>
    <definedName name="HTML18_5" hidden="1">""</definedName>
    <definedName name="HTML18_6" hidden="1">-4146</definedName>
    <definedName name="HTML18_7" hidden="1">-4146</definedName>
    <definedName name="HTML18_8" hidden="1">""</definedName>
    <definedName name="HTML18_9" hidden="1">""</definedName>
    <definedName name="HTML19_1" hidden="1">"'[수주통합관리98_2_21.xls]2월3주차'!$A$63:$F$89"</definedName>
    <definedName name="HTML19_10" hidden="1">""</definedName>
    <definedName name="HTML19_11" hidden="1">1</definedName>
    <definedName name="HTML19_12" hidden="1">"C:\My Documents\98년\영업현황\월별현황(2월25일 현재).htm"</definedName>
    <definedName name="HTML19_2" hidden="1">1</definedName>
    <definedName name="HTML19_3" hidden="1">""</definedName>
    <definedName name="HTML19_4" hidden="1">""</definedName>
    <definedName name="HTML19_5" hidden="1">""</definedName>
    <definedName name="HTML19_6" hidden="1">-4146</definedName>
    <definedName name="HTML19_7" hidden="1">-4146</definedName>
    <definedName name="HTML19_8" hidden="1">""</definedName>
    <definedName name="HTML19_9" hidden="1">""</definedName>
    <definedName name="HTML2_1" hidden="1">"[수주관리98.xls]일일현황!$A$1:$L$10"</definedName>
    <definedName name="HTML2_10" hidden="1">""</definedName>
    <definedName name="HTML2_11" hidden="1">1</definedName>
    <definedName name="HTML2_12" hidden="1">"C:\My Documents\98년\1월\영업현황\일일현황-98.1.22.htm"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1</definedName>
    <definedName name="HTML2_8" hidden="1">"98-01-22"</definedName>
    <definedName name="HTML2_9" hidden="1">""</definedName>
    <definedName name="HTML20_1" hidden="1">"'[수주통합관리98_2_25.xls]2월4주차'!$A$71:$F$97"</definedName>
    <definedName name="HTML20_10" hidden="1">""</definedName>
    <definedName name="HTML20_11" hidden="1">1</definedName>
    <definedName name="HTML20_12" hidden="1">"C:\My Documents\98년\영업현황\월별현황(2월 마감분).htm"</definedName>
    <definedName name="HTML20_2" hidden="1">1</definedName>
    <definedName name="HTML20_3" hidden="1">""</definedName>
    <definedName name="HTML20_4" hidden="1">""</definedName>
    <definedName name="HTML20_5" hidden="1">""</definedName>
    <definedName name="HTML20_6" hidden="1">-4146</definedName>
    <definedName name="HTML20_7" hidden="1">-4146</definedName>
    <definedName name="HTML20_8" hidden="1">""</definedName>
    <definedName name="HTML20_9" hidden="1">""</definedName>
    <definedName name="HTML21_1" hidden="1">"'[수주통합관리98_2_25.xls]2월4주차'!$A$4:$H$29"</definedName>
    <definedName name="HTML21_10" hidden="1">""</definedName>
    <definedName name="HTML21_11" hidden="1">1</definedName>
    <definedName name="HTML21_12" hidden="1">"C:\My Documents\98년\영업현황\1월 수주현황(1월 마감분).htm"</definedName>
    <definedName name="HTML21_2" hidden="1">1</definedName>
    <definedName name="HTML21_3" hidden="1">""</definedName>
    <definedName name="HTML21_4" hidden="1">""</definedName>
    <definedName name="HTML21_5" hidden="1">""</definedName>
    <definedName name="HTML21_6" hidden="1">-4146</definedName>
    <definedName name="HTML21_7" hidden="1">-4146</definedName>
    <definedName name="HTML21_8" hidden="1">""</definedName>
    <definedName name="HTML21_9" hidden="1">""</definedName>
    <definedName name="HTML22_1" hidden="1">"'[수주통합관리98_2_25.xls]2월4주차'!$A$31:$I$66"</definedName>
    <definedName name="HTML22_10" hidden="1">""</definedName>
    <definedName name="HTML22_11" hidden="1">1</definedName>
    <definedName name="HTML22_12" hidden="1">"C:\My Documents\98년\영업현황\1월 수주현황(2월 마감분).htm"</definedName>
    <definedName name="HTML22_2" hidden="1">1</definedName>
    <definedName name="HTML22_3" hidden="1">""</definedName>
    <definedName name="HTML22_4" hidden="1">""</definedName>
    <definedName name="HTML22_5" hidden="1">""</definedName>
    <definedName name="HTML22_6" hidden="1">-4146</definedName>
    <definedName name="HTML22_7" hidden="1">-4146</definedName>
    <definedName name="HTML22_8" hidden="1">""</definedName>
    <definedName name="HTML22_9" hidden="1">""</definedName>
    <definedName name="HTML23_1" hidden="1">"[수주통합관리98_2_25.xls]보고양식!$A$32:$I$68"</definedName>
    <definedName name="HTML23_10" hidden="1">""</definedName>
    <definedName name="HTML23_11" hidden="1">1</definedName>
    <definedName name="HTML23_12" hidden="1">"C:\My Documents\98년\영업현황\2월 수주현황(2월 마감분).htm"</definedName>
    <definedName name="HTML23_2" hidden="1">1</definedName>
    <definedName name="HTML23_3" hidden="1">""</definedName>
    <definedName name="HTML23_4" hidden="1">""</definedName>
    <definedName name="HTML23_5" hidden="1">""</definedName>
    <definedName name="HTML23_6" hidden="1">-4146</definedName>
    <definedName name="HTML23_7" hidden="1">-4146</definedName>
    <definedName name="HTML23_8" hidden="1">""</definedName>
    <definedName name="HTML23_9" hidden="1">""</definedName>
    <definedName name="HTML24_1" hidden="1">"[수주통합관리98_2_25.xls]보고양식!$A$73:$F$98"</definedName>
    <definedName name="HTML24_10" hidden="1">""</definedName>
    <definedName name="HTML24_11" hidden="1">1</definedName>
    <definedName name="HTML24_12" hidden="1">"C:\My Documents\98년\영업현황\월별현황(2월 마감분).htm"</definedName>
    <definedName name="HTML24_2" hidden="1">1</definedName>
    <definedName name="HTML24_3" hidden="1">""</definedName>
    <definedName name="HTML24_4" hidden="1">""</definedName>
    <definedName name="HTML24_5" hidden="1">""</definedName>
    <definedName name="HTML24_6" hidden="1">-4146</definedName>
    <definedName name="HTML24_7" hidden="1">-4146</definedName>
    <definedName name="HTML24_8" hidden="1">""</definedName>
    <definedName name="HTML24_9" hidden="1">""</definedName>
    <definedName name="HTML25_1" hidden="1">"[수주통합관리98_2_25.xls]보고양식!$A$4:$I$29"</definedName>
    <definedName name="HTML25_10" hidden="1">""</definedName>
    <definedName name="HTML25_11" hidden="1">1</definedName>
    <definedName name="HTML25_12" hidden="1">"C:\My Documents\98년\영업현황\1월 수주현황(1월 마감분).htm"</definedName>
    <definedName name="HTML25_2" hidden="1">1</definedName>
    <definedName name="HTML25_3" hidden="1">""</definedName>
    <definedName name="HTML25_4" hidden="1">""</definedName>
    <definedName name="HTML25_5" hidden="1">""</definedName>
    <definedName name="HTML25_6" hidden="1">-4146</definedName>
    <definedName name="HTML25_7" hidden="1">-4146</definedName>
    <definedName name="HTML25_8" hidden="1">""</definedName>
    <definedName name="HTML25_9" hidden="1">""</definedName>
    <definedName name="HTML26_1" hidden="1">"[수주통합관리98_2_25.xls]보고양식!$A$31:$K$80"</definedName>
    <definedName name="HTML26_10" hidden="1">""</definedName>
    <definedName name="HTML26_11" hidden="1">1</definedName>
    <definedName name="HTML26_12" hidden="1">"C:\My Documents\98년\영업현황\2월 수주현황(2월 마감분).htm"</definedName>
    <definedName name="HTML26_2" hidden="1">1</definedName>
    <definedName name="HTML26_3" hidden="1">""</definedName>
    <definedName name="HTML26_4" hidden="1">""</definedName>
    <definedName name="HTML26_5" hidden="1">""</definedName>
    <definedName name="HTML26_6" hidden="1">-4146</definedName>
    <definedName name="HTML26_7" hidden="1">-4146</definedName>
    <definedName name="HTML26_8" hidden="1">""</definedName>
    <definedName name="HTML26_9" hidden="1">""</definedName>
    <definedName name="HTML27_1" hidden="1">"[수주통합관리98_2_25.xls]보고양식!$B$84:$G$109"</definedName>
    <definedName name="HTML27_10" hidden="1">""</definedName>
    <definedName name="HTML27_11" hidden="1">1</definedName>
    <definedName name="HTML27_12" hidden="1">"C:\My Documents\98년\영업현황\월별현황(2월 마감분).htm"</definedName>
    <definedName name="HTML27_2" hidden="1">1</definedName>
    <definedName name="HTML27_3" hidden="1">""</definedName>
    <definedName name="HTML27_4" hidden="1">""</definedName>
    <definedName name="HTML27_5" hidden="1">""</definedName>
    <definedName name="HTML27_6" hidden="1">-4146</definedName>
    <definedName name="HTML27_7" hidden="1">-4146</definedName>
    <definedName name="HTML27_8" hidden="1">""</definedName>
    <definedName name="HTML27_9" hidden="1">""</definedName>
    <definedName name="HTML28_1" hidden="1">"[수주통합관리98_3_2.xls]보고양식!$B$92:$G$117"</definedName>
    <definedName name="HTML28_10" hidden="1">""</definedName>
    <definedName name="HTML28_11" hidden="1">1</definedName>
    <definedName name="HTML28_12" hidden="1">"C:\My Documents\98년\영업현황\월별현황(2월 마감분).htm"</definedName>
    <definedName name="HTML28_2" hidden="1">1</definedName>
    <definedName name="HTML28_3" hidden="1">""</definedName>
    <definedName name="HTML28_4" hidden="1">""</definedName>
    <definedName name="HTML28_5" hidden="1">""</definedName>
    <definedName name="HTML28_6" hidden="1">-4146</definedName>
    <definedName name="HTML28_7" hidden="1">-4146</definedName>
    <definedName name="HTML28_8" hidden="1">""</definedName>
    <definedName name="HTML28_9" hidden="1">""</definedName>
    <definedName name="HTML29_1" hidden="1">"[수주통합관리98_3_2.xls]보고양식!$A$31:$K$88"</definedName>
    <definedName name="HTML29_10" hidden="1">""</definedName>
    <definedName name="HTML29_11" hidden="1">1</definedName>
    <definedName name="HTML29_12" hidden="1">"C:\My Documents\98년\영업현황\2월 수주현황(2월 마감분).htm"</definedName>
    <definedName name="HTML29_2" hidden="1">1</definedName>
    <definedName name="HTML29_3" hidden="1">""</definedName>
    <definedName name="HTML29_4" hidden="1">""</definedName>
    <definedName name="HTML29_5" hidden="1">""</definedName>
    <definedName name="HTML29_6" hidden="1">-4146</definedName>
    <definedName name="HTML29_7" hidden="1">-4146</definedName>
    <definedName name="HTML29_8" hidden="1">""</definedName>
    <definedName name="HTML29_9" hidden="1">""</definedName>
    <definedName name="HTML3_1" hidden="1">"[수주관리98.xls]일일현황!$A$1:$N$9"</definedName>
    <definedName name="HTML3_10" hidden="1">""</definedName>
    <definedName name="HTML3_11" hidden="1">1</definedName>
    <definedName name="HTML3_12" hidden="1">"C:\My Documents\98년\영업현황\일일현황-98.1.23.htm"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1</definedName>
    <definedName name="HTML3_7" hidden="1">1</definedName>
    <definedName name="HTML3_8" hidden="1">""</definedName>
    <definedName name="HTML3_9" hidden="1">""</definedName>
    <definedName name="HTML30_1" hidden="1">"'[사본 - 영업통합관리(수주.매출).xls]보고양식'!$A$114:$K$131"</definedName>
    <definedName name="HTML30_10" hidden="1">""</definedName>
    <definedName name="HTML30_11" hidden="1">1</definedName>
    <definedName name="HTML30_12" hidden="1">"C:\My Documents\98년\영업현황\일일현황-98.3.12.htm"</definedName>
    <definedName name="HTML30_2" hidden="1">1</definedName>
    <definedName name="HTML30_3" hidden="1">""</definedName>
    <definedName name="HTML30_4" hidden="1">""</definedName>
    <definedName name="HTML30_5" hidden="1">""</definedName>
    <definedName name="HTML30_6" hidden="1">-4146</definedName>
    <definedName name="HTML30_7" hidden="1">-4146</definedName>
    <definedName name="HTML30_8" hidden="1">""</definedName>
    <definedName name="HTML30_9" hidden="1">""</definedName>
    <definedName name="HTML4_1" hidden="1">"[수주관리98.xls]영업!$A$1:$N$15"</definedName>
    <definedName name="HTML4_10" hidden="1">""</definedName>
    <definedName name="HTML4_11" hidden="1">1</definedName>
    <definedName name="HTML4_12" hidden="1">"C:\My Documents\98년\영업현황\일일현황-98.1.31.htm"</definedName>
    <definedName name="HTML4_2" hidden="1">1</definedName>
    <definedName name="HTML4_3" hidden="1">""</definedName>
    <definedName name="HTML4_4" hidden="1">""</definedName>
    <definedName name="HTML4_5" hidden="1">""</definedName>
    <definedName name="HTML4_6" hidden="1">1</definedName>
    <definedName name="HTML4_7" hidden="1">1</definedName>
    <definedName name="HTML4_8" hidden="1">"98-01-31"</definedName>
    <definedName name="HTML4_9" hidden="1">""</definedName>
    <definedName name="HTML5_1" hidden="1">"[수주관리98.xls]영업!$A$1:$N$29"</definedName>
    <definedName name="HTML5_10" hidden="1">""</definedName>
    <definedName name="HTML5_11" hidden="1">1</definedName>
    <definedName name="HTML5_12" hidden="1">"C:\My Documents\98년\영업현황\일일현황-98.1.31.v.htm"</definedName>
    <definedName name="HTML5_2" hidden="1">1</definedName>
    <definedName name="HTML5_3" hidden="1">""</definedName>
    <definedName name="HTML5_4" hidden="1">""</definedName>
    <definedName name="HTML5_5" hidden="1">""</definedName>
    <definedName name="HTML5_6" hidden="1">1</definedName>
    <definedName name="HTML5_7" hidden="1">1</definedName>
    <definedName name="HTML5_8" hidden="1">""</definedName>
    <definedName name="HTML5_9" hidden="1">""</definedName>
    <definedName name="HTML6_1" hidden="1">"'[수주관리98.xls]2월'!$A$1:$P$48"</definedName>
    <definedName name="HTML6_10" hidden="1">""</definedName>
    <definedName name="HTML6_11" hidden="1">1</definedName>
    <definedName name="HTML6_12" hidden="1">"C:\My Documents\98년\영업현황\일일현황-98.1.31.htm"</definedName>
    <definedName name="HTML6_2" hidden="1">1</definedName>
    <definedName name="HTML6_3" hidden="1">""</definedName>
    <definedName name="HTML6_4" hidden="1">""</definedName>
    <definedName name="HTML6_5" hidden="1">""</definedName>
    <definedName name="HTML6_6" hidden="1">-4146</definedName>
    <definedName name="HTML6_7" hidden="1">-4146</definedName>
    <definedName name="HTML6_8" hidden="1">""</definedName>
    <definedName name="HTML6_9" hidden="1">""</definedName>
    <definedName name="HTML7_1" hidden="1">"'[수주관리98.xls]2월'!$A$3:$P$30"</definedName>
    <definedName name="HTML7_10" hidden="1">""</definedName>
    <definedName name="HTML7_11" hidden="1">1</definedName>
    <definedName name="HTML7_12" hidden="1">"C:\My Documents\98년\영업현황\일일현황-98.1.31.htm"</definedName>
    <definedName name="HTML7_2" hidden="1">1</definedName>
    <definedName name="HTML7_3" hidden="1">""</definedName>
    <definedName name="HTML7_4" hidden="1">""</definedName>
    <definedName name="HTML7_5" hidden="1">""</definedName>
    <definedName name="HTML7_6" hidden="1">-4146</definedName>
    <definedName name="HTML7_7" hidden="1">-4146</definedName>
    <definedName name="HTML7_8" hidden="1">""</definedName>
    <definedName name="HTML7_9" hidden="1">""</definedName>
    <definedName name="HTML8_1" hidden="1">"'[수주관리98.xls]2월'!$A$1:$P$30"</definedName>
    <definedName name="HTML8_10" hidden="1">""</definedName>
    <definedName name="HTML8_11" hidden="1">1</definedName>
    <definedName name="HTML8_12" hidden="1">"C:\My Documents\98년\영업현황\일일현황-98.1.31.htm"</definedName>
    <definedName name="HTML8_2" hidden="1">1</definedName>
    <definedName name="HTML8_3" hidden="1">""</definedName>
    <definedName name="HTML8_4" hidden="1">""</definedName>
    <definedName name="HTML8_5" hidden="1">""</definedName>
    <definedName name="HTML8_6" hidden="1">-4146</definedName>
    <definedName name="HTML8_7" hidden="1">-4146</definedName>
    <definedName name="HTML8_8" hidden="1">""</definedName>
    <definedName name="HTML8_9" hidden="1">""</definedName>
    <definedName name="HTML9_1" hidden="1">"'[수주관리98.xls]2월'!$A$1:$P$19"</definedName>
    <definedName name="HTML9_10" hidden="1">""</definedName>
    <definedName name="HTML9_11" hidden="1">1</definedName>
    <definedName name="HTML9_12" hidden="1">"C:\My Documents\98년\영업현황\일일현황-98.2.10.htm"</definedName>
    <definedName name="HTML9_2" hidden="1">1</definedName>
    <definedName name="HTML9_3" hidden="1">""</definedName>
    <definedName name="HTML9_4" hidden="1">""</definedName>
    <definedName name="HTML9_5" hidden="1">""</definedName>
    <definedName name="HTML9_6" hidden="1">-4146</definedName>
    <definedName name="HTML9_7" hidden="1">-4146</definedName>
    <definedName name="HTML9_8" hidden="1">""</definedName>
    <definedName name="HTML9_9" hidden="1">""</definedName>
    <definedName name="HTMLCount" hidden="1">30</definedName>
    <definedName name="htr" hidden="1">#N/A</definedName>
    <definedName name="HUI" hidden="1">#N/A</definedName>
    <definedName name="ii" hidden="1">{#N/A,#N/A,FALSE,"UNIT";#N/A,#N/A,FALSE,"UNIT";#N/A,#N/A,FALSE,"계정"}</definedName>
    <definedName name="IJHY" hidden="1">#N/A</definedName>
    <definedName name="inwon" hidden="1">{#N/A,#N/A,FALSE,"UNIT";#N/A,#N/A,FALSE,"UNIT";#N/A,#N/A,FALSE,"계정"}</definedName>
    <definedName name="jhbjkhkj" hidden="1">{#N/A,#N/A,TRUE,"Summary";#N/A,#N/A,TRUE,"IS";#N/A,#N/A,TRUE,"Adj";#N/A,#N/A,TRUE,"BS";#N/A,#N/A,TRUE,"CF";#N/A,#N/A,TRUE,"Debt";#N/A,#N/A,TRUE,"IRR"}</definedName>
    <definedName name="JJJJ" hidden="1">#N/A</definedName>
    <definedName name="jkljlkjl" hidden="1">{#N/A,#N/A,FALSE,"UNIT";#N/A,#N/A,FALSE,"UNIT";#N/A,#N/A,FALSE,"계정"}</definedName>
    <definedName name="JUU" hidden="1">#N/A</definedName>
    <definedName name="k" hidden="1">{"'5국공정'!$A$1:$E$128"}</definedName>
    <definedName name="KC" hidden="1">{#N/A,#N/A,FALSE,"을지 (4)";#N/A,#N/A,FALSE,"을지 (5)";#N/A,#N/A,FALSE,"을지 (6)"}</definedName>
    <definedName name="kkkk" hidden="1">{#N/A,"수불부",FALSE,"사급자재수불서";#N/A,"수불부",FALSE,"사급자재수불서"}</definedName>
    <definedName name="KN" hidden="1">{#N/A,#N/A,FALSE,"을지 (4)";#N/A,#N/A,FALSE,"을지 (5)";#N/A,#N/A,FALSE,"을지 (6)"}</definedName>
    <definedName name="LKJ" hidden="1">{#N/A,#N/A,FALSE,"을지 (4)";#N/A,#N/A,FALSE,"을지 (5)";#N/A,#N/A,FALSE,"을지 (6)"}</definedName>
    <definedName name="ll" hidden="1">#N/A</definedName>
    <definedName name="MYJ" hidden="1">{#N/A,#N/A,FALSE,"UNIT";#N/A,#N/A,FALSE,"UNIT";#N/A,#N/A,FALSE,"계정"}</definedName>
    <definedName name="Order" hidden="1">0</definedName>
    <definedName name="ownership" hidden="1">{#N/A,#N/A,TRUE,"Summary";#N/A,#N/A,TRUE,"IS";#N/A,#N/A,TRUE,"Adj";#N/A,#N/A,TRUE,"BS";#N/A,#N/A,TRUE,"CF";#N/A,#N/A,TRUE,"Debt";#N/A,#N/A,TRUE,"IRR"}</definedName>
    <definedName name="QAW" hidden="1">{#N/A,#N/A,FALSE,"을지 (4)";#N/A,#N/A,FALSE,"을지 (5)";#N/A,#N/A,FALSE,"을지 (6)"}</definedName>
    <definedName name="QE" hidden="1">{#N/A,#N/A,FALSE,"초도품";#N/A,#N/A,FALSE,"초도품 (2)";#N/A,#N/A,FALSE,"초도품 (3)";#N/A,#N/A,FALSE,"초도품 (4)";#N/A,#N/A,FALSE,"초도품 (5)";#N/A,#N/A,FALSE,"초도품 (6)"}</definedName>
    <definedName name="qqq" hidden="1">{#N/A,#N/A,FALSE,"BS";#N/A,#N/A,FALSE,"PL";#N/A,#N/A,FALSE,"처분";#N/A,#N/A,FALSE,"현금";#N/A,#N/A,FALSE,"매출";#N/A,#N/A,FALSE,"원가";#N/A,#N/A,FALSE,"경영"}</definedName>
    <definedName name="QQQQQ" hidden="1">{#N/A,#N/A,FALSE,"UNIT";#N/A,#N/A,FALSE,"UNIT";#N/A,#N/A,FALSE,"계정"}</definedName>
    <definedName name="QWA" hidden="1">{#N/A,#N/A,FALSE,"을지 (4)";#N/A,#N/A,FALSE,"을지 (5)";#N/A,#N/A,FALSE,"을지 (6)"}</definedName>
    <definedName name="R_COVER" hidden="1">{#N/A,#N/A,FALSE,"단축1";#N/A,#N/A,FALSE,"단축2";#N/A,#N/A,FALSE,"단축3";#N/A,#N/A,FALSE,"장축";#N/A,#N/A,FALSE,"4WD"}</definedName>
    <definedName name="rews" hidden="1">#N/A</definedName>
    <definedName name="RISK내용" hidden="1">{#N/A,#N/A,FALSE,"UNIT";#N/A,#N/A,FALSE,"UNIT";#N/A,#N/A,FALSE,"계정"}</definedName>
    <definedName name="rk" hidden="1">{#N/A,#N/A,FALSE,"BS";#N/A,#N/A,FALSE,"PL";#N/A,#N/A,FALSE,"처분";#N/A,#N/A,FALSE,"현금";#N/A,#N/A,FALSE,"매출";#N/A,#N/A,FALSE,"원가";#N/A,#N/A,FALSE,"경영"}</definedName>
    <definedName name="RKRKR" hidden="1">{#N/A,#N/A,FALSE,"초도품";#N/A,#N/A,FALSE,"초도품 (2)";#N/A,#N/A,FALSE,"초도품 (3)";#N/A,#N/A,FALSE,"초도품 (4)";#N/A,#N/A,FALSE,"초도품 (5)";#N/A,#N/A,FALSE,"초도품 (6)"}</definedName>
    <definedName name="rPghlr" hidden="1">{#N/A,#N/A,FALSE,"기술료 비교"}</definedName>
    <definedName name="RR.BRAKE" hidden="1">{#N/A,#N/A,FALSE,"단축1";#N/A,#N/A,FALSE,"단축2";#N/A,#N/A,FALSE,"단축3";#N/A,#N/A,FALSE,"장축";#N/A,#N/A,FALSE,"4WD"}</definedName>
    <definedName name="RR.BRK" hidden="1">{#N/A,#N/A,FALSE,"단축1";#N/A,#N/A,FALSE,"단축2";#N/A,#N/A,FALSE,"단축3";#N/A,#N/A,FALSE,"장축";#N/A,#N/A,FALSE,"4WD"}</definedName>
    <definedName name="s" hidden="1">{#N/A,#N/A,FALSE,"BS";#N/A,#N/A,FALSE,"PL";#N/A,#N/A,FALSE,"처분";#N/A,#N/A,FALSE,"현금";#N/A,#N/A,FALSE,"매출";#N/A,#N/A,FALSE,"원가";#N/A,#N/A,FALSE,"경영"}</definedName>
    <definedName name="SAPBEXrevision" hidden="1">1</definedName>
    <definedName name="SAPBEXsysID" hidden="1">"BWP"</definedName>
    <definedName name="SAPBEXwbID" hidden="1">"42EOBBR0ESV7SIVXR0TWAHCYG"</definedName>
    <definedName name="sheet" hidden="1">{#N/A,#N/A,FALSE,"UNIT";#N/A,#N/A,FALSE,"UNIT";#N/A,#N/A,FALSE,"계정"}</definedName>
    <definedName name="SSD" hidden="1">{#N/A,#N/A,FALSE,"을지 (4)";#N/A,#N/A,FALSE,"을지 (5)";#N/A,#N/A,FALSE,"을지 (6)"}</definedName>
    <definedName name="teww" hidden="1">#N/A</definedName>
    <definedName name="TextRefCopyRangeCount" hidden="1">1</definedName>
    <definedName name="tggf" hidden="1">#N/A</definedName>
    <definedName name="TORSION" hidden="1">{#N/A,#N/A,FALSE,"단축1";#N/A,#N/A,FALSE,"단축2";#N/A,#N/A,FALSE,"단축3";#N/A,#N/A,FALSE,"장축";#N/A,#N/A,FALSE,"4WD"}</definedName>
    <definedName name="TT" hidden="1">{#N/A,#N/A,FALSE,"UNIT";#N/A,#N/A,FALSE,"UNIT";#N/A,#N/A,FALSE,"계정"}</definedName>
    <definedName name="tthh" hidden="1">#N/A</definedName>
    <definedName name="vision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" hidden="1">{#N/A,#N/A,FALSE,"BS";#N/A,#N/A,FALSE,"PL";#N/A,#N/A,FALSE,"처분";#N/A,#N/A,FALSE,"현금";#N/A,#N/A,FALSE,"매출";#N/A,#N/A,FALSE,"원가";#N/A,#N/A,FALSE,"경영"}</definedName>
    <definedName name="wdd" hidden="1">{#N/A,#N/A,FALSE,"UNIT";#N/A,#N/A,FALSE,"UNIT";#N/A,#N/A,FALSE,"계정"}</definedName>
    <definedName name="wjd" hidden="1">{#N/A,#N/A,FALSE,"BS";#N/A,#N/A,FALSE,"PL";#N/A,#N/A,FALSE,"처분";#N/A,#N/A,FALSE,"현금";#N/A,#N/A,FALSE,"매출";#N/A,#N/A,FALSE,"원가";#N/A,#N/A,FALSE,"경영"}</definedName>
    <definedName name="WQ" hidden="1">{#N/A,#N/A,FALSE,"을지 (4)";#N/A,#N/A,FALSE,"을지 (5)";#N/A,#N/A,FALSE,"을지 (6)"}</definedName>
    <definedName name="wrn.aa." hidden="1">{#N/A,#N/A,FALSE,"UNIT";#N/A,#N/A,FALSE,"UNIT";#N/A,#N/A,FALSE,"계정"}</definedName>
    <definedName name="wrn.Aging._.and._.Trend._.Analysis." hidden="1">{#N/A,#N/A,FALSE,"Aging Summary";#N/A,#N/A,FALSE,"Ratio Analysis";#N/A,#N/A,FALSE,"Test 120 Day Accts";#N/A,#N/A,FALSE,"Tickmarks"}</definedName>
    <definedName name="wrn.AU._.검사성적서." hidden="1">{#N/A,#N/A,FALSE,"을지 (4)";#N/A,#N/A,FALSE,"을지 (5)";#N/A,#N/A,FALSE,"을지 (6)"}</definedName>
    <definedName name="wrn.AU._.초도품._.보증서." hidden="1">{#N/A,#N/A,FALSE,"초도품";#N/A,#N/A,FALSE,"초도품 (2)";#N/A,#N/A,FALSE,"초도품 (3)";#N/A,#N/A,FALSE,"초도품 (4)";#N/A,#N/A,FALSE,"초도품 (5)";#N/A,#N/A,FALSE,"초도품 (6)"}</definedName>
    <definedName name="wrn.COSA._.FS._.국문." hidden="1">{#N/A,#N/A,FALSE,"BS";#N/A,#N/A,FALSE,"PL";#N/A,#N/A,FALSE,"처분";#N/A,#N/A,FALSE,"현금";#N/A,#N/A,FALSE,"매출";#N/A,#N/A,FALSE,"원가";#N/A,#N/A,FALSE,"경영"}</definedName>
    <definedName name="wrn.Lead._.Schedule.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PrintAll." hidden="1">{#N/A,#N/A,TRUE,"Summary";#N/A,#N/A,TRUE,"IS";#N/A,#N/A,TRUE,"Adj";#N/A,#N/A,TRUE,"BS";#N/A,#N/A,TRUE,"CF";#N/A,#N/A,TRUE,"Debt";#N/A,#N/A,TRUE,"IRR"}</definedName>
    <definedName name="wrn.기술료._.비교." hidden="1">{#N/A,#N/A,FALSE,"기술료 비교"}</definedName>
    <definedName name="wrn.손익보고.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수." hidden="1">{#N/A,"수불부",FALSE,"사급자재수불서";#N/A,"수불부",FALSE,"사급자재수불서"}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전부인쇄." hidden="1">{#N/A,#N/A,FALSE,"단축1";#N/A,#N/A,FALSE,"단축2";#N/A,#N/A,FALSE,"단축3";#N/A,#N/A,FALSE,"장축";#N/A,#N/A,FALSE,"4WD"}</definedName>
    <definedName name="XDS" hidden="1">{#N/A,#N/A,FALSE,"을지 (4)";#N/A,#N/A,FALSE,"을지 (5)";#N/A,#N/A,FALSE,"을지 (6)"}</definedName>
    <definedName name="XREF_COLUMN_1" hidden="1">#N/A</definedName>
    <definedName name="XREF_COLUMN_15" hidden="1">#REF!</definedName>
    <definedName name="XREF_COLUMN_16" hidden="1">#N/A</definedName>
    <definedName name="XREF_COLUMN_18" hidden="1">#N/A</definedName>
    <definedName name="XREF_COLUMN_20" hidden="1">#N/A</definedName>
    <definedName name="XREF_COLUMN_23" hidden="1">#N/A</definedName>
    <definedName name="XREF_COLUMN_3" hidden="1">#REF!</definedName>
    <definedName name="XREF_COLUMN_34" hidden="1">#N/A</definedName>
    <definedName name="XREF_COLUMN_36" hidden="1">#N/A</definedName>
    <definedName name="XREF_COLUMN_37" hidden="1">#REF!</definedName>
    <definedName name="XREF_COLUMN_46" hidden="1">#REF!</definedName>
    <definedName name="XREF_COLUMN_54" hidden="1">#REF!</definedName>
    <definedName name="XREF_COLUMN_56" hidden="1">#REF!</definedName>
    <definedName name="XREF_COLUMN_60" hidden="1">#REF!</definedName>
    <definedName name="XRefColumnsCount" hidden="1">1</definedName>
    <definedName name="XRefCopy1" hidden="1">#N/A</definedName>
    <definedName name="XRefCopy10" hidden="1">#REF!</definedName>
    <definedName name="XRefCopy100" hidden="1">#REF!</definedName>
    <definedName name="XRefCopy101Row" hidden="1">#N/A</definedName>
    <definedName name="XRefCopy102" hidden="1">#REF!</definedName>
    <definedName name="XRefCopy103" hidden="1">#REF!</definedName>
    <definedName name="XRefCopy104Row" hidden="1">#N/A</definedName>
    <definedName name="XRefCopy105" hidden="1">#REF!</definedName>
    <definedName name="XRefCopy106Row" hidden="1">#N/A</definedName>
    <definedName name="XRefCopy108Row" hidden="1">#N/A</definedName>
    <definedName name="XRefCopy109Row" hidden="1">#N/A</definedName>
    <definedName name="XRefCopy10Row" hidden="1">#N/A</definedName>
    <definedName name="XRefCopy11" hidden="1">#REF!</definedName>
    <definedName name="XRefCopy111Row" hidden="1">#N/A</definedName>
    <definedName name="XRefCopy112Row" hidden="1">#N/A</definedName>
    <definedName name="XRefCopy113Row" hidden="1">#N/A</definedName>
    <definedName name="XRefCopy114Row" hidden="1">#N/A</definedName>
    <definedName name="XRefCopy115Row" hidden="1">#N/A</definedName>
    <definedName name="XRefCopy116Row" hidden="1">#N/A</definedName>
    <definedName name="XRefCopy117Row" hidden="1">#N/A</definedName>
    <definedName name="XRefCopy119Row" hidden="1">#N/A</definedName>
    <definedName name="XRefCopy11Row" hidden="1">#N/A</definedName>
    <definedName name="XRefCopy12" hidden="1">#REF!</definedName>
    <definedName name="XRefCopy122Row" hidden="1">#N/A</definedName>
    <definedName name="XRefCopy123Row" hidden="1">#N/A</definedName>
    <definedName name="XRefCopy12Row" hidden="1">#N/A</definedName>
    <definedName name="XRefCopy13" hidden="1">#REF!</definedName>
    <definedName name="XRefCopy13Row" hidden="1">#N/A</definedName>
    <definedName name="XRefCopy14Row" hidden="1">#N/A</definedName>
    <definedName name="XRefCopy15Row" hidden="1">#N/A</definedName>
    <definedName name="XRefCopy16Row" hidden="1">#N/A</definedName>
    <definedName name="XRefCopy17Row" hidden="1">#N/A</definedName>
    <definedName name="XRefCopy18Row" hidden="1">#N/A</definedName>
    <definedName name="XRefCopy19Row" hidden="1">#N/A</definedName>
    <definedName name="XRefCopy1Row" hidden="1">#N/A</definedName>
    <definedName name="XRefCopy2" hidden="1">#REF!</definedName>
    <definedName name="XRefCopy20Row" hidden="1">#N/A</definedName>
    <definedName name="XRefCopy21Row" hidden="1">#N/A</definedName>
    <definedName name="XRefCopy22" hidden="1">#REF!</definedName>
    <definedName name="XRefCopy22Row" hidden="1">#N/A</definedName>
    <definedName name="XRefCopy23" hidden="1">#REF!</definedName>
    <definedName name="XRefCopy23Row" hidden="1">#N/A</definedName>
    <definedName name="XRefCopy24" hidden="1">#REF!</definedName>
    <definedName name="XRefCopy24Row" hidden="1">#N/A</definedName>
    <definedName name="XRefCopy25" hidden="1">#REF!</definedName>
    <definedName name="XRefCopy25Row" hidden="1">#N/A</definedName>
    <definedName name="XRefCopy26" hidden="1">#REF!</definedName>
    <definedName name="XRefCopy26Row" hidden="1">#N/A</definedName>
    <definedName name="XRefCopy27" hidden="1">#REF!</definedName>
    <definedName name="XRefCopy27Row" hidden="1">#N/A</definedName>
    <definedName name="XRefCopy28" hidden="1">#REF!</definedName>
    <definedName name="XRefCopy28Row" hidden="1">#N/A</definedName>
    <definedName name="XRefCopy29" hidden="1">#REF!</definedName>
    <definedName name="XRefCopy29Row" hidden="1">#N/A</definedName>
    <definedName name="XRefCopy2Row" hidden="1">#N/A</definedName>
    <definedName name="XRefCopy3" hidden="1">#REF!</definedName>
    <definedName name="XRefCopy30" hidden="1">#REF!</definedName>
    <definedName name="XRefCopy30Row" hidden="1">#N/A</definedName>
    <definedName name="XRefCopy31" hidden="1">#REF!</definedName>
    <definedName name="XRefCopy31Row" hidden="1">#N/A</definedName>
    <definedName name="XRefCopy32" hidden="1">#REF!</definedName>
    <definedName name="XRefCopy32Row" hidden="1">#N/A</definedName>
    <definedName name="XRefCopy33" hidden="1">#REF!</definedName>
    <definedName name="XRefCopy33Row" hidden="1">#N/A</definedName>
    <definedName name="XRefCopy34" hidden="1">#REF!</definedName>
    <definedName name="XRefCopy34Row" hidden="1">#N/A</definedName>
    <definedName name="XRefCopy35" hidden="1">#REF!</definedName>
    <definedName name="XRefCopy35Row" hidden="1">#N/A</definedName>
    <definedName name="XRefCopy36" hidden="1">#REF!</definedName>
    <definedName name="XRefCopy36Row" hidden="1">#N/A</definedName>
    <definedName name="XRefCopy37" hidden="1">#REF!</definedName>
    <definedName name="XRefCopy37Row" hidden="1">#N/A</definedName>
    <definedName name="XRefCopy38" hidden="1">#REF!</definedName>
    <definedName name="XRefCopy38Row" hidden="1">#N/A</definedName>
    <definedName name="XRefCopy39" hidden="1">#REF!</definedName>
    <definedName name="XRefCopy39Row" hidden="1">#N/A</definedName>
    <definedName name="XRefCopy3Row" hidden="1">#N/A</definedName>
    <definedName name="XRefCopy4" hidden="1">#REF!</definedName>
    <definedName name="XRefCopy40Row" hidden="1">#N/A</definedName>
    <definedName name="XRefCopy41Row" hidden="1">#N/A</definedName>
    <definedName name="XRefCopy42Row" hidden="1">#N/A</definedName>
    <definedName name="XRefCopy43Row" hidden="1">#N/A</definedName>
    <definedName name="XRefCopy44Row" hidden="1">#N/A</definedName>
    <definedName name="XRefCopy45Row" hidden="1">#N/A</definedName>
    <definedName name="XRefCopy46Row" hidden="1">#N/A</definedName>
    <definedName name="XRefCopy47Row" hidden="1">#N/A</definedName>
    <definedName name="XRefCopy48Row" hidden="1">#N/A</definedName>
    <definedName name="XRefCopy49Row" hidden="1">#N/A</definedName>
    <definedName name="XRefCopy4Row" hidden="1">#N/A</definedName>
    <definedName name="XRefCopy5" hidden="1">#REF!</definedName>
    <definedName name="XRefCopy50Row" hidden="1">#N/A</definedName>
    <definedName name="XRefCopy51Row" hidden="1">#N/A</definedName>
    <definedName name="XRefCopy52Row" hidden="1">#N/A</definedName>
    <definedName name="XRefCopy53Row" hidden="1">#N/A</definedName>
    <definedName name="XRefCopy54Row" hidden="1">#N/A</definedName>
    <definedName name="XRefCopy56Row" hidden="1">#N/A</definedName>
    <definedName name="XRefCopy57Row" hidden="1">#N/A</definedName>
    <definedName name="XRefCopy58Row" hidden="1">#N/A</definedName>
    <definedName name="XRefCopy59Row" hidden="1">#N/A</definedName>
    <definedName name="XRefCopy5Row" hidden="1">#N/A</definedName>
    <definedName name="XRefCopy6" hidden="1">#REF!</definedName>
    <definedName name="XRefCopy60Row" hidden="1">#N/A</definedName>
    <definedName name="XRefCopy61Row" hidden="1">#N/A</definedName>
    <definedName name="XRefCopy62Row" hidden="1">#N/A</definedName>
    <definedName name="XRefCopy63Row" hidden="1">#N/A</definedName>
    <definedName name="XRefCopy64Row" hidden="1">#N/A</definedName>
    <definedName name="XRefCopy65Row" hidden="1">#N/A</definedName>
    <definedName name="XRefCopy66" hidden="1">#REF!</definedName>
    <definedName name="XRefCopy66Row" hidden="1">#N/A</definedName>
    <definedName name="XRefCopy67Row" hidden="1">#N/A</definedName>
    <definedName name="XRefCopy68Row" hidden="1">#N/A</definedName>
    <definedName name="XRefCopy69Row" hidden="1">#N/A</definedName>
    <definedName name="XRefCopy6Row" hidden="1">#N/A</definedName>
    <definedName name="XRefCopy70Row" hidden="1">#N/A</definedName>
    <definedName name="XRefCopy71Row" hidden="1">#N/A</definedName>
    <definedName name="XRefCopy72Row" hidden="1">#N/A</definedName>
    <definedName name="XRefCopy73Row" hidden="1">#N/A</definedName>
    <definedName name="XRefCopy74Row" hidden="1">#N/A</definedName>
    <definedName name="XRefCopy75Row" hidden="1">#N/A</definedName>
    <definedName name="XRefCopy76Row" hidden="1">#N/A</definedName>
    <definedName name="XRefCopy77Row" hidden="1">#N/A</definedName>
    <definedName name="XRefCopy78Row" hidden="1">#N/A</definedName>
    <definedName name="XRefCopy79Row" hidden="1">#N/A</definedName>
    <definedName name="XRefCopy7Row" hidden="1">#N/A</definedName>
    <definedName name="XRefCopy80Row" hidden="1">#N/A</definedName>
    <definedName name="XRefCopy84" hidden="1">#REF!</definedName>
    <definedName name="XRefCopy86" hidden="1">#REF!</definedName>
    <definedName name="XRefCopy88" hidden="1">#REF!</definedName>
    <definedName name="XRefCopy89" hidden="1">#REF!</definedName>
    <definedName name="XRefCopy8Row" hidden="1">#N/A</definedName>
    <definedName name="XRefCopy91" hidden="1">#REF!</definedName>
    <definedName name="XRefCopy92" hidden="1">#REF!</definedName>
    <definedName name="XRefCopy94" hidden="1">#REF!</definedName>
    <definedName name="XRefCopy95" hidden="1">#REF!</definedName>
    <definedName name="XRefCopy97" hidden="1">#REF!</definedName>
    <definedName name="XRefCopy98" hidden="1">#REF!</definedName>
    <definedName name="XRefCopy99" hidden="1">#REF!</definedName>
    <definedName name="XRefCopy9Row" hidden="1">#N/A</definedName>
    <definedName name="XRefCopyRangeCount" hidden="1">1</definedName>
    <definedName name="XRefPaste1" hidden="1">#N/A</definedName>
    <definedName name="XRefPaste10" hidden="1">#N/A</definedName>
    <definedName name="XRefPaste105" hidden="1">#REF!</definedName>
    <definedName name="XRefPaste106" hidden="1">#REF!</definedName>
    <definedName name="XRefPaste11" hidden="1">#N/A</definedName>
    <definedName name="XRefPaste12" hidden="1">#REF!</definedName>
    <definedName name="XRefPaste13" hidden="1">#REF!</definedName>
    <definedName name="XRefPaste14" hidden="1">#REF!</definedName>
    <definedName name="XRefPaste146Row" hidden="1">#REF!</definedName>
    <definedName name="XRefPaste147Row" hidden="1">#REF!</definedName>
    <definedName name="XRefPaste15" hidden="1">#REF!</definedName>
    <definedName name="XRefPaste16" hidden="1">#N/A</definedName>
    <definedName name="XRefPaste17" hidden="1">#N/A</definedName>
    <definedName name="XRefPaste18" hidden="1">#N/A</definedName>
    <definedName name="XRefPaste19" hidden="1">#N/A</definedName>
    <definedName name="XRefPaste199" hidden="1">#REF!</definedName>
    <definedName name="XRefPaste2" hidden="1">#N/A</definedName>
    <definedName name="XRefPaste200" hidden="1">#REF!</definedName>
    <definedName name="XRefPaste204" hidden="1">#REF!</definedName>
    <definedName name="XRefPaste205" hidden="1">#REF!</definedName>
    <definedName name="XRefPaste206" hidden="1">#REF!</definedName>
    <definedName name="XRefPaste207" hidden="1">#REF!</definedName>
    <definedName name="XRefPaste210" hidden="1">#REF!</definedName>
    <definedName name="XRefPaste211" hidden="1">#REF!</definedName>
    <definedName name="XRefPaste212" hidden="1">#REF!</definedName>
    <definedName name="XRefPaste213" hidden="1">#REF!</definedName>
    <definedName name="XRefPaste214" hidden="1">#REF!</definedName>
    <definedName name="XRefPaste216" hidden="1">#REF!</definedName>
    <definedName name="XRefPaste217" hidden="1">#REF!</definedName>
    <definedName name="XRefPaste218" hidden="1">#REF!</definedName>
    <definedName name="XRefPaste219" hidden="1">#REF!</definedName>
    <definedName name="XRefPaste220" hidden="1">#REF!</definedName>
    <definedName name="XRefPaste221" hidden="1">#REF!</definedName>
    <definedName name="XRefPaste222" hidden="1">#REF!</definedName>
    <definedName name="XRefPaste223" hidden="1">#REF!</definedName>
    <definedName name="XRefPaste224" hidden="1">#REF!</definedName>
    <definedName name="XRefPaste225" hidden="1">#REF!</definedName>
    <definedName name="XRefPaste226" hidden="1">#REF!</definedName>
    <definedName name="XRefPaste227" hidden="1">#REF!</definedName>
    <definedName name="XRefPaste228" hidden="1">#REF!</definedName>
    <definedName name="XRefPaste229" hidden="1">#REF!</definedName>
    <definedName name="XRefPaste230" hidden="1">#REF!</definedName>
    <definedName name="XRefPaste231" hidden="1">#REF!</definedName>
    <definedName name="XRefPaste232" hidden="1">#REF!</definedName>
    <definedName name="XRefPaste24" hidden="1">#REF!</definedName>
    <definedName name="XRefPaste25" hidden="1">#REF!</definedName>
    <definedName name="XRefPaste26" hidden="1">#REF!</definedName>
    <definedName name="XRefPaste2Row" hidden="1">#N/A</definedName>
    <definedName name="XRefPaste3" hidden="1">#REF!</definedName>
    <definedName name="XRefPaste32Row" hidden="1">#N/A</definedName>
    <definedName name="XRefPaste34Row" hidden="1">#N/A</definedName>
    <definedName name="XRefPaste35Row" hidden="1">#N/A</definedName>
    <definedName name="XRefPaste36Row" hidden="1">#N/A</definedName>
    <definedName name="XRefPaste37Row" hidden="1">#N/A</definedName>
    <definedName name="XRefPaste38Row" hidden="1">#N/A</definedName>
    <definedName name="XRefPaste39Row" hidden="1">#N/A</definedName>
    <definedName name="XRefPaste3Row" hidden="1">#N/A</definedName>
    <definedName name="XRefPaste4" hidden="1">#REF!</definedName>
    <definedName name="XRefPaste40Row" hidden="1">#N/A</definedName>
    <definedName name="XRefPaste41Row" hidden="1">#N/A</definedName>
    <definedName name="XRefPaste42Row" hidden="1">#N/A</definedName>
    <definedName name="XRefPaste43Row" hidden="1">#N/A</definedName>
    <definedName name="XRefPaste44Row" hidden="1">#N/A</definedName>
    <definedName name="XRefPaste45Row" hidden="1">#N/A</definedName>
    <definedName name="XRefPaste47" hidden="1">#REF!</definedName>
    <definedName name="XRefPaste48" hidden="1">#REF!</definedName>
    <definedName name="XRefPaste4Row" hidden="1">#N/A</definedName>
    <definedName name="XRefPaste54" hidden="1">#REF!</definedName>
    <definedName name="XRefPaste56" hidden="1">#REF!</definedName>
    <definedName name="XRefPaste58" hidden="1">#REF!</definedName>
    <definedName name="XRefPaste5Row" hidden="1">#N/A</definedName>
    <definedName name="XRefPaste60" hidden="1">#REF!</definedName>
    <definedName name="XRefPaste61" hidden="1">#REF!</definedName>
    <definedName name="XRefPaste62" hidden="1">#REF!</definedName>
    <definedName name="XRefPaste64" hidden="1">#REF!</definedName>
    <definedName name="XRefPaste65" hidden="1">#REF!</definedName>
    <definedName name="XRefPaste6Row" hidden="1">#N/A</definedName>
    <definedName name="XRefPaste74" hidden="1">#REF!</definedName>
    <definedName name="XRefPaste76" hidden="1">#REF!</definedName>
    <definedName name="XRefPaste77" hidden="1">#REF!</definedName>
    <definedName name="XRefPaste78" hidden="1">#REF!</definedName>
    <definedName name="XRefPaste7Row" hidden="1">#N/A</definedName>
    <definedName name="XRefPaste80" hidden="1">#REF!</definedName>
    <definedName name="XRefPaste83" hidden="1">#REF!</definedName>
    <definedName name="XRefPaste8Row" hidden="1">#N/A</definedName>
    <definedName name="XRefPaste9Row" hidden="1">#N/A</definedName>
    <definedName name="XRefPasteRangeCount" hidden="1">2</definedName>
    <definedName name="XS" hidden="1">{#N/A,#N/A,FALSE,"을지 (4)";#N/A,#N/A,FALSE,"을지 (5)";#N/A,#N/A,FALSE,"을지 (6)"}</definedName>
    <definedName name="ZX" hidden="1">{#N/A,#N/A,FALSE,"초도품";#N/A,#N/A,FALSE,"초도품 (2)";#N/A,#N/A,FALSE,"초도품 (3)";#N/A,#N/A,FALSE,"초도품 (4)";#N/A,#N/A,FALSE,"초도품 (5)";#N/A,#N/A,FALSE,"초도품 (6)"}</definedName>
    <definedName name="ппп" hidden="1">#N/A</definedName>
    <definedName name="ㄱ" hidden="1">{#N/A,#N/A,FALSE,"BS";#N/A,#N/A,FALSE,"PL";#N/A,#N/A,FALSE,"처분";#N/A,#N/A,FALSE,"현금";#N/A,#N/A,FALSE,"매출";#N/A,#N/A,FALSE,"원가";#N/A,#N/A,FALSE,"경영"}</definedName>
    <definedName name="ㄱ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ㄱㄱ" hidden="1">{#N/A,#N/A,FALSE,"UNIT";#N/A,#N/A,FALSE,"UNIT";#N/A,#N/A,FALSE,"계정"}</definedName>
    <definedName name="ㄱㄱㄱㄱㄱ" hidden="1">{#N/A,#N/A,FALSE,"UNIT";#N/A,#N/A,FALSE,"UNIT";#N/A,#N/A,FALSE,"계정"}</definedName>
    <definedName name="ㄱㅇ" hidden="1">{#N/A,#N/A,FALSE,"단축1";#N/A,#N/A,FALSE,"단축2";#N/A,#N/A,FALSE,"단축3";#N/A,#N/A,FALSE,"장축";#N/A,#N/A,FALSE,"4WD"}</definedName>
    <definedName name="가" hidden="1">{#N/A,#N/A,FALSE,"BS";#N/A,#N/A,FALSE,"PL";#N/A,#N/A,FALSE,"처분";#N/A,#N/A,FALSE,"현금";#N/A,#N/A,FALSE,"매출";#N/A,#N/A,FALSE,"원가";#N/A,#N/A,FALSE,"경영"}</definedName>
    <definedName name="가아ㅓ라어" hidden="1">{#N/A,#N/A,FALSE,"초도품";#N/A,#N/A,FALSE,"초도품 (2)";#N/A,#N/A,FALSE,"초도품 (3)";#N/A,#N/A,FALSE,"초도품 (4)";#N/A,#N/A,FALSE,"초도품 (5)";#N/A,#N/A,FALSE,"초도품 (6)"}</definedName>
    <definedName name="간" hidden="1">{#N/A,#N/A,FALSE,"UNIT";#N/A,#N/A,FALSE,"UNIT";#N/A,#N/A,FALSE,"계정"}</definedName>
    <definedName name="거리도모" hidden="1">{#N/A,#N/A,FALSE,"BS";#N/A,#N/A,FALSE,"PL";#N/A,#N/A,FALSE,"처분";#N/A,#N/A,FALSE,"현금";#N/A,#N/A,FALSE,"매출";#N/A,#N/A,FALSE,"원가";#N/A,#N/A,FALSE,"경영"}</definedName>
    <definedName name="건물임." hidden="1">{"'손익현황'!$A$1:$J$29"}</definedName>
    <definedName name="경영지표2" hidden="1">#REF!</definedName>
    <definedName name="계량기재료비분석" hidden="1">{#N/A,#N/A,FALSE,"UNIT";#N/A,#N/A,FALSE,"UNIT";#N/A,#N/A,FALSE,"계정"}</definedName>
    <definedName name="계획1" hidden="1">{#N/A,#N/A,FALSE,"UNIT";#N/A,#N/A,FALSE,"UNIT";#N/A,#N/A,FALSE,"계정"}</definedName>
    <definedName name="공" hidden="1">{"'손익현황'!$A$1:$J$29"}</definedName>
    <definedName name="공구" hidden="1">{"'손익현황'!$A$1:$J$29"}</definedName>
    <definedName name="공구기구" hidden="1">{"'손익현황'!$A$1:$J$29"}</definedName>
    <definedName name="구" hidden="1">{#N/A,#N/A,FALSE,"BS";#N/A,#N/A,FALSE,"PL";#N/A,#N/A,FALSE,"처분";#N/A,#N/A,FALSE,"현금";#N/A,#N/A,FALSE,"매출";#N/A,#N/A,FALSE,"원가";#N/A,#N/A,FALSE,"경영"}</definedName>
    <definedName name="구축물임" hidden="1">{"'손익현황'!$A$1:$J$29"}</definedName>
    <definedName name="국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그래도모도소" hidden="1">{#N/A,#N/A,FALSE,"BS";#N/A,#N/A,FALSE,"PL";#N/A,#N/A,FALSE,"처분";#N/A,#N/A,FALSE,"현금";#N/A,#N/A,FALSE,"매출";#N/A,#N/A,FALSE,"원가";#N/A,#N/A,FALSE,"경영"}</definedName>
    <definedName name="그래도뭐" hidden="1">{#N/A,#N/A,FALSE,"BS";#N/A,#N/A,FALSE,"PL";#N/A,#N/A,FALSE,"처분";#N/A,#N/A,FALSE,"현금";#N/A,#N/A,FALSE,"매출";#N/A,#N/A,FALSE,"원가";#N/A,#N/A,FALSE,"경영"}</definedName>
    <definedName name="그래도요" hidden="1">{#N/A,#N/A,FALSE,"BS";#N/A,#N/A,FALSE,"PL";#N/A,#N/A,FALSE,"처분";#N/A,#N/A,FALSE,"현금";#N/A,#N/A,FALSE,"매출";#N/A,#N/A,FALSE,"원가";#N/A,#N/A,FALSE,"경영"}</definedName>
    <definedName name="그리도무지" hidden="1">{#N/A,#N/A,FALSE,"BS";#N/A,#N/A,FALSE,"PL";#N/A,#N/A,FALSE,"처분";#N/A,#N/A,FALSE,"현금";#N/A,#N/A,FALSE,"매출";#N/A,#N/A,FALSE,"원가";#N/A,#N/A,FALSE,"경영"}</definedName>
    <definedName name="기기" hidden="1">{#N/A,#N/A,FALSE,"UNIT";#N/A,#N/A,FALSE,"UNIT";#N/A,#N/A,FALSE,"계정"}</definedName>
    <definedName name="기기투자리스트" hidden="1">{#N/A,#N/A,FALSE,"UNIT";#N/A,#N/A,FALSE,"UNIT";#N/A,#N/A,FALSE,"계정"}</definedName>
    <definedName name="기존" hidden="1">{#N/A,#N/A,FALSE,"UNIT";#N/A,#N/A,FALSE,"UNIT";#N/A,#N/A,FALSE,"계정"}</definedName>
    <definedName name="김대업" hidden="1">{#N/A,#N/A,FALSE,"기술료 비교"}</definedName>
    <definedName name="김종묵" hidden="1">{#N/A,#N/A,FALSE,"기술료 비교"}</definedName>
    <definedName name="ㄴ" hidden="1">{#N/A,#N/A,FALSE,"BS";#N/A,#N/A,FALSE,"PL";#N/A,#N/A,FALSE,"처분";#N/A,#N/A,FALSE,"현금";#N/A,#N/A,FALSE,"매출";#N/A,#N/A,FALSE,"원가";#N/A,#N/A,FALSE,"경영"}</definedName>
    <definedName name="ㄴ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ㄴㄴ" hidden="1">{#N/A,#N/A,FALSE,"BS";#N/A,#N/A,FALSE,"PL";#N/A,#N/A,FALSE,"처분";#N/A,#N/A,FALSE,"현금";#N/A,#N/A,FALSE,"매출";#N/A,#N/A,FALSE,"원가";#N/A,#N/A,FALSE,"경영"}</definedName>
    <definedName name="ㄴㄴㄴㄴ" hidden="1">{#N/A,#N/A,FALSE,"UNIT";#N/A,#N/A,FALSE,"UNIT";#N/A,#N/A,FALSE,"계정"}</definedName>
    <definedName name="ㄴㅇㄹ" hidden="1">{#N/A,#N/A,FALSE,"UNIT";#N/A,#N/A,FALSE,"UNIT";#N/A,#N/A,FALSE,"계정"}</definedName>
    <definedName name="나" hidden="1">{#N/A,#N/A,FALSE,"BS";#N/A,#N/A,FALSE,"PL";#N/A,#N/A,FALSE,"처분";#N/A,#N/A,FALSE,"현금";#N/A,#N/A,FALSE,"매출";#N/A,#N/A,FALSE,"원가";#N/A,#N/A,FALSE,"경영"}</definedName>
    <definedName name="ㄷ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ㅈ" hidden="1">#REF!</definedName>
    <definedName name="다" hidden="1">{#N/A,#N/A,FALSE,"BS";#N/A,#N/A,FALSE,"PL";#N/A,#N/A,FALSE,"처분";#N/A,#N/A,FALSE,"현금";#N/A,#N/A,FALSE,"매출";#N/A,#N/A,FALSE,"원가";#N/A,#N/A,FALSE,"경영"}</definedName>
    <definedName name="다가아노는" hidden="1">{#N/A,#N/A,FALSE,"BS";#N/A,#N/A,FALSE,"PL";#N/A,#N/A,FALSE,"처분";#N/A,#N/A,FALSE,"현금";#N/A,#N/A,FALSE,"매출";#N/A,#N/A,FALSE,"원가";#N/A,#N/A,FALSE,"경영"}</definedName>
    <definedName name="다른" hidden="1">{#N/A,#N/A,FALSE,"BS";#N/A,#N/A,FALSE,"PL";#N/A,#N/A,FALSE,"처분";#N/A,#N/A,FALSE,"현금";#N/A,#N/A,FALSE,"매출";#N/A,#N/A,FALSE,"원가";#N/A,#N/A,FALSE,"경영"}</definedName>
    <definedName name="대" hidden="1">#REF!</definedName>
    <definedName name="대련" hidden="1">{#N/A,#N/A,FALSE,"UNIT";#N/A,#N/A,FALSE,"UNIT";#N/A,#N/A,FALSE,"계정"}</definedName>
    <definedName name="도" hidden="1">{#N/A,#N/A,FALSE,"BS";#N/A,#N/A,FALSE,"PL";#N/A,#N/A,FALSE,"처분";#N/A,#N/A,FALSE,"현금";#N/A,#N/A,FALSE,"매출";#N/A,#N/A,FALSE,"원가";#N/A,#N/A,FALSE,"경영"}</definedName>
    <definedName name="도모" hidden="1">{#N/A,#N/A,FALSE,"BS";#N/A,#N/A,FALSE,"PL";#N/A,#N/A,FALSE,"처분";#N/A,#N/A,FALSE,"현금";#N/A,#N/A,FALSE,"매출";#N/A,#N/A,FALSE,"원가";#N/A,#N/A,FALSE,"경영"}</definedName>
    <definedName name="도별" hidden="1">#REF!</definedName>
    <definedName name="도조" hidden="1">{#N/A,#N/A,FALSE,"BS";#N/A,#N/A,FALSE,"PL";#N/A,#N/A,FALSE,"처분";#N/A,#N/A,FALSE,"현금";#N/A,#N/A,FALSE,"매출";#N/A,#N/A,FALSE,"원가";#N/A,#N/A,FALSE,"경영"}</definedName>
    <definedName name="동방" hidden="1">{#N/A,#N/A,FALSE,"BS";#N/A,#N/A,FALSE,"PL";#N/A,#N/A,FALSE,"처분";#N/A,#N/A,FALSE,"현금";#N/A,#N/A,FALSE,"매출";#N/A,#N/A,FALSE,"원가";#N/A,#N/A,FALSE,"경영"}</definedName>
    <definedName name="동방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됴" hidden="1">{#N/A,#N/A,FALSE,"BS";#N/A,#N/A,FALSE,"PL";#N/A,#N/A,FALSE,"처분";#N/A,#N/A,FALSE,"현금";#N/A,#N/A,FALSE,"매출";#N/A,#N/A,FALSE,"원가";#N/A,#N/A,FALSE,"경영"}</definedName>
    <definedName name="두" hidden="1">{#N/A,#N/A,FALSE,"BS";#N/A,#N/A,FALSE,"PL";#N/A,#N/A,FALSE,"처분";#N/A,#N/A,FALSE,"현금";#N/A,#N/A,FALSE,"매출";#N/A,#N/A,FALSE,"원가";#N/A,#N/A,FALSE,"경영"}</definedName>
    <definedName name="두려" hidden="1">{#N/A,#N/A,FALSE,"BS";#N/A,#N/A,FALSE,"PL";#N/A,#N/A,FALSE,"처분";#N/A,#N/A,FALSE,"현금";#N/A,#N/A,FALSE,"매출";#N/A,#N/A,FALSE,"원가";#N/A,#N/A,FALSE,"경영"}</definedName>
    <definedName name="ㄹ" hidden="1">{#N/A,#N/A,FALSE,"BS";#N/A,#N/A,FALSE,"PL";#N/A,#N/A,FALSE,"처분";#N/A,#N/A,FALSE,"현금";#N/A,#N/A,FALSE,"매출";#N/A,#N/A,FALSE,"원가";#N/A,#N/A,FALSE,"경영"}</definedName>
    <definedName name="ㄹㄷㅈㄹㄹㄹ" hidden="1">#N/A</definedName>
    <definedName name="ㄹ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아ㅣㅇㅎ리" hidden="1">{#N/A,#N/A,FALSE,"UNIT";#N/A,#N/A,FALSE,"UNIT";#N/A,#N/A,FALSE,"계정"}</definedName>
    <definedName name="로커커버" hidden="1">{#N/A,#N/A,FALSE,"단축1";#N/A,#N/A,FALSE,"단축2";#N/A,#N/A,FALSE,"단축3";#N/A,#N/A,FALSE,"장축";#N/A,#N/A,FALSE,"4WD"}</definedName>
    <definedName name="ㄺㄹ" hidden="1">{#N/A,#N/A,FALSE,"UNIT";#N/A,#N/A,FALSE,"UNIT";#N/A,#N/A,FALSE,"계정"}</definedName>
    <definedName name="ㅀ미리밀ㅎ밈림" hidden="1">{#N/A,#N/A,FALSE,"을지 (4)";#N/A,#N/A,FALSE,"을지 (5)";#N/A,#N/A,FALSE,"을지 (6)"}</definedName>
    <definedName name="ㅀㅇㄹㄶㅀㄹ" hidden="1">{#N/A,#N/A,FALSE,"UNIT";#N/A,#N/A,FALSE,"UNIT";#N/A,#N/A,FALSE,"계정"}</definedName>
    <definedName name="ㅁ" hidden="1">{#N/A,#N/A,TRUE,"Summary";#N/A,#N/A,TRUE,"IS";#N/A,#N/A,TRUE,"Adj";#N/A,#N/A,TRUE,"BS";#N/A,#N/A,TRUE,"CF";#N/A,#N/A,TRUE,"Debt";#N/A,#N/A,TRUE,"IRR"}</definedName>
    <definedName name="ㅁㄴ" hidden="1">{#N/A,#N/A,FALSE,"UNIT";#N/A,#N/A,FALSE,"UNIT";#N/A,#N/A,FALSE,"계정"}</definedName>
    <definedName name="ㅁㄴㅇ" hidden="1">{#N/A,#N/A,FALSE,"BS";#N/A,#N/A,FALSE,"PL";#N/A,#N/A,FALSE,"처분";#N/A,#N/A,FALSE,"현금";#N/A,#N/A,FALSE,"매출";#N/A,#N/A,FALSE,"원가";#N/A,#N/A,FALSE,"경영"}</definedName>
    <definedName name="ㅁㅁㅁㅁ" hidden="1">{#N/A,#N/A,FALSE,"BS";#N/A,#N/A,FALSE,"PL";#N/A,#N/A,FALSE,"처분";#N/A,#N/A,FALSE,"현금";#N/A,#N/A,FALSE,"매출";#N/A,#N/A,FALSE,"원가";#N/A,#N/A,FALSE,"경영"}</definedName>
    <definedName name="ㅁㅁㅁㅁㅁ" hidden="1">{#N/A,#N/A,FALSE,"UNIT";#N/A,#N/A,FALSE,"UNIT";#N/A,#N/A,FALSE,"계정"}</definedName>
    <definedName name="마감" hidden="1">{#N/A,#N/A,FALSE,"기술료 비교"}</definedName>
    <definedName name="마케팅" hidden="1">{"'5국공정'!$A$1:$E$128"}</definedName>
    <definedName name="마케팅2" hidden="1">{"'5국공정'!$A$1:$E$128"}</definedName>
    <definedName name="매출bogo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계획" hidden="1">{#N/A,#N/A,FALSE,"UNIT";#N/A,#N/A,FALSE,"UNIT";#N/A,#N/A,FALSE,"계정"}</definedName>
    <definedName name="매출원가1" hidden="1">{#N/A,#N/A,FALSE,"Aging Summary";#N/A,#N/A,FALSE,"Ratio Analysis";#N/A,#N/A,FALSE,"Test 120 Day Accts";#N/A,#N/A,FALSE,"Tickmarks"}</definedName>
    <definedName name="모" hidden="1">{#N/A,#N/A,FALSE,"UNIT";#N/A,#N/A,FALSE,"UNIT";#N/A,#N/A,FALSE,"계정"}</definedName>
    <definedName name="뮤" hidden="1">{#N/A,#N/A,FALSE,"기술료 비교"}</definedName>
    <definedName name="미수수익" hidden="1">{"'보고양식'!$A$58:$K$111"}</definedName>
    <definedName name="미지급" hidden="1">{#N/A,#N/A,FALSE,"BS";#N/A,#N/A,FALSE,"PL";#N/A,#N/A,FALSE,"처분";#N/A,#N/A,FALSE,"현금";#N/A,#N/A,FALSE,"매출";#N/A,#N/A,FALSE,"원가";#N/A,#N/A,FALSE,"경영"}</definedName>
    <definedName name="미지급명세" hidden="1">{"'보고양식'!$A$58:$K$111"}</definedName>
    <definedName name="민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사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총2" hidden="1">{#N/A,#N/A,FALSE,"을지 (4)";#N/A,#N/A,FALSE,"을지 (5)";#N/A,#N/A,FALSE,"을지 (6)"}</definedName>
    <definedName name="ㅂ" hidden="1">{#N/A,#N/A,FALSE,"UNIT";#N/A,#N/A,FALSE,"UNIT";#N/A,#N/A,FALSE,"계정"}</definedName>
    <definedName name="ㅂㅂ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법인세비용_수정" hidden="1">{#N/A,#N/A,FALSE,"BS";#N/A,#N/A,FALSE,"PL";#N/A,#N/A,FALSE,"처분";#N/A,#N/A,FALSE,"현금";#N/A,#N/A,FALSE,"매출";#N/A,#N/A,FALSE,"원가";#N/A,#N/A,FALSE,"경영"}</definedName>
    <definedName name="보고" hidden="1">{#N/A,#N/A,FALSE,"UNIT";#N/A,#N/A,FALSE,"UNIT";#N/A,#N/A,FALSE,"계정"}</definedName>
    <definedName name="보고기준" hidden="1">{#N/A,#N/A,FALSE,"UNIT";#N/A,#N/A,FALSE,"UNIT";#N/A,#N/A,FALSE,"계정"}</definedName>
    <definedName name="볼트수정" hidden="1">{#N/A,#N/A,FALSE,"단축1";#N/A,#N/A,FALSE,"단축2";#N/A,#N/A,FALSE,"단축3";#N/A,#N/A,FALSE,"장축";#N/A,#N/A,FALSE,"4WD"}</definedName>
    <definedName name="ㅅㅅㅅ" hidden="1">{"'손익현황'!$A$1:$J$29"}</definedName>
    <definedName name="ㅅㅅㅅㅅ" hidden="1">{#N/A,#N/A,FALSE,"UNIT";#N/A,#N/A,FALSE,"UNIT";#N/A,#N/A,FALSE,"계정"}</definedName>
    <definedName name="ㅅㅅㅅㅅㅅㅅㅅ" hidden="1">{#N/A,#N/A,FALSE,"UNIT";#N/A,#N/A,FALSE,"UNIT";#N/A,#N/A,FALSE,"계정"}</definedName>
    <definedName name="사" hidden="1">{#N/A,#N/A,FALSE,"BS";#N/A,#N/A,FALSE,"PL";#N/A,#N/A,FALSE,"처분";#N/A,#N/A,FALSE,"현금";#N/A,#N/A,FALSE,"매출";#N/A,#N/A,FALSE,"원가";#N/A,#N/A,FALSE,"경영"}</definedName>
    <definedName name="사람" hidden="1">{#N/A,#N/A,FALSE,"BS";#N/A,#N/A,FALSE,"PL";#N/A,#N/A,FALSE,"처분";#N/A,#N/A,FALSE,"현금";#N/A,#N/A,FALSE,"매출";#N/A,#N/A,FALSE,"원가";#N/A,#N/A,FALSE,"경영"}</definedName>
    <definedName name="사소" hidden="1">{#N/A,#N/A,FALSE,"BS";#N/A,#N/A,FALSE,"PL";#N/A,#N/A,FALSE,"처분";#N/A,#N/A,FALSE,"현금";#N/A,#N/A,FALSE,"매출";#N/A,#N/A,FALSE,"원가";#N/A,#N/A,FALSE,"경영"}</definedName>
    <definedName name="사업" hidden="1">{#N/A,#N/A,FALSE,"UNIT";#N/A,#N/A,FALSE,"UNIT";#N/A,#N/A,FALSE,"계정"}</definedName>
    <definedName name="사업계획" hidden="1">{#N/A,#N/A,FALSE,"기술료 비교"}</definedName>
    <definedName name="사업활성" hidden="1">{#N/A,#N/A,FALSE,"UNIT";#N/A,#N/A,FALSE,"UNIT";#N/A,#N/A,FALSE,"계정"}</definedName>
    <definedName name="사진" hidden="1">{#N/A,#N/A,FALSE,"BS";#N/A,#N/A,FALSE,"PL";#N/A,#N/A,FALSE,"처분";#N/A,#N/A,FALSE,"현금";#N/A,#N/A,FALSE,"매출";#N/A,#N/A,FALSE,"원가";#N/A,#N/A,FALSE,"경영"}</definedName>
    <definedName name="사질" hidden="1">{#N/A,#N/A,FALSE,"BS";#N/A,#N/A,FALSE,"PL";#N/A,#N/A,FALSE,"처분";#N/A,#N/A,FALSE,"현금";#N/A,#N/A,FALSE,"매출";#N/A,#N/A,FALSE,"원가";#N/A,#N/A,FALSE,"경영"}</definedName>
    <definedName name="새로운이름" hidden="1">{#N/A,#N/A,FALSE,"UNIT";#N/A,#N/A,FALSE,"UNIT";#N/A,#N/A,FALSE,"계정"}</definedName>
    <definedName name="선수금" hidden="1">#REF!</definedName>
    <definedName name="설계2팀" hidden="1">{#N/A,#N/A,FALSE,"UNIT";#N/A,#N/A,FALSE,"UNIT";#N/A,#N/A,FALSE,"계정"}</definedName>
    <definedName name="성" hidden="1">{#N/A,#N/A,FALSE,"UNIT";#N/A,#N/A,FALSE,"UNIT";#N/A,#N/A,FALSE,"계정"}</definedName>
    <definedName name="손익3" hidden="1">{#N/A,#N/A,FALSE,"UNIT";#N/A,#N/A,FALSE,"UNIT";#N/A,#N/A,FALSE,"계정"}</definedName>
    <definedName name="손익예상" hidden="1">{#N/A,#N/A,FALSE,"UNIT";#N/A,#N/A,FALSE,"UNIT";#N/A,#N/A,FALSE,"계정"}</definedName>
    <definedName name="쇼바2" hidden="1">{#N/A,#N/A,FALSE,"단축1";#N/A,#N/A,FALSE,"단축2";#N/A,#N/A,FALSE,"단축3";#N/A,#N/A,FALSE,"장축";#N/A,#N/A,FALSE,"4WD"}</definedName>
    <definedName name="수정" hidden="1">{#N/A,#N/A,FALSE,"BS";#N/A,#N/A,FALSE,"PL";#N/A,#N/A,FALSE,"처분";#N/A,#N/A,FALSE,"현금";#N/A,#N/A,FALSE,"매출";#N/A,#N/A,FALSE,"원가";#N/A,#N/A,FALSE,"경영"}</definedName>
    <definedName name="수정CF" hidden="1">{#N/A,#N/A,TRUE,"Summary";#N/A,#N/A,TRUE,"IS";#N/A,#N/A,TRUE,"Adj";#N/A,#N/A,TRUE,"BS";#N/A,#N/A,TRUE,"CF";#N/A,#N/A,TRUE,"Debt";#N/A,#N/A,TRUE,"IRR"}</definedName>
    <definedName name="수정현금흐름표" hidden="1">{#N/A,#N/A,TRUE,"Summary";#N/A,#N/A,TRUE,"IS";#N/A,#N/A,TRUE,"Adj";#N/A,#N/A,TRUE,"BS";#N/A,#N/A,TRUE,"CF";#N/A,#N/A,TRUE,"Debt";#N/A,#N/A,TRUE,"IRR"}</definedName>
    <definedName name="수정현금흐름표_pjh" hidden="1">{#N/A,#N/A,TRUE,"Summary";#N/A,#N/A,TRUE,"IS";#N/A,#N/A,TRUE,"Adj";#N/A,#N/A,TRUE,"BS";#N/A,#N/A,TRUE,"CF";#N/A,#N/A,TRUE,"Debt";#N/A,#N/A,TRUE,"IRR"}</definedName>
    <definedName name="시산표2" hidden="1">{#N/A,#N/A,FALSE,"BS";#N/A,#N/A,FALSE,"PL";#N/A,#N/A,FALSE,"처분";#N/A,#N/A,FALSE,"현금";#N/A,#N/A,FALSE,"매출";#N/A,#N/A,FALSE,"원가";#N/A,#N/A,FALSE,"경영"}</definedName>
    <definedName name="시설투자" hidden="1">{#N/A,#N/A,FALSE,"UNIT";#N/A,#N/A,FALSE,"UNIT";#N/A,#N/A,FALSE,"계정"}</definedName>
    <definedName name="시설투자계획_월별" hidden="1">{#N/A,#N/A,FALSE,"UNIT";#N/A,#N/A,FALSE,"UNIT";#N/A,#N/A,FALSE,"계정"}</definedName>
    <definedName name="시설투자총괄" hidden="1">{#N/A,#N/A,FALSE,"UNIT";#N/A,#N/A,FALSE,"UNIT";#N/A,#N/A,FALSE,"계정"}</definedName>
    <definedName name="시스템" hidden="1">{#N/A,#N/A,FALSE,"UNIT";#N/A,#N/A,FALSE,"UNIT";#N/A,#N/A,FALSE,"계정"}</definedName>
    <definedName name="신규" hidden="1">{#N/A,#N/A,FALSE,"UNIT";#N/A,#N/A,FALSE,"UNIT";#N/A,#N/A,FALSE,"계정"}</definedName>
    <definedName name="실적4월" hidden="1">{#N/A,#N/A,FALSE,"UNIT";#N/A,#N/A,FALSE,"UNIT";#N/A,#N/A,FALSE,"계정"}</definedName>
    <definedName name="실적6월" hidden="1">{#N/A,#N/A,FALSE,"UNIT";#N/A,#N/A,FALSE,"UNIT";#N/A,#N/A,FALSE,"계정"}</definedName>
    <definedName name="ㅇADKFJDA" hidden="1">{#N/A,#N/A,FALSE,"을지 (4)";#N/A,#N/A,FALSE,"을지 (5)";#N/A,#N/A,FALSE,"을지 (6)"}</definedName>
    <definedName name="ㅇㄴㅇㅇ" hidden="1">{#N/A,#N/A,FALSE,"UNIT";#N/A,#N/A,FALSE,"UNIT";#N/A,#N/A,FALSE,"계정"}</definedName>
    <definedName name="ㅇㄹㄴ" hidden="1">{#N/A,#N/A,FALSE,"BS";#N/A,#N/A,FALSE,"PL";#N/A,#N/A,FALSE,"처분";#N/A,#N/A,FALSE,"현금";#N/A,#N/A,FALSE,"매출";#N/A,#N/A,FALSE,"원가";#N/A,#N/A,FALSE,"경영"}</definedName>
    <definedName name="ㅇㄹㅇ" hidden="1">{#N/A,#N/A,FALSE,"BS";#N/A,#N/A,FALSE,"PL";#N/A,#N/A,FALSE,"처분";#N/A,#N/A,FALSE,"현금";#N/A,#N/A,FALSE,"매출";#N/A,#N/A,FALSE,"원가";#N/A,#N/A,FALSE,"경영"}</definedName>
    <definedName name="ㅇㄹㅇㄹㅇㄹㅇ" hidden="1">{#N/A,#N/A,FALSE,"UNIT";#N/A,#N/A,FALSE,"UNIT";#N/A,#N/A,FALSE,"계정"}</definedName>
    <definedName name="ㅇㅇㅇ" hidden="1">{#N/A,#N/A,FALSE,"BS";#N/A,#N/A,FALSE,"PL";#N/A,#N/A,FALSE,"처분";#N/A,#N/A,FALSE,"현금";#N/A,#N/A,FALSE,"매출";#N/A,#N/A,FALSE,"원가";#N/A,#N/A,FALSE,"경영"}</definedName>
    <definedName name="ㅇㅇㅇㅇ" hidden="1">{#N/A,#N/A,FALSE,"UNIT";#N/A,#N/A,FALSE,"UNIT";#N/A,#N/A,FALSE,"계정"}</definedName>
    <definedName name="ㅇㅇㅇㅇㅇ" hidden="1">{#N/A,#N/A,FALSE,"UNIT";#N/A,#N/A,FALSE,"UNIT";#N/A,#N/A,FALSE,"계정"}</definedName>
    <definedName name="ㅇㅇㅇㅇㅇㅇ" hidden="1">{#N/A,#N/A,FALSE,"UNIT";#N/A,#N/A,FALSE,"UNIT";#N/A,#N/A,FALSE,"계정"}</definedName>
    <definedName name="아" hidden="1">{#N/A,#N/A,FALSE,"BS";#N/A,#N/A,FALSE,"PL";#N/A,#N/A,FALSE,"처분";#N/A,#N/A,FALSE,"현금";#N/A,#N/A,FALSE,"매출";#N/A,#N/A,FALSE,"원가";#N/A,#N/A,FALSE,"경영"}</definedName>
    <definedName name="아니" hidden="1">{#N/A,#N/A,FALSE,"BS";#N/A,#N/A,FALSE,"PL";#N/A,#N/A,FALSE,"처분";#N/A,#N/A,FALSE,"현금";#N/A,#N/A,FALSE,"매출";#N/A,#N/A,FALSE,"원가";#N/A,#N/A,FALSE,"경영"}</definedName>
    <definedName name="아름다은" hidden="1">{#N/A,#N/A,FALSE,"BS";#N/A,#N/A,FALSE,"PL";#N/A,#N/A,FALSE,"처분";#N/A,#N/A,FALSE,"현금";#N/A,#N/A,FALSE,"매출";#N/A,#N/A,FALSE,"원가";#N/A,#N/A,FALSE,"경영"}</definedName>
    <definedName name="아ㅏ아아아아아" hidden="1">{#N/A,#N/A,FALSE,"UNIT";#N/A,#N/A,FALSE,"UNIT";#N/A,#N/A,FALSE,"계정"}</definedName>
    <definedName name="야" hidden="1">{#N/A,#N/A,FALSE,"UNIT";#N/A,#N/A,FALSE,"UNIT";#N/A,#N/A,FALSE,"계정"}</definedName>
    <definedName name="양" hidden="1">{#N/A,#N/A,FALSE,"UNIT";#N/A,#N/A,FALSE,"UNIT";#N/A,#N/A,FALSE,"계정"}</definedName>
    <definedName name="연간예상" hidden="1">{#N/A,#N/A,FALSE,"UNIT";#N/A,#N/A,FALSE,"UNIT";#N/A,#N/A,FALSE,"계정"}</definedName>
    <definedName name="연결정산표2" hidden="1">{#N/A,#N/A,FALSE,"Aging Summary";#N/A,#N/A,FALSE,"Ratio Analysis";#N/A,#N/A,FALSE,"Test 120 Day Accts";#N/A,#N/A,FALSE,"Tickmarks"}</definedName>
    <definedName name="연구소계" hidden="1">{"'5국공정'!$A$1:$E$128"}</definedName>
    <definedName name="연말손익" hidden="1">{#N/A,#N/A,FALSE,"UNIT";#N/A,#N/A,FALSE,"UNIT";#N/A,#N/A,FALSE,"계정"}</definedName>
    <definedName name="연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오." hidden="1">{#N/A,#N/A,FALSE,"UNIT";#N/A,#N/A,FALSE,"UNIT";#N/A,#N/A,FALSE,"계정"}</definedName>
    <definedName name="오.." hidden="1">{#N/A,#N/A,FALSE,"UNIT";#N/A,#N/A,FALSE,"UNIT";#N/A,#N/A,FALSE,"계정"}</definedName>
    <definedName name="왜이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요" hidden="1">{#N/A,#N/A,FALSE,"BS";#N/A,#N/A,FALSE,"PL";#N/A,#N/A,FALSE,"처분";#N/A,#N/A,FALSE,"현금";#N/A,#N/A,FALSE,"매출";#N/A,#N/A,FALSE,"원가";#N/A,#N/A,FALSE,"경영"}</definedName>
    <definedName name="요약" hidden="1">{#N/A,#N/A,FALSE,"BS";#N/A,#N/A,FALSE,"PL";#N/A,#N/A,FALSE,"처분";#N/A,#N/A,FALSE,"현금";#N/A,#N/A,FALSE,"매출";#N/A,#N/A,FALSE,"원가";#N/A,#N/A,FALSE,"경영"}</definedName>
    <definedName name="이" hidden="1">{#N/A,#N/A,FALSE,"BS";#N/A,#N/A,FALSE,"PL";#N/A,#N/A,FALSE,"처분";#N/A,#N/A,FALSE,"현금";#N/A,#N/A,FALSE,"매출";#N/A,#N/A,FALSE,"원가";#N/A,#N/A,FALSE,"경영"}</definedName>
    <definedName name="이동" hidden="1">{#N/A,#N/A,FALSE,"을지 (4)";#N/A,#N/A,FALSE,"을지 (5)";#N/A,#N/A,FALSE,"을지 (6)"}</definedName>
    <definedName name="이런" hidden="1">{"'보고양식'!$A$58:$K$111"}</definedName>
    <definedName name="이성일" hidden="1">{"'5국공정'!$A$1:$E$128"}</definedName>
    <definedName name="인니" hidden="1">{#N/A,#N/A,FALSE,"UNIT";#N/A,#N/A,FALSE,"UNIT";#N/A,#N/A,FALSE,"계정"}</definedName>
    <definedName name="인도네시아" hidden="1">{#N/A,#N/A,FALSE,"UNIT";#N/A,#N/A,FALSE,"UNIT";#N/A,#N/A,FALSE,"계정"}</definedName>
    <definedName name="ㅈㄷㄱ" hidden="1">{#N/A,#N/A,FALSE,"BS";#N/A,#N/A,FALSE,"PL";#N/A,#N/A,FALSE,"처분";#N/A,#N/A,FALSE,"현금";#N/A,#N/A,FALSE,"매출";#N/A,#N/A,FALSE,"원가";#N/A,#N/A,FALSE,"경영"}</definedName>
    <definedName name="ㅈㅈ" hidden="1">{#N/A,#N/A,FALSE,"을지 (4)";#N/A,#N/A,FALSE,"을지 (5)";#N/A,#N/A,FALSE,"을지 (6)"}</definedName>
    <definedName name="ㅈㅈㅈ" hidden="1">{#N/A,#N/A,FALSE,"BS";#N/A,#N/A,FALSE,"PL";#N/A,#N/A,FALSE,"처분";#N/A,#N/A,FALSE,"현금";#N/A,#N/A,FALSE,"매출";#N/A,#N/A,FALSE,"원가";#N/A,#N/A,FALSE,"경영"}</definedName>
    <definedName name="자" hidden="1">{#N/A,#N/A,FALSE,"BS";#N/A,#N/A,FALSE,"PL";#N/A,#N/A,FALSE,"처분";#N/A,#N/A,FALSE,"현금";#N/A,#N/A,FALSE,"매출";#N/A,#N/A,FALSE,"원가";#N/A,#N/A,FALSE,"경영"}</definedName>
    <definedName name="자." hidden="1">{#N/A,#N/A,FALSE,"UNIT";#N/A,#N/A,FALSE,"UNIT";#N/A,#N/A,FALSE,"계정"}</definedName>
    <definedName name="자.." hidden="1">{#N/A,#N/A,FALSE,"UNIT";#N/A,#N/A,FALSE,"UNIT";#N/A,#N/A,FALSE,"계정"}</definedName>
    <definedName name="자동화" hidden="1">{#N/A,#N/A,FALSE,"UNIT";#N/A,#N/A,FALSE,"UNIT";#N/A,#N/A,FALSE,"계정"}</definedName>
    <definedName name="자본변동표3" hidden="1">{#N/A,#N/A,FALSE,"Aging Summary";#N/A,#N/A,FALSE,"Ratio Analysis";#N/A,#N/A,FALSE,"Test 120 Day Accts";#N/A,#N/A,FALSE,"Tickmarks"}</definedName>
    <definedName name="장VP" hidden="1">{#N/A,#N/A,FALSE,"UNIT";#N/A,#N/A,FALSE,"UNIT";#N/A,#N/A,FALSE,"계정"}</definedName>
    <definedName name="장기미수금" hidden="1">{#N/A,#N/A,FALSE,"UNIT";#N/A,#N/A,FALSE,"UNIT";#N/A,#N/A,FALSE,"계정"}</definedName>
    <definedName name="재경" hidden="1">{#N/A,#N/A,FALSE,"UNIT";#N/A,#N/A,FALSE,"UNIT";#N/A,#N/A,FALSE,"계정"}</definedName>
    <definedName name="재료" hidden="1">{#N/A,#N/A,FALSE,"UNIT";#N/A,#N/A,FALSE,"UNIT";#N/A,#N/A,FALSE,"계정"}</definedName>
    <definedName name="저저" hidden="1">{#N/A,#N/A,FALSE,"UNIT";#N/A,#N/A,FALSE,"UNIT";#N/A,#N/A,FALSE,"계정"}</definedName>
    <definedName name="정" hidden="1">{#N/A,#N/A,FALSE,"UNIT";#N/A,#N/A,FALSE,"UNIT";#N/A,#N/A,FALSE,"계정"}</definedName>
    <definedName name="정문" hidden="1">{#N/A,#N/A,FALSE,"UNIT";#N/A,#N/A,FALSE,"UNIT";#N/A,#N/A,FALSE,"계정"}</definedName>
    <definedName name="정문식" hidden="1">{#N/A,#N/A,FALSE,"UNIT";#N/A,#N/A,FALSE,"UNIT";#N/A,#N/A,FALSE,"계정"}</definedName>
    <definedName name="제품별사업전략" hidden="1">{#N/A,#N/A,FALSE,"UNIT";#N/A,#N/A,FALSE,"UNIT";#N/A,#N/A,FALSE,"계정"}</definedName>
    <definedName name="조" hidden="1">{#N/A,#N/A,FALSE,"BS";#N/A,#N/A,FALSE,"PL";#N/A,#N/A,FALSE,"처분";#N/A,#N/A,FALSE,"현금";#N/A,#N/A,FALSE,"매출";#N/A,#N/A,FALSE,"원가";#N/A,#N/A,FALSE,"경영"}</definedName>
    <definedName name="조정" hidden="1">#REF!</definedName>
    <definedName name="주" hidden="1">{#N/A,#N/A,FALSE,"UNIT";#N/A,#N/A,FALSE,"UNIT";#N/A,#N/A,FALSE,"계정"}</definedName>
    <definedName name="주재원" hidden="1">#REF!</definedName>
    <definedName name="주차계획" hidden="1">{#N/A,#N/A,FALSE,"UNIT";#N/A,#N/A,FALSE,"UNIT";#N/A,#N/A,FALSE,"계정"}</definedName>
    <definedName name="중간요약" hidden="1">{#N/A,#N/A,FALSE,"BS";#N/A,#N/A,FALSE,"PL";#N/A,#N/A,FALSE,"처분";#N/A,#N/A,FALSE,"현금";#N/A,#N/A,FALSE,"매출";#N/A,#N/A,FALSE,"원가";#N/A,#N/A,FALSE,"경영"}</definedName>
    <definedName name="중앙" hidden="1">{#N/A,#N/A,FALSE,"단축1";#N/A,#N/A,FALSE,"단축2";#N/A,#N/A,FALSE,"단축3";#N/A,#N/A,FALSE,"장축";#N/A,#N/A,FALSE,"4WD"}</definedName>
    <definedName name="진" hidden="1">{#N/A,#N/A,FALSE,"UNIT";#N/A,#N/A,FALSE,"UNIT";#N/A,#N/A,FALSE,"계정"}</definedName>
    <definedName name="진짜현금작성조서" hidden="1">{#N/A,#N/A,FALSE,"BS";#N/A,#N/A,FALSE,"PL";#N/A,#N/A,FALSE,"처분";#N/A,#N/A,FALSE,"현금";#N/A,#N/A,FALSE,"매출";#N/A,#N/A,FALSE,"원가";#N/A,#N/A,FALSE,"경영"}</definedName>
    <definedName name="ㅊ" hidden="1">{#N/A,#N/A,FALSE,"BS";#N/A,#N/A,FALSE,"PL";#N/A,#N/A,FALSE,"처분";#N/A,#N/A,FALSE,"현금";#N/A,#N/A,FALSE,"매출";#N/A,#N/A,FALSE,"원가";#N/A,#N/A,FALSE,"경영"}</definedName>
    <definedName name="차." hidden="1">{#N/A,#N/A,FALSE,"UNIT";#N/A,#N/A,FALSE,"UNIT";#N/A,#N/A,FALSE,"계정"}</definedName>
    <definedName name="차량" hidden="1">{#N/A,#N/A,FALSE,"UNIT";#N/A,#N/A,FALSE,"UNIT";#N/A,#N/A,FALSE,"계정"}</definedName>
    <definedName name="차량SVC" hidden="1">{#N/A,#N/A,FALSE,"UNIT";#N/A,#N/A,FALSE,"UNIT";#N/A,#N/A,FALSE,"계정"}</definedName>
    <definedName name="차량운반구" hidden="1">{"'손익현황'!$A$1:$J$29"}</definedName>
    <definedName name="참고" hidden="1">{#N/A,#N/A,FALSE,"BS";#N/A,#N/A,FALSE,"PL";#N/A,#N/A,FALSE,"처분";#N/A,#N/A,FALSE,"현금";#N/A,#N/A,FALSE,"매출";#N/A,#N/A,FALSE,"원가";#N/A,#N/A,FALSE,"경영"}</definedName>
    <definedName name="초고압" hidden="1">{#N/A,#N/A,FALSE,"UNIT";#N/A,#N/A,FALSE,"UNIT";#N/A,#N/A,FALSE,"계정"}</definedName>
    <definedName name="총괄1" hidden="1">{#N/A,#N/A,FALSE,"UNIT";#N/A,#N/A,FALSE,"UNIT";#N/A,#N/A,FALSE,"계정"}</definedName>
    <definedName name="ㅋ" hidden="1">{#N/A,#N/A,FALSE,"UNIT";#N/A,#N/A,FALSE,"UNIT";#N/A,#N/A,FALSE,"계정"}</definedName>
    <definedName name="키프코" hidden="1">{#N/A,#N/A,FALSE,"을지 (4)";#N/A,#N/A,FALSE,"을지 (5)";#N/A,#N/A,FALSE,"을지 (6)"}</definedName>
    <definedName name="ㅌ" hidden="1">{#N/A,#N/A,FALSE,"UNIT";#N/A,#N/A,FALSE,"UNIT";#N/A,#N/A,FALSE,"계정"}</definedName>
    <definedName name="ㅌㅌㅌ" hidden="1">{#N/A,#N/A,FALSE,"BS";#N/A,#N/A,FALSE,"PL";#N/A,#N/A,FALSE,"처분";#N/A,#N/A,FALSE,"현금";#N/A,#N/A,FALSE,"매출";#N/A,#N/A,FALSE,"원가";#N/A,#N/A,FALSE,"경영"}</definedName>
    <definedName name="투자" hidden="1">{#N/A,#N/A,FALSE,"UNIT";#N/A,#N/A,FALSE,"UNIT";#N/A,#N/A,FALSE,"계정"}</definedName>
    <definedName name="투자계획" hidden="1">{#N/A,#N/A,FALSE,"UNIT";#N/A,#N/A,FALSE,"UNIT";#N/A,#N/A,FALSE,"계정"}</definedName>
    <definedName name="투자계획1" hidden="1">{#N/A,#N/A,FALSE,"UNIT";#N/A,#N/A,FALSE,"UNIT";#N/A,#N/A,FALSE,"계정"}</definedName>
    <definedName name="투자계획2" hidden="1">{#N/A,#N/A,FALSE,"UNIT";#N/A,#N/A,FALSE,"UNIT";#N/A,#N/A,FALSE,"계정"}</definedName>
    <definedName name="투자현황" hidden="1">{#N/A,#N/A,FALSE,"UNIT";#N/A,#N/A,FALSE,"UNIT";#N/A,#N/A,FALSE,"계정"}</definedName>
    <definedName name="팀별계획" hidden="1">{#N/A,#N/A,FALSE,"UNIT";#N/A,#N/A,FALSE,"UNIT";#N/A,#N/A,FALSE,"계정"}</definedName>
    <definedName name="ㅍ" hidden="1">{#N/A,#N/A,FALSE,"UNIT";#N/A,#N/A,FALSE,"UNIT";#N/A,#N/A,FALSE,"계정"}</definedName>
    <definedName name="ㅍㅍㅍㅍ" hidden="1">{#N/A,#N/A,FALSE,"UNIT";#N/A,#N/A,FALSE,"UNIT";#N/A,#N/A,FALSE,"계정"}</definedName>
    <definedName name="포" hidden="1">{#N/A,#N/A,FALSE,"UNIT";#N/A,#N/A,FALSE,"UNIT";#N/A,#N/A,FALSE,"계정"}</definedName>
    <definedName name="ㅎ" hidden="1">{#N/A,#N/A,FALSE,"을지 (4)";#N/A,#N/A,FALSE,"을지 (5)";#N/A,#N/A,FALSE,"을지 (6)"}</definedName>
    <definedName name="ㅎㄽ" hidden="1">{#N/A,#N/A,FALSE,"UNIT";#N/A,#N/A,FALSE,"UNIT";#N/A,#N/A,FALSE,"계정"}</definedName>
    <definedName name="ㅎㅎ" hidden="1">{#N/A,#N/A,TRUE,"Summary";#N/A,#N/A,TRUE,"IS";#N/A,#N/A,TRUE,"Adj";#N/A,#N/A,TRUE,"BS";#N/A,#N/A,TRUE,"CF";#N/A,#N/A,TRUE,"Debt";#N/A,#N/A,TRUE,"IRR"}</definedName>
    <definedName name="ㅎㅎ2" hidden="1">{#N/A,#N/A,TRUE,"Summary";#N/A,#N/A,TRUE,"IS";#N/A,#N/A,TRUE,"Adj";#N/A,#N/A,TRUE,"BS";#N/A,#N/A,TRUE,"CF";#N/A,#N/A,TRUE,"Debt";#N/A,#N/A,TRUE,"IRR"}</definedName>
    <definedName name="하하" hidden="1">{#N/A,#N/A,FALSE,"BS";#N/A,#N/A,FALSE,"PL";#N/A,#N/A,FALSE,"처분";#N/A,#N/A,FALSE,"현금";#N/A,#N/A,FALSE,"매출";#N/A,#N/A,FALSE,"원가";#N/A,#N/A,FALSE,"경영"}</definedName>
    <definedName name="한총2" hidden="1">{#N/A,#N/A,FALSE,"을지 (4)";#N/A,#N/A,FALSE,"을지 (5)";#N/A,#N/A,FALSE,"을지 (6)"}</definedName>
    <definedName name="항공수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현금23" hidden="1">{#N/A,#N/A,FALSE,"BS";#N/A,#N/A,FALSE,"PL";#N/A,#N/A,FALSE,"처분";#N/A,#N/A,FALSE,"현금";#N/A,#N/A,FALSE,"매출";#N/A,#N/A,FALSE,"원가";#N/A,#N/A,FALSE,"경영"}</definedName>
    <definedName name="호" hidden="1">{#N/A,#N/A,FALSE,"UNIT";#N/A,#N/A,FALSE,"UNIT";#N/A,#N/A,FALSE,"계정"}</definedName>
    <definedName name="확" hidden="1">{#N/A,#N/A,FALSE,"BS";#N/A,#N/A,FALSE,"PL";#N/A,#N/A,FALSE,"처분";#N/A,#N/A,FALSE,"현금";#N/A,#N/A,FALSE,"매출";#N/A,#N/A,FALSE,"원가";#N/A,#N/A,FALSE,"경영"}</definedName>
    <definedName name="확대3" hidden="1">{#N/A,#N/A,FALSE,"UNIT";#N/A,#N/A,FALSE,"UNIT";#N/A,#N/A,FALSE,"계정"}</definedName>
    <definedName name="환경" hidden="1">{#N/A,#N/A,FALSE,"UNIT";#N/A,#N/A,FALSE,"UNIT";#N/A,#N/A,FALSE,"계정"}</definedName>
    <definedName name="ㅏㅐㅏㅔㅐㅣ" hidden="1">{#N/A,#N/A,FALSE,"UNIT";#N/A,#N/A,FALSE,"UNIT";#N/A,#N/A,FALSE,"계정"}</definedName>
    <definedName name="ㅐㅐ" hidden="1">{#N/A,#N/A,FALSE,"을지 (4)";#N/A,#N/A,FALSE,"을지 (5)";#N/A,#N/A,FALSE,"을지 (6)"}</definedName>
    <definedName name="ㅑ" hidden="1">{#N/A,#N/A,FALSE,"Aging Summary";#N/A,#N/A,FALSE,"Ratio Analysis";#N/A,#N/A,FALSE,"Test 120 Day Accts";#N/A,#N/A,FALSE,"Tickmarks"}</definedName>
    <definedName name="ㅑㅑㅑ" hidden="1">{#N/A,#N/A,FALSE,"초도품";#N/A,#N/A,FALSE,"초도품 (2)";#N/A,#N/A,FALSE,"초도품 (3)";#N/A,#N/A,FALSE,"초도품 (4)";#N/A,#N/A,FALSE,"초도품 (5)";#N/A,#N/A,FALSE,"초도품 (6)"}</definedName>
    <definedName name="ㅓ" hidden="1">{#N/A,#N/A,FALSE,"BS";#N/A,#N/A,FALSE,"PL";#N/A,#N/A,FALSE,"처분";#N/A,#N/A,FALSE,"현금";#N/A,#N/A,FALSE,"매출";#N/A,#N/A,FALSE,"원가";#N/A,#N/A,FALSE,"경영"}</definedName>
    <definedName name="ㅓㅏ리앙" hidden="1">{#N/A,#N/A,FALSE,"UNIT";#N/A,#N/A,FALSE,"UNIT";#N/A,#N/A,FALSE,"계정"}</definedName>
    <definedName name="ㅔㅔ" hidden="1">{#N/A,#N/A,FALSE,"초도품";#N/A,#N/A,FALSE,"초도품 (2)";#N/A,#N/A,FALSE,"초도품 (3)";#N/A,#N/A,FALSE,"초도품 (4)";#N/A,#N/A,FALSE,"초도품 (5)";#N/A,#N/A,FALSE,"초도품 (6)"}</definedName>
    <definedName name="ㅕ" hidden="1">{#N/A,#N/A,FALSE,"BS";#N/A,#N/A,FALSE,"PL";#N/A,#N/A,FALSE,"처분";#N/A,#N/A,FALSE,"현금";#N/A,#N/A,FALSE,"매출";#N/A,#N/A,FALSE,"원가";#N/A,#N/A,FALSE,"경영"}</definedName>
    <definedName name="ㅕㅕㅕ" hidden="1">{#N/A,#N/A,FALSE,"을지 (4)";#N/A,#N/A,FALSE,"을지 (5)";#N/A,#N/A,FALSE,"을지 (6)"}</definedName>
    <definedName name="ㅗ" hidden="1">{#N/A,#N/A,FALSE,"BS";#N/A,#N/A,FALSE,"PL";#N/A,#N/A,FALSE,"처분";#N/A,#N/A,FALSE,"현금";#N/A,#N/A,FALSE,"매출";#N/A,#N/A,FALSE,"원가";#N/A,#N/A,FALSE,"경영"}</definedName>
    <definedName name="ㅗㅗ" hidden="1">{#N/A,#N/A,FALSE,"초도품";#N/A,#N/A,FALSE,"초도품 (2)";#N/A,#N/A,FALSE,"초도품 (3)";#N/A,#N/A,FALSE,"초도품 (4)";#N/A,#N/A,FALSE,"초도품 (5)";#N/A,#N/A,FALSE,"초도품 (6)"}</definedName>
    <definedName name="ㅛ" hidden="1">{#N/A,#N/A,FALSE,"BS";#N/A,#N/A,FALSE,"PL";#N/A,#N/A,FALSE,"처분";#N/A,#N/A,FALSE,"현금";#N/A,#N/A,FALSE,"매출";#N/A,#N/A,FALSE,"원가";#N/A,#N/A,FALSE,"경영"}</definedName>
    <definedName name="ㅛㅛㅛ" hidden="1">{#N/A,#N/A,FALSE,"초도품";#N/A,#N/A,FALSE,"초도품 (2)";#N/A,#N/A,FALSE,"초도품 (3)";#N/A,#N/A,FALSE,"초도품 (4)";#N/A,#N/A,FALSE,"초도품 (5)";#N/A,#N/A,FALSE,"초도품 (6)"}</definedName>
    <definedName name="ㅠ" hidden="1">{#N/A,#N/A,FALSE,"UNIT";#N/A,#N/A,FALSE,"UNIT";#N/A,#N/A,FALSE,"계정"}</definedName>
    <definedName name="ㅣㅣ" hidden="1">{#N/A,#N/A,FALSE,"을지 (4)";#N/A,#N/A,FALSE,"을지 (5)";#N/A,#N/A,FALSE,"을지 (6)"}</definedName>
  </definedNames>
  <calcPr calcId="191029" iterateCount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19" i="2" l="1"/>
  <c r="T216" i="2"/>
  <c r="S216" i="2"/>
  <c r="N216" i="2" s="1"/>
  <c r="T215" i="2"/>
  <c r="S215" i="2"/>
  <c r="N215" i="2" s="1"/>
  <c r="N214" i="2"/>
  <c r="N213" i="2"/>
  <c r="U212" i="2"/>
  <c r="T212" i="2"/>
  <c r="R212" i="2"/>
  <c r="N212" i="2" s="1"/>
  <c r="U211" i="2"/>
  <c r="R211" i="2"/>
  <c r="N211" i="2"/>
  <c r="U210" i="2"/>
  <c r="R210" i="2"/>
  <c r="N210" i="2" s="1"/>
  <c r="U209" i="2"/>
  <c r="R209" i="2"/>
  <c r="N209" i="2" s="1"/>
  <c r="T208" i="2"/>
  <c r="N208" i="2"/>
  <c r="S207" i="2"/>
  <c r="N207" i="2"/>
  <c r="S206" i="2"/>
  <c r="N206" i="2"/>
  <c r="S205" i="2"/>
  <c r="N205" i="2" s="1"/>
  <c r="N204" i="2"/>
  <c r="O203" i="2"/>
  <c r="N203" i="2"/>
  <c r="P202" i="2"/>
  <c r="N202" i="2"/>
  <c r="Q201" i="2"/>
  <c r="N201" i="2"/>
  <c r="Q200" i="2"/>
  <c r="N200" i="2"/>
  <c r="Q199" i="2"/>
  <c r="N199" i="2"/>
  <c r="N198" i="2"/>
  <c r="U197" i="2"/>
  <c r="R197" i="2"/>
  <c r="N197" i="2" s="1"/>
  <c r="U196" i="2"/>
  <c r="R196" i="2"/>
  <c r="N196" i="2" s="1"/>
  <c r="O195" i="2"/>
  <c r="N195" i="2"/>
  <c r="P194" i="2"/>
  <c r="N194" i="2"/>
  <c r="Q193" i="2"/>
  <c r="N193" i="2"/>
  <c r="Q192" i="2"/>
  <c r="N192" i="2"/>
  <c r="Q191" i="2"/>
  <c r="N191" i="2"/>
  <c r="N190" i="2"/>
  <c r="U189" i="2"/>
  <c r="R189" i="2"/>
  <c r="N189" i="2"/>
  <c r="T188" i="2"/>
  <c r="N188" i="2"/>
  <c r="S187" i="2"/>
  <c r="N187" i="2"/>
  <c r="S186" i="2"/>
  <c r="N186" i="2"/>
  <c r="N185" i="2"/>
  <c r="U184" i="2"/>
  <c r="R184" i="2"/>
  <c r="N184" i="2" s="1"/>
  <c r="T183" i="2"/>
  <c r="N183" i="2"/>
  <c r="S182" i="2"/>
  <c r="N182" i="2"/>
  <c r="S181" i="2"/>
  <c r="N181" i="2"/>
  <c r="S180" i="2"/>
  <c r="N180" i="2" s="1"/>
  <c r="S179" i="2"/>
  <c r="N179" i="2"/>
  <c r="N178" i="2"/>
  <c r="U177" i="2"/>
  <c r="R177" i="2"/>
  <c r="N177" i="2"/>
  <c r="U176" i="2"/>
  <c r="R176" i="2"/>
  <c r="N176" i="2"/>
  <c r="T175" i="2"/>
  <c r="N175" i="2"/>
  <c r="S174" i="2"/>
  <c r="N174" i="2" s="1"/>
  <c r="S173" i="2"/>
  <c r="N173" i="2"/>
  <c r="N172" i="2"/>
  <c r="N171" i="2"/>
  <c r="U170" i="2"/>
  <c r="R170" i="2"/>
  <c r="N170" i="2"/>
  <c r="T169" i="2"/>
  <c r="N169" i="2"/>
  <c r="S168" i="2"/>
  <c r="N168" i="2" s="1"/>
  <c r="S167" i="2"/>
  <c r="N167" i="2"/>
  <c r="S166" i="2"/>
  <c r="N166" i="2"/>
  <c r="S165" i="2"/>
  <c r="N165" i="2"/>
  <c r="S164" i="2"/>
  <c r="N164" i="2" s="1"/>
  <c r="S163" i="2"/>
  <c r="N163" i="2"/>
  <c r="S162" i="2"/>
  <c r="N162" i="2"/>
  <c r="N161" i="2"/>
  <c r="U160" i="2"/>
  <c r="R160" i="2"/>
  <c r="N160" i="2" s="1"/>
  <c r="U159" i="2"/>
  <c r="R159" i="2"/>
  <c r="N159" i="2" s="1"/>
  <c r="N158" i="2"/>
  <c r="U157" i="2"/>
  <c r="R157" i="2"/>
  <c r="N157" i="2"/>
  <c r="O156" i="2"/>
  <c r="N156" i="2"/>
  <c r="P155" i="2"/>
  <c r="N155" i="2"/>
  <c r="Q154" i="2"/>
  <c r="N154" i="2"/>
  <c r="Q153" i="2"/>
  <c r="N153" i="2"/>
  <c r="Q152" i="2"/>
  <c r="N152" i="2"/>
  <c r="N151" i="2"/>
  <c r="O150" i="2"/>
  <c r="N150" i="2"/>
  <c r="P149" i="2"/>
  <c r="N149" i="2"/>
  <c r="Q148" i="2"/>
  <c r="N148" i="2"/>
  <c r="Q147" i="2"/>
  <c r="N147" i="2"/>
  <c r="Q146" i="2"/>
  <c r="N146" i="2"/>
  <c r="N145" i="2"/>
  <c r="O144" i="2"/>
  <c r="N144" i="2"/>
  <c r="P143" i="2"/>
  <c r="N143" i="2"/>
  <c r="Q142" i="2"/>
  <c r="N142" i="2"/>
  <c r="Q141" i="2"/>
  <c r="N141" i="2"/>
  <c r="Q140" i="2"/>
  <c r="N140" i="2"/>
  <c r="N139" i="2"/>
  <c r="U138" i="2"/>
  <c r="R138" i="2"/>
  <c r="N138" i="2" s="1"/>
  <c r="U137" i="2"/>
  <c r="R137" i="2"/>
  <c r="N137" i="2"/>
  <c r="U136" i="2"/>
  <c r="R136" i="2"/>
  <c r="N136" i="2"/>
  <c r="U135" i="2"/>
  <c r="R135" i="2"/>
  <c r="N135" i="2"/>
  <c r="U134" i="2"/>
  <c r="R134" i="2"/>
  <c r="N134" i="2"/>
  <c r="U133" i="2"/>
  <c r="R133" i="2"/>
  <c r="N133" i="2"/>
  <c r="N132" i="2"/>
  <c r="U131" i="2"/>
  <c r="R131" i="2"/>
  <c r="N131" i="2"/>
  <c r="O130" i="2"/>
  <c r="N130" i="2"/>
  <c r="P129" i="2"/>
  <c r="N129" i="2"/>
  <c r="Q128" i="2"/>
  <c r="N128" i="2"/>
  <c r="Q127" i="2"/>
  <c r="N127" i="2"/>
  <c r="Q126" i="2"/>
  <c r="N126" i="2"/>
  <c r="N125" i="2"/>
  <c r="O124" i="2"/>
  <c r="N124" i="2"/>
  <c r="P123" i="2"/>
  <c r="N123" i="2"/>
  <c r="Q122" i="2"/>
  <c r="N122" i="2"/>
  <c r="Q121" i="2"/>
  <c r="N121" i="2"/>
  <c r="Q120" i="2"/>
  <c r="N120" i="2"/>
  <c r="N119" i="2"/>
  <c r="U118" i="2"/>
  <c r="R118" i="2"/>
  <c r="N118" i="2"/>
  <c r="T117" i="2"/>
  <c r="N117" i="2"/>
  <c r="S116" i="2"/>
  <c r="N116" i="2" s="1"/>
  <c r="S115" i="2"/>
  <c r="N115" i="2" s="1"/>
  <c r="S114" i="2"/>
  <c r="N114" i="2"/>
  <c r="S113" i="2"/>
  <c r="N113" i="2"/>
  <c r="N112" i="2"/>
  <c r="T111" i="2"/>
  <c r="N111" i="2"/>
  <c r="S110" i="2"/>
  <c r="N110" i="2"/>
  <c r="S109" i="2"/>
  <c r="N109" i="2" s="1"/>
  <c r="S108" i="2"/>
  <c r="N108" i="2"/>
  <c r="S107" i="2"/>
  <c r="N107" i="2"/>
  <c r="N106" i="2"/>
  <c r="U105" i="2"/>
  <c r="T105" i="2"/>
  <c r="R105" i="2"/>
  <c r="N105" i="2"/>
  <c r="N104" i="2"/>
  <c r="O103" i="2"/>
  <c r="N103" i="2"/>
  <c r="P102" i="2"/>
  <c r="N102" i="2"/>
  <c r="Q101" i="2"/>
  <c r="N101" i="2"/>
  <c r="Q100" i="2"/>
  <c r="N100" i="2"/>
  <c r="Q99" i="2"/>
  <c r="N99" i="2"/>
  <c r="N98" i="2"/>
  <c r="O97" i="2"/>
  <c r="N97" i="2"/>
  <c r="P96" i="2"/>
  <c r="N96" i="2"/>
  <c r="Q95" i="2"/>
  <c r="N95" i="2"/>
  <c r="Q94" i="2"/>
  <c r="N94" i="2"/>
  <c r="Q93" i="2"/>
  <c r="N93" i="2"/>
  <c r="N92" i="2"/>
  <c r="O91" i="2"/>
  <c r="N91" i="2"/>
  <c r="P90" i="2"/>
  <c r="N90" i="2"/>
  <c r="Q89" i="2"/>
  <c r="N89" i="2"/>
  <c r="Q88" i="2"/>
  <c r="N88" i="2"/>
  <c r="Q87" i="2"/>
  <c r="N87" i="2"/>
  <c r="N86" i="2"/>
  <c r="N85" i="2"/>
  <c r="O84" i="2"/>
  <c r="N84" i="2"/>
  <c r="P83" i="2"/>
  <c r="N83" i="2"/>
  <c r="Q82" i="2"/>
  <c r="N82" i="2"/>
  <c r="Q81" i="2"/>
  <c r="N81" i="2"/>
  <c r="Q80" i="2"/>
  <c r="N80" i="2"/>
  <c r="N79" i="2"/>
  <c r="T78" i="2"/>
  <c r="N78" i="2"/>
  <c r="S77" i="2"/>
  <c r="N77" i="2" s="1"/>
  <c r="S76" i="2"/>
  <c r="N76" i="2" s="1"/>
  <c r="S75" i="2"/>
  <c r="N75" i="2"/>
  <c r="S74" i="2"/>
  <c r="N74" i="2"/>
  <c r="N73" i="2"/>
  <c r="U72" i="2"/>
  <c r="T72" i="2"/>
  <c r="R72" i="2"/>
  <c r="N72" i="2"/>
  <c r="O71" i="2"/>
  <c r="N71" i="2"/>
  <c r="P70" i="2"/>
  <c r="N70" i="2"/>
  <c r="Q69" i="2"/>
  <c r="N69" i="2"/>
  <c r="Q68" i="2"/>
  <c r="N68" i="2"/>
  <c r="Q67" i="2"/>
  <c r="N67" i="2"/>
  <c r="N66" i="2"/>
  <c r="T65" i="2"/>
  <c r="N65" i="2"/>
  <c r="O64" i="2"/>
  <c r="O218" i="2" s="1"/>
  <c r="D221" i="2" s="1"/>
  <c r="N64" i="2"/>
  <c r="P63" i="2"/>
  <c r="P218" i="2" s="1"/>
  <c r="D222" i="2" s="1"/>
  <c r="N63" i="2"/>
  <c r="Q62" i="2"/>
  <c r="N62" i="2"/>
  <c r="Q61" i="2"/>
  <c r="N61" i="2"/>
  <c r="Q60" i="2"/>
  <c r="Q218" i="2" s="1"/>
  <c r="D223" i="2" s="1"/>
  <c r="N60" i="2"/>
  <c r="N59" i="2"/>
  <c r="N58" i="2"/>
  <c r="N57" i="2"/>
  <c r="N56" i="2"/>
  <c r="N55" i="2"/>
  <c r="N54" i="2"/>
  <c r="N53" i="2"/>
  <c r="N52" i="2"/>
  <c r="N51" i="2"/>
  <c r="N50" i="2"/>
  <c r="U49" i="2"/>
  <c r="R49" i="2"/>
  <c r="N49" i="2"/>
  <c r="N48" i="2"/>
  <c r="U47" i="2"/>
  <c r="R47" i="2"/>
  <c r="N47" i="2"/>
  <c r="T46" i="2"/>
  <c r="N46" i="2"/>
  <c r="S45" i="2"/>
  <c r="N45" i="2"/>
  <c r="S44" i="2"/>
  <c r="N44" i="2"/>
  <c r="S43" i="2"/>
  <c r="N43" i="2"/>
  <c r="N42" i="2"/>
  <c r="N41" i="2"/>
  <c r="N40" i="2"/>
  <c r="N39" i="2"/>
  <c r="N38" i="2"/>
  <c r="N37" i="2"/>
  <c r="N36" i="2"/>
  <c r="T35" i="2"/>
  <c r="S35" i="2"/>
  <c r="N35" i="2" s="1"/>
  <c r="N34" i="2"/>
  <c r="T33" i="2"/>
  <c r="S33" i="2"/>
  <c r="N33" i="2"/>
  <c r="T32" i="2"/>
  <c r="S32" i="2"/>
  <c r="N32" i="2"/>
  <c r="N31" i="2"/>
  <c r="N30" i="2"/>
  <c r="T29" i="2"/>
  <c r="T218" i="2" s="1"/>
  <c r="D225" i="2" s="1"/>
  <c r="N29" i="2"/>
  <c r="S28" i="2"/>
  <c r="N28" i="2" s="1"/>
  <c r="S27" i="2"/>
  <c r="N27" i="2"/>
  <c r="S26" i="2"/>
  <c r="N26" i="2"/>
  <c r="S25" i="2"/>
  <c r="S218" i="2" s="1"/>
  <c r="N24" i="2"/>
  <c r="N23" i="2"/>
  <c r="N22" i="2"/>
  <c r="U21" i="2"/>
  <c r="R21" i="2"/>
  <c r="N21" i="2"/>
  <c r="N20" i="2"/>
  <c r="U19" i="2"/>
  <c r="R19" i="2"/>
  <c r="N19" i="2" s="1"/>
  <c r="U18" i="2"/>
  <c r="R18" i="2"/>
  <c r="N18" i="2" s="1"/>
  <c r="U17" i="2"/>
  <c r="R17" i="2"/>
  <c r="N17" i="2" s="1"/>
  <c r="U16" i="2"/>
  <c r="R16" i="2"/>
  <c r="N16" i="2"/>
  <c r="U15" i="2"/>
  <c r="R15" i="2"/>
  <c r="N15" i="2"/>
  <c r="N14" i="2"/>
  <c r="N13" i="2"/>
  <c r="N12" i="2"/>
  <c r="U11" i="2"/>
  <c r="R11" i="2"/>
  <c r="N11" i="2"/>
  <c r="N10" i="2"/>
  <c r="U9" i="2"/>
  <c r="U218" i="2" s="1"/>
  <c r="R9" i="2"/>
  <c r="R218" i="2" s="1"/>
  <c r="D224" i="2" s="1"/>
  <c r="D226" i="2" l="1"/>
  <c r="N9" i="2"/>
  <c r="N25" i="2"/>
</calcChain>
</file>

<file path=xl/sharedStrings.xml><?xml version="1.0" encoding="utf-8"?>
<sst xmlns="http://schemas.openxmlformats.org/spreadsheetml/2006/main" count="549" uniqueCount="206">
  <si>
    <t>1100A  계약전 위험평가표 수임 (기준서 210)</t>
    <phoneticPr fontId="3" type="noConversion"/>
  </si>
  <si>
    <t>회사명</t>
    <phoneticPr fontId="3" type="noConversion"/>
  </si>
  <si>
    <t xml:space="preserve">결산일 </t>
    <phoneticPr fontId="3" type="noConversion"/>
  </si>
  <si>
    <t>항목</t>
    <phoneticPr fontId="3" type="noConversion"/>
  </si>
  <si>
    <t>내용</t>
    <phoneticPr fontId="3" type="noConversion"/>
  </si>
  <si>
    <t>2.회계법인등(네트워크 법인 포함)이 해당 회사에 대한 업무제안을 거절한 적이 있는가?</t>
    <phoneticPr fontId="3" type="noConversion"/>
  </si>
  <si>
    <t>(회계법인의 적격성 및 역량과 자원)</t>
    <phoneticPr fontId="2" type="noConversion"/>
  </si>
  <si>
    <t>1. 회계법인의 구성원들이 회사 영위 사업이나 대상.주제별 지식을 보유하고 있으며, 해당 구성원들을 충분히 보유하고 있는가?</t>
    <phoneticPr fontId="3" type="noConversion"/>
  </si>
  <si>
    <t>2. 회계법인의 구성원들이 회사와 관련한 규제상 요구사항이나 보고 요구사항에 대한 경험 또는 필요한 기술과 지식을 효과적으로 획득할 수 있는 능력을 가지고 있는가?</t>
    <phoneticPr fontId="3" type="noConversion"/>
  </si>
  <si>
    <t>3. 업무품질관리검토 수행 필요시, 검토자로서의 요건과 적격성을 갖춘 자를 활용할 수 있는가?</t>
    <phoneticPr fontId="3" type="noConversion"/>
  </si>
  <si>
    <t>4. 필요한 경우, 전문가들을 활용할 수 있는가?</t>
    <phoneticPr fontId="3" type="noConversion"/>
  </si>
  <si>
    <t>5. 회계법인이 보고기한 내에 업무를 완료할 수 있는가?</t>
    <phoneticPr fontId="3" type="noConversion"/>
  </si>
  <si>
    <t>(독립성 평가)</t>
  </si>
  <si>
    <t>1.대한민국에서 요구되는 독립성 관련 규정에 근거하여, 업무 수임을 위한 독립성 확인 절차를 취하였는가?</t>
    <phoneticPr fontId="3" type="noConversion"/>
  </si>
  <si>
    <t>※ 독립성관련 세부규정은 공인회계사법(제21조 및 제33조, 시행령 제14조 및 제15조의2), 공인회계사윤리기준(290), 주식회사등의외부감사에관한법률(제9조)을 참조</t>
    <phoneticPr fontId="3" type="noConversion"/>
  </si>
  <si>
    <t>(독립성 체크 결과를 문서화)</t>
    <phoneticPr fontId="3" type="noConversion"/>
  </si>
  <si>
    <t>2.독립성 확인절차 및 업무 수임 이전의 사전 조사활동 등을 통해 다음과 같은 독립성을 저해할 만한 상황을 발견하였는가?</t>
    <phoneticPr fontId="3" type="noConversion"/>
  </si>
  <si>
    <t xml:space="preserve">2-1. 상기 질문 2에서, 독립성 이슈를 일으킬 수 있는 비감사서비스가 제공되는 경우, 동 고객을 감사고객으로 수임하기 위해 아래와 같은 절차를 수행하였는가? </t>
  </si>
  <si>
    <t>(1)감사 업무수행이사는 해당 비감사업무를 담당하였던(또는 하고 있는) 업무담당이사와 이 문제에 대하여 협의하였는가?</t>
    <phoneticPr fontId="3" type="noConversion"/>
  </si>
  <si>
    <t>(2)회사의 감사 또는 감사위원회의 동의 및 협의 절차를 진행하였는가?</t>
    <phoneticPr fontId="3" type="noConversion"/>
  </si>
  <si>
    <t>(전임감사인)</t>
  </si>
  <si>
    <t>1.회사와의 관계에 대하여 논의하기 위하여 전기 감사인과 접촉하였는가?</t>
    <phoneticPr fontId="3" type="noConversion"/>
  </si>
  <si>
    <t>(3)접촉한 담당회계사의 이름 및 날짜</t>
    <phoneticPr fontId="3" type="noConversion"/>
  </si>
  <si>
    <t>(4)감사인 교체 사유</t>
    <phoneticPr fontId="3" type="noConversion"/>
  </si>
  <si>
    <t>(5)기타 전임감사인이 제공한 다음과 같은 정보가 있는가?</t>
    <phoneticPr fontId="3" type="noConversion"/>
  </si>
  <si>
    <t>2.전임감사인에 질의한 내용 중 그 회신 내용에 대하여 회사로부터 제한을 받았다는 징후가 있는가?</t>
    <phoneticPr fontId="3" type="noConversion"/>
  </si>
  <si>
    <t>(예 인경우 설명)</t>
    <phoneticPr fontId="3" type="noConversion"/>
  </si>
  <si>
    <t>3.전임감사인의 보수 중 지급되지 않은 부분이 있는가?</t>
    <phoneticPr fontId="3" type="noConversion"/>
  </si>
  <si>
    <t>Ⅱ. 위험평가</t>
  </si>
  <si>
    <t xml:space="preserve">1. 각 질문 항목 중, ‘매우 높은 위험’에 대한 사례는 참고 목적으로 제시한 것이므로, 감사인이 회사 상황에 맞게 수정하거나 수정할 필요가 있는지 고려하여야 함. </t>
  </si>
  <si>
    <t xml:space="preserve">2. 또한, 사례로 제시한 항목에 해당되더라도 이것이 절대적으로 위험하다는 것은 아니므로, 감사인이 상대적인 위험의 크기를 고려하여 평가하여야 함. </t>
  </si>
  <si>
    <t xml:space="preserve">3. 각 질문 항목별로, 1) 해당 사항이 있거나, 2) ‘예’ 또는 ‘매우 높은 위험’이 선택되는 경우에 상대적으로 높은 위험을 내재한다고 판단할 수 있을 것임. </t>
  </si>
  <si>
    <t>(회사 및 산업에 대한 위험평가)</t>
  </si>
  <si>
    <t>1.수익성</t>
    <phoneticPr fontId="3" type="noConversion"/>
  </si>
  <si>
    <t>2.재화 및 용역</t>
    <phoneticPr fontId="3" type="noConversion"/>
  </si>
  <si>
    <t>3.영업을 영위하기 위해 필요한 법규등을 위반한 적이 있거나 위반할 위험이 있는가?</t>
    <phoneticPr fontId="3" type="noConversion"/>
  </si>
  <si>
    <t>4.회사는 다음과 같은 중대한 어려움을 겪고 있는가?</t>
    <phoneticPr fontId="3" type="noConversion"/>
  </si>
  <si>
    <t>5.재무보고 시 의도적인 왜곡표시 유인이 있는가?</t>
    <phoneticPr fontId="3" type="noConversion"/>
  </si>
  <si>
    <t>(경영 및 지배구조)</t>
  </si>
  <si>
    <t>1.경영자에 대한 내부감시 및 감독</t>
    <phoneticPr fontId="3" type="noConversion"/>
  </si>
  <si>
    <t>2. 재무성과관리</t>
    <phoneticPr fontId="3" type="noConversion"/>
  </si>
  <si>
    <t>3.경영진 및 경영진의 경험 및 기술수준</t>
    <phoneticPr fontId="3" type="noConversion"/>
  </si>
  <si>
    <t>(윤리 및 성실(Ethics and Integrity))</t>
    <phoneticPr fontId="3" type="noConversion"/>
  </si>
  <si>
    <t>1.내부고발 등 경영진 및 회사에 대한 문제제기를 이유로 이사회구성원이나 고위 경영진이 최근에 사임하였는가?</t>
    <phoneticPr fontId="3" type="noConversion"/>
  </si>
  <si>
    <t>2.다음 사항을 이유로 회사의 이사, 고위 경영진 및 소유주의 정직 또는 행위와 관련하여 적법성에 대한 문제제기가 있었는가?</t>
    <phoneticPr fontId="3" type="noConversion"/>
  </si>
  <si>
    <t>3.경영자가 다음의 이유로 보고결과를 조작하려는 징후가 있는가?</t>
    <phoneticPr fontId="3" type="noConversion"/>
  </si>
  <si>
    <t>4.경영진 주요 구성원이 매우 거만하거나 독재적인가?</t>
    <phoneticPr fontId="3" type="noConversion"/>
  </si>
  <si>
    <t>6.재무보고에 대한 경영자의 고의적 허위 기재의 경향</t>
    <phoneticPr fontId="3" type="noConversion"/>
  </si>
  <si>
    <t>7.경영진 및 지배주주가 재무 보고의 중요성을 무시하는 등 책임의식(Accountability)에 문제가 있거나 최근 2년 내에 지배주주가 교체된 적이 있는가?</t>
    <phoneticPr fontId="3" type="noConversion"/>
  </si>
  <si>
    <t>(회계및 통제)</t>
    <phoneticPr fontId="3" type="noConversion"/>
  </si>
  <si>
    <t>1.통제환경의 효과성이 내부감사기능의 업무에 일부분 의존하는가?</t>
    <phoneticPr fontId="3" type="noConversion"/>
  </si>
  <si>
    <t>2.효과적인 모니터링 또는 위험평가를 위해 필요한 내부감사기능(또는 위험평가기능)이 비효과적이거나, 내부감사의 독립성을 유지하도록 지원해주는 보고라인이 취약한가?</t>
    <phoneticPr fontId="3" type="noConversion"/>
  </si>
  <si>
    <t>3.회사의 예산편성 및 집행, 성과를 감독하는 효과적인 절차가 부족한가?</t>
    <phoneticPr fontId="3" type="noConversion"/>
  </si>
  <si>
    <t>4.재무제표(연차 및 중간)가 전기오류수정을 위하여 재작성되었거나 관련 내용의 공시가 빈번한가?</t>
    <phoneticPr fontId="3" type="noConversion"/>
  </si>
  <si>
    <t>5.오류를 고의로 눈감아 준 경영진이나 이사회 구성원이 여전히 회사와 관련이 있는가?</t>
    <phoneticPr fontId="3" type="noConversion"/>
  </si>
  <si>
    <t>6.전임감사인이 회사 의견에 반대한다하는 이유 등으로 인하여 최근 2년 내에 사임하거나 재수임을 거절당한 적이 있는가?</t>
    <phoneticPr fontId="3" type="noConversion"/>
  </si>
  <si>
    <t>7.회계통제</t>
    <phoneticPr fontId="3" type="noConversion"/>
  </si>
  <si>
    <t>8.수익인식</t>
    <phoneticPr fontId="3" type="noConversion"/>
  </si>
  <si>
    <t>9.과거 감사 수정사항</t>
    <phoneticPr fontId="3" type="noConversion"/>
  </si>
  <si>
    <t>10.재무보고에 관한 내부통제에 중대하게 악영향을 미칠 수 있는 경영진의 변동 징후가 있는가?</t>
    <phoneticPr fontId="3" type="noConversion"/>
  </si>
  <si>
    <t>(자금조달 및 계속기업)</t>
  </si>
  <si>
    <t>1.회사는 당기에 혹은 다음 회계연도에 영업활동과 채무상환을 위한 현금성자산이 충분하지 않은가?</t>
    <phoneticPr fontId="3" type="noConversion"/>
  </si>
  <si>
    <t>2.기존 투자자 및 채권자로부터 추가 자금을 조달하는데 어려움이 있을 것으로 예상되는가?</t>
    <phoneticPr fontId="3" type="noConversion"/>
  </si>
  <si>
    <t>3.회사는 최근에 다음과 같은 재무적 문제를 경험한 적이 있는가(복수 선택 가능)?</t>
    <phoneticPr fontId="3" type="noConversion"/>
  </si>
  <si>
    <t>4.계속기업으로서의 존속능력에 대한 본질적인 의문이 존재하여 확대된 감사절차를 수행할 필요가 있는가?</t>
    <phoneticPr fontId="3" type="noConversion"/>
  </si>
  <si>
    <t>(회계 및 감사이슈)</t>
  </si>
  <si>
    <t>1.회사에 다음과 같은 특성이 있는가?</t>
    <phoneticPr fontId="3" type="noConversion"/>
  </si>
  <si>
    <t>2.회사나 모회사가 1인 또는 소수의 개인에 의하여 지배되는가?</t>
    <phoneticPr fontId="3" type="noConversion"/>
  </si>
  <si>
    <t>3.회사를 소유하거나 통제하는 조직이나 개인을 확인할 수 없는가?</t>
    <phoneticPr fontId="3" type="noConversion"/>
  </si>
  <si>
    <t>4.회사가 감사인에게 다음과 같은 불합리한 요구를 하는가?</t>
    <phoneticPr fontId="3" type="noConversion"/>
  </si>
  <si>
    <t>5.비정상적으로 공격적이거나 분식 회계정책 및 방침을 적용하려는 징후가 있는가?</t>
    <phoneticPr fontId="3" type="noConversion"/>
  </si>
  <si>
    <t>6.다음과 같은 중요한 거래들이 있는가?</t>
    <phoneticPr fontId="3" type="noConversion"/>
  </si>
  <si>
    <t>7.재무제표가 주관적 판단 또는 불확실성, 중대한 변경을 초래하는 항목을 포함하는 회계추정에 의하여 중대하게 영향을 받는가?</t>
    <phoneticPr fontId="3" type="noConversion"/>
  </si>
  <si>
    <t>8.회계추정의 신뢰도</t>
    <phoneticPr fontId="3" type="noConversion"/>
  </si>
  <si>
    <t>9.연결그룹에 포함되지 않은 특수관계자와의 거래가 개별 재무제표에 중대한 영향을 미치는가?</t>
    <phoneticPr fontId="3" type="noConversion"/>
  </si>
  <si>
    <t>10.특수관계자간 거래가 정상적인 영업조건을 벗어나는가?</t>
    <phoneticPr fontId="3" type="noConversion"/>
  </si>
  <si>
    <t>11.고객과의 관계</t>
    <phoneticPr fontId="3" type="noConversion"/>
  </si>
  <si>
    <t>12.다음과 같은 사항이 전기 이전의 감사보고서에 포함되었거나 당기 보고서에 포함될 것으로 기대되는가?</t>
    <phoneticPr fontId="3" type="noConversion"/>
  </si>
  <si>
    <t>13.전기감사보고서에 첨부되는 내부회계관리제도 검토결과, 중요한 취약점이 과거에 발견되었거나 당기에 발견될 것으로 예상되는가?</t>
    <phoneticPr fontId="3" type="noConversion"/>
  </si>
  <si>
    <t>14.전기감사보고서에 첨부되는 내부회계관리제도 검토에 대한 범위제한이 과거에 있었거나 당기에 예상되는가?</t>
    <phoneticPr fontId="3" type="noConversion"/>
  </si>
  <si>
    <t>15.당 감사계약이 감사팀이 잘 알지 못하는 전문적 지식 등을 요구하고 있는가? (예: 특별한 산업 전문지식, 복잡하고 독특한 거래에 대한 경험)</t>
    <phoneticPr fontId="3" type="noConversion"/>
  </si>
  <si>
    <t>16. (외부감사법 적용대상 감사업무일 경우)외부감사법에 따라 정한 표준감사시간을 준수할 수 있는가?</t>
    <phoneticPr fontId="3" type="noConversion"/>
  </si>
  <si>
    <t>(해당사항이 있는 경우, 문서화)</t>
    <phoneticPr fontId="3" type="noConversion"/>
  </si>
  <si>
    <t>16-1. 수임대상회사의 감사업무를 담당할 업무수행이사는 감사업무 수임시 외부감사법에 따른 표준감사시간에 미달하는 감사시간투입이 예상되는 경우 아래와 같은 절차를 수행하였는가?</t>
    <phoneticPr fontId="3" type="noConversion"/>
  </si>
  <si>
    <t>(1)품질관리실에 내부자원 투입계획 등 감사품질 제고방안을 보고하고 그 적정성을 검토받았는가?</t>
    <phoneticPr fontId="2" type="noConversion"/>
  </si>
  <si>
    <t>(2)품질관리실장은 감사품질 제고방안이 적정하다고 판단되면 관련 근거자료와 함께 표준감사시간 조정신청서를 한국공인회계사회 표준감사시간 조정심의위원회에 제출하여 조정을 받았는가?</t>
    <phoneticPr fontId="2" type="noConversion"/>
  </si>
  <si>
    <t>업무수행이사 및 업무수임승인자의 의견</t>
    <phoneticPr fontId="2" type="noConversion"/>
  </si>
  <si>
    <t>감사업무 수임에 대한 위험평가</t>
  </si>
  <si>
    <t>업무 수임에 관한 최종 결론</t>
  </si>
  <si>
    <t xml:space="preserve">사유 : </t>
    <phoneticPr fontId="3" type="noConversion"/>
  </si>
  <si>
    <t>작성자 :</t>
    <phoneticPr fontId="3" type="noConversion"/>
  </si>
  <si>
    <t>성명</t>
    <phoneticPr fontId="2" type="noConversion"/>
  </si>
  <si>
    <t>서명</t>
    <phoneticPr fontId="2" type="noConversion"/>
  </si>
  <si>
    <t>일자</t>
    <phoneticPr fontId="2" type="noConversion"/>
  </si>
  <si>
    <t xml:space="preserve">참여공인회계사 </t>
    <phoneticPr fontId="3" type="noConversion"/>
  </si>
  <si>
    <t>검토자 :</t>
    <phoneticPr fontId="3" type="noConversion"/>
  </si>
  <si>
    <t>업무수행이사</t>
    <phoneticPr fontId="3" type="noConversion"/>
  </si>
  <si>
    <t>업무수임승인자</t>
    <phoneticPr fontId="3" type="noConversion"/>
  </si>
  <si>
    <t>(의뢰인 관계의 수용 및 감사업무 수임)</t>
  </si>
  <si>
    <t>Ⅰ. 일반정보</t>
  </si>
  <si>
    <t>(서비스 정보)</t>
  </si>
  <si>
    <t>1.중대한 비감사서비스를 제공할 예정인가?</t>
    <phoneticPr fontId="3" type="noConversion"/>
  </si>
  <si>
    <r>
      <t>※ 작성 및 검토요령</t>
    </r>
    <r>
      <rPr>
        <sz val="12"/>
        <color theme="1"/>
        <rFont val="HY신명조"/>
        <family val="1"/>
        <charset val="129"/>
      </rPr>
      <t xml:space="preserve">: </t>
    </r>
  </si>
  <si>
    <t>&lt;숨기기&gt;</t>
    <phoneticPr fontId="2" type="noConversion"/>
  </si>
  <si>
    <t>매우높은위험</t>
    <phoneticPr fontId="2" type="noConversion"/>
  </si>
  <si>
    <t>높은위험</t>
    <phoneticPr fontId="2" type="noConversion"/>
  </si>
  <si>
    <t>기타위험</t>
    <phoneticPr fontId="2" type="noConversion"/>
  </si>
  <si>
    <t>유의적사항</t>
    <phoneticPr fontId="2" type="noConversion"/>
  </si>
  <si>
    <t>해당사항없음</t>
    <phoneticPr fontId="2" type="noConversion"/>
  </si>
  <si>
    <t>아니오</t>
    <phoneticPr fontId="2" type="noConversion"/>
  </si>
  <si>
    <t>[  ]</t>
  </si>
  <si>
    <t xml:space="preserve">예 </t>
    <phoneticPr fontId="2" type="noConversion"/>
  </si>
  <si>
    <t>(예인 경우 설명)</t>
    <phoneticPr fontId="2" type="noConversion"/>
  </si>
  <si>
    <t>※ 회계법인이 새로운 의뢰인이나 기존 의뢰인으로부터 요청 받은 새로운 업무를 수행할 적격성과 역량 및 인력을 보유하고 있는지를 고려할 때에는 해당 업무에 특유한 요구사항과 현재 파트너 및 관련된 모든 직급의 스태프들의 이력과 다음 사항들을 검토한다.</t>
    <phoneticPr fontId="2" type="noConversion"/>
  </si>
  <si>
    <t>R</t>
    <phoneticPr fontId="2" type="noConversion"/>
  </si>
  <si>
    <t>회사 및 회사의 관계회사와 재무적 이해관계 또는 대출/차입 및 여타의 사업관계</t>
    <phoneticPr fontId="2" type="noConversion"/>
  </si>
  <si>
    <t>개인이나 그 배우자 및 부양가족이 회사 및 회사의 관계회사에 대해 재무적 이해관계, 차입 혹은 가족 또는 개인적인 관계나 사업관계</t>
    <phoneticPr fontId="2" type="noConversion"/>
  </si>
  <si>
    <t>독립성 이슈를 일으킬 수 있는 비감사서비스 제공</t>
    <phoneticPr fontId="2" type="noConversion"/>
  </si>
  <si>
    <t>진행 중이거나 발생가능성이 매우 높은 소송 관계</t>
    <phoneticPr fontId="2" type="noConversion"/>
  </si>
  <si>
    <t>검토 결과 독립성을 저해할만한 상황이 없음(또는 발생한 모든 문제들을 고려하고 해결)</t>
    <phoneticPr fontId="2" type="noConversion"/>
  </si>
  <si>
    <t>(아래는 해당 사항 있는 경우 문서화)</t>
    <phoneticPr fontId="3" type="noConversion"/>
  </si>
  <si>
    <t>* 계약전에 접촉하지 못한 경우 법규에서 이를 금지하지않는 한 전기감사인과 접촉하지 아니한 사유및 언제 접촉할 것인지를 문서화</t>
    <phoneticPr fontId="2" type="noConversion"/>
  </si>
  <si>
    <t>전기감사인 감사미종료상태인 바 접촉으로 수집할 수 있는 정보가 적음. 감사보고서발행후 감사계획수립전 접촉예정</t>
    <phoneticPr fontId="3" type="noConversion"/>
  </si>
  <si>
    <t>* 계약전에 접촉하지 못한 경우에도 명칭 및 서비스제공기간은 반드시 기재</t>
    <phoneticPr fontId="2" type="noConversion"/>
  </si>
  <si>
    <r>
      <t>(1)전임감사인의 명칭(</t>
    </r>
    <r>
      <rPr>
        <sz val="12"/>
        <color rgb="FF7030A0"/>
        <rFont val="HY신명조"/>
        <family val="1"/>
        <charset val="129"/>
      </rPr>
      <t>필수기재사항</t>
    </r>
    <r>
      <rPr>
        <sz val="12"/>
        <color theme="1"/>
        <rFont val="HY신명조"/>
        <family val="1"/>
        <charset val="129"/>
      </rPr>
      <t>)</t>
    </r>
    <phoneticPr fontId="3" type="noConversion"/>
  </si>
  <si>
    <r>
      <t>(2)전임감사인의 서비스 제공기간(</t>
    </r>
    <r>
      <rPr>
        <sz val="12"/>
        <color rgb="FF7030A0"/>
        <rFont val="HY신명조"/>
        <family val="1"/>
        <charset val="129"/>
      </rPr>
      <t>필수기재사항</t>
    </r>
    <r>
      <rPr>
        <sz val="12"/>
        <color theme="1"/>
        <rFont val="HY신명조"/>
        <family val="1"/>
        <charset val="129"/>
      </rPr>
      <t>)</t>
    </r>
    <phoneticPr fontId="3" type="noConversion"/>
  </si>
  <si>
    <t>(전기 감사인과 접촉한 경우 입력)</t>
    <phoneticPr fontId="2" type="noConversion"/>
  </si>
  <si>
    <t>회사의 주요주주, 이사회 구성원 또는 경영진의 성실성에 의문을 제기하게 되는 사건이나 상황</t>
    <phoneticPr fontId="2" type="noConversion"/>
  </si>
  <si>
    <t>회계정책, 감사절차 또는 기타 재무제표 공시와 관련된 중요한 문제와 관련하여, 전임감사인과 회사 사이의 중요한 의견불일치 사항</t>
    <phoneticPr fontId="2" type="noConversion"/>
  </si>
  <si>
    <t>전임감사인이 회사의 부정, 불법행위나 내부통제와 관련된 중요한 문제점에 대해 지배기구등에 보고 또는 논의한 내역</t>
    <phoneticPr fontId="2" type="noConversion"/>
  </si>
  <si>
    <t xml:space="preserve">상기 해당 사항 없음 </t>
    <phoneticPr fontId="2" type="noConversion"/>
  </si>
  <si>
    <t xml:space="preserve">매우 낮은 위험: </t>
    <phoneticPr fontId="2" type="noConversion"/>
  </si>
  <si>
    <t xml:space="preserve">낮은 위험: </t>
    <phoneticPr fontId="2" type="noConversion"/>
  </si>
  <si>
    <t xml:space="preserve">일정 수준 위험: </t>
    <phoneticPr fontId="2" type="noConversion"/>
  </si>
  <si>
    <t xml:space="preserve">높은 위험: </t>
    <phoneticPr fontId="2" type="noConversion"/>
  </si>
  <si>
    <t>매우 높은 위험: 예. 지속적으로 이윤이 없거나 매우 낮은 이윤을 얻음</t>
    <phoneticPr fontId="2" type="noConversion"/>
  </si>
  <si>
    <t xml:space="preserve">해당 사항 없음 </t>
    <phoneticPr fontId="2" type="noConversion"/>
  </si>
  <si>
    <t>매우 높은 위험: 예. 회사가 제공하는 재화 및 용역이 차별화되어 있지 않아 대체재가 많거나 경쟁자가 쉽게 복제할 수 있음. 시장규모 및 회사 시장점유율은 예측이 거의 불가능하고 브랜드 충성도가 거의 없음. 경쟁우위가 매우 낮음</t>
    <phoneticPr fontId="2" type="noConversion"/>
  </si>
  <si>
    <t>회사의 재무적 안정성 및 수익성을 해칠 수 있는 새로운 회계기준이나 법규</t>
    <phoneticPr fontId="2" type="noConversion"/>
  </si>
  <si>
    <t>침체 사업부의 구조조정과 같은 비경상적 손실 또는 거액의 현금유출</t>
    <phoneticPr fontId="2" type="noConversion"/>
  </si>
  <si>
    <t>이윤 감소, 매출 하락, 치열한 경쟁 등 핵심적 사업 문제</t>
    <phoneticPr fontId="2" type="noConversion"/>
  </si>
  <si>
    <t>기술 및 제품 진부화</t>
    <phoneticPr fontId="2" type="noConversion"/>
  </si>
  <si>
    <t>매우 높은 위험: 예. 경영자에게 목표 달성에 대한 압력이 매우 높음. 실적 부진으로 기업의 존속능력이나 경영진의 계속 고용을 위협함. 성과보상 시 재무적·비재무적 척도가 모두 고려되지 않고 재무 및 회계적인 기준에 집중되어 있음.</t>
    <phoneticPr fontId="2" type="noConversion"/>
  </si>
  <si>
    <t>매우 높은 위험: 예. 고위 경영진이 한 사람이나 소수로 구성되어 있음. 이사회구성원의 대부분이 경영자에게 독립적이지 않고(예. CEO나 지배주주의 친인척 등) 전문적인 지식이나 정보가 부족. 사외이사의 선임 시 상위경영자나 지배주주가 개입. 이사회가 경영진의 성과를 모니터링하기 위한 충분한 정보를 제공받지 못하고 경영진의 결정에 대해 무비판적으로 승인함. 감사위원회가 없거나 감사위원회가 회사 재무사항을 감독하는 역할을 적절히 수행하지 못함</t>
    <phoneticPr fontId="2" type="noConversion"/>
  </si>
  <si>
    <t>매우 높은 위험: 예. 회사는 수립한 목표를 달성한 적이 거의 없음. 변화하는 환경에 적응하지 못하여 때때로 비상경영에 봉착함</t>
    <phoneticPr fontId="2" type="noConversion"/>
  </si>
  <si>
    <t>매우 높은 위험: 예. 충분한 경영진측의 확보가 부족. 경영진은 직무에 대한 경험이 풍부하지 않으며 직무상 기술이 부족함</t>
    <phoneticPr fontId="2" type="noConversion"/>
  </si>
  <si>
    <t>임직원 부정에 대한 언급이 있거나 임직원의 부정, 범죄 조사, 기소 또는 유죄판결 등</t>
    <phoneticPr fontId="2" type="noConversion"/>
  </si>
  <si>
    <t>금감원 감리 등 규제기관에 의한 조사</t>
    <phoneticPr fontId="2" type="noConversion"/>
  </si>
  <si>
    <t>익명의 제보를 포함하여, 제3자에 의해 제공된 정보</t>
    <phoneticPr fontId="2" type="noConversion"/>
  </si>
  <si>
    <t>회사에 불리한 평판이나 기타 사건(예: 전직 경영진에 대한 미디어 리서치 등)</t>
    <phoneticPr fontId="2" type="noConversion"/>
  </si>
  <si>
    <t>해당 사항 없음</t>
    <phoneticPr fontId="2" type="noConversion"/>
  </si>
  <si>
    <t>납부할 세금 경감</t>
    <phoneticPr fontId="2" type="noConversion"/>
  </si>
  <si>
    <t>회사에 대한 중대한 투자를 보호하거나 회사 채무에 대한 보증이행을 회피하기 위하여</t>
    <phoneticPr fontId="2" type="noConversion"/>
  </si>
  <si>
    <t>연봉 및 복리후생 등 보상프로그램을 위해</t>
    <phoneticPr fontId="2" type="noConversion"/>
  </si>
  <si>
    <t>계약자 선정 등과 같은 진행 중인 거래를 완료하기 위하여</t>
    <phoneticPr fontId="2" type="noConversion"/>
  </si>
  <si>
    <t>해당 징후 발견된 바 없음</t>
    <phoneticPr fontId="2" type="noConversion"/>
  </si>
  <si>
    <t>5.성실과  윤리(Integrity and ethics)</t>
    <phoneticPr fontId="3" type="noConversion"/>
  </si>
  <si>
    <t>매우 높은 위험: 예. 경영자가 비윤리적인 행위에 연루되어 있다는 암시가 있음(예. 종업원의 진술, 규제기관의 질의, 적대적인 평판 혹은 다른 정보에 기초했을 때), 윤리강령이 존재하지 않거나, 존재하더라도 전사적으로 전달되거나 준수되지 아니함</t>
    <phoneticPr fontId="2" type="noConversion"/>
  </si>
  <si>
    <t>매우 높은 위험: 예. 경영자는 공정하고 정확한 재무보고를 중요하게 여기지 않음. 경영자는 과거에 회사의 재무상태나 영업실적을 왜곡하거나 숨기려는 시도를 한 적이 있음</t>
    <phoneticPr fontId="2" type="noConversion"/>
  </si>
  <si>
    <t>매우 높은 위험: 예. 통제활동이 설계되어 있지 않거나 구축되어 있지 않은 예측할 수 없는 상황. 회계시스템과 통제는 회사와 감사의 요구사항을 제공하기에 부적합함. 회계부서의 내부 재무회계 및 재무보고 요구사항과 관련한 업무능력이 부족함. 회계담당자는 회사 규모와 복잡성에 비하여 부적격함. 재무보고서가 늦어지거나 신뢰성이 결여된 전력이 있음</t>
    <phoneticPr fontId="2" type="noConversion"/>
  </si>
  <si>
    <t xml:space="preserve">매우 높은 위험: 예. 비정형화된 계약조건의 수익거래가 자주 발생. 수익인식과 관련된 회계처리가 일관성 있게 적용되지 못함. 수익인식요건을 충족하지 못하는 중대한 거래를 수익인식요건을 충족할 수 있도록 구성함. 판매와 관련된 우발상황이 다수 존재함. </t>
    <phoneticPr fontId="2" type="noConversion"/>
  </si>
  <si>
    <t>매우 높은 위험: 예. 감사 수정사항이 항상 발생함</t>
    <phoneticPr fontId="2" type="noConversion"/>
  </si>
  <si>
    <t>거래조건을 신용으로 하기 어려운 경우</t>
    <phoneticPr fontId="2" type="noConversion"/>
  </si>
  <si>
    <t>이미 보증되어 있거나 이전에는 무보증이었던 채무에 대하여 추가적인 담보의 요구가 있는 경우</t>
    <phoneticPr fontId="2" type="noConversion"/>
  </si>
  <si>
    <t>중대한 차입관련 계약사항을 위반하였거나 그럴 위험이 있는 경우 (채권자의 권리행사 유보와 무관함)</t>
    <phoneticPr fontId="2" type="noConversion"/>
  </si>
  <si>
    <t>추가 유상증자가 어려운 경우</t>
    <phoneticPr fontId="2" type="noConversion"/>
  </si>
  <si>
    <t>공개기업으로서 주식분포상황, 거래량 기준 위반 이외의 사유로 관리종목이 된 경우</t>
    <phoneticPr fontId="2" type="noConversion"/>
  </si>
  <si>
    <t>C등급 이하의 회사채 평가를 받은 경우</t>
    <phoneticPr fontId="2" type="noConversion"/>
  </si>
  <si>
    <t>회사에 중요한 위협이 될 수 있는 소송 및 분쟁이 있는 경우</t>
    <phoneticPr fontId="2" type="noConversion"/>
  </si>
  <si>
    <t>불필요하게 복잡한 구조</t>
    <phoneticPr fontId="2" type="noConversion"/>
  </si>
  <si>
    <t>명확한 사업목적 없이 국외에 종속회사나 은행계좌가 존재</t>
    <phoneticPr fontId="2" type="noConversion"/>
  </si>
  <si>
    <t>현실적이고 합리적인 fee를 받아들이지 아니함</t>
    <phoneticPr fontId="2" type="noConversion"/>
  </si>
  <si>
    <t>과도하거나 무리하게 타이트한 감사스케쥴을 요구함</t>
    <phoneticPr fontId="2" type="noConversion"/>
  </si>
  <si>
    <t>감사인이 충분히 평가할 수 없을 정도로 늦게 정보를 제공함</t>
    <phoneticPr fontId="2" type="noConversion"/>
  </si>
  <si>
    <t>감사범위 제한을 시도함</t>
    <phoneticPr fontId="2" type="noConversion"/>
  </si>
  <si>
    <t>복잡하거나 비경상적이고 회계처리상 평가하기 어려운 거래</t>
    <phoneticPr fontId="2" type="noConversion"/>
  </si>
  <si>
    <t>비경상적이고 회계연도말에 근접하여 발생한 거래</t>
    <phoneticPr fontId="2" type="noConversion"/>
  </si>
  <si>
    <t>매우 높은 위험: 예. 회계추정이 과거와 일관되지 아니함. 지나치게 비현실적이거나 낙관적임</t>
    <phoneticPr fontId="2" type="noConversion"/>
  </si>
  <si>
    <t>매우 높은 위험: 예. 경영자는 회계이슈에 대해 감사인과 논의하는 데에 주도적이지 않음. 이슈가 제기되었을 때에도 관련 사실관계를 설명하는데 이사회 및 감사위원회와의 커뮤니케이션이 진솔하거나 효과적이지 아니함. 감사인은 이사회 및 감사위원회에게 구체적으로 커뮤니케이션 할 기회가 전혀 없음. 경영자가 감사범위를 제한 또는 지시하려 함. 회사 담당자 및 관련 정보에의 접근이 공식적으로, 비공식적으로 제한되어 있음. 경영자는 감사발견사항들에 대하여 일반적으로 이의를 제기하고 상호합의를 도출하기보다는 가급적 그 중요성을 희석시키려 함.</t>
    <phoneticPr fontId="2" type="noConversion"/>
  </si>
  <si>
    <t>변형된 감사의견 (한정의견, 부적정의견 또는 의견거절)</t>
    <phoneticPr fontId="2" type="noConversion"/>
  </si>
  <si>
    <t>계속기업 불확실성, 회사에 중요하게 위협이 되는 소송 및 분쟁, 중요한 법률 및 규정의 위반 또는 새로 제정된 회계기준의 적용 이외의 회계정책의 변경에 대한 강조사항 문단</t>
    <phoneticPr fontId="2" type="noConversion"/>
  </si>
  <si>
    <t>강조사항 문단</t>
    <phoneticPr fontId="2" type="noConversion"/>
  </si>
  <si>
    <t>전기감사인 필수정보 기재여부:</t>
    <phoneticPr fontId="2" type="noConversion"/>
  </si>
  <si>
    <t>위험평가결과요약:</t>
    <phoneticPr fontId="2" type="noConversion"/>
  </si>
  <si>
    <t>매우 높은위험 개수</t>
    <phoneticPr fontId="2" type="noConversion"/>
  </si>
  <si>
    <t>높은 위험 개수</t>
    <phoneticPr fontId="2" type="noConversion"/>
  </si>
  <si>
    <t>기타 위험 개수</t>
    <phoneticPr fontId="2" type="noConversion"/>
  </si>
  <si>
    <t>유의적사항 개수</t>
    <phoneticPr fontId="2" type="noConversion"/>
  </si>
  <si>
    <t>위험수준으로 평가되지 않는 항목(예인 경우 옆에 빨간색"*"표시됨)</t>
    <phoneticPr fontId="2" type="noConversion"/>
  </si>
  <si>
    <t>해당사항없음 개수</t>
    <phoneticPr fontId="2" type="noConversion"/>
  </si>
  <si>
    <t>아니오 포함</t>
    <phoneticPr fontId="2" type="noConversion"/>
  </si>
  <si>
    <t>합  계</t>
    <phoneticPr fontId="2" type="noConversion"/>
  </si>
  <si>
    <t>54보다 작은 경우 미입력사항이 있음</t>
    <phoneticPr fontId="2" type="noConversion"/>
  </si>
  <si>
    <r>
      <t>업무를 수임할 경우 특별히 고려하여야 할 사항</t>
    </r>
    <r>
      <rPr>
        <sz val="12"/>
        <color theme="1"/>
        <rFont val="HY신명조"/>
        <family val="1"/>
        <charset val="129"/>
      </rPr>
      <t xml:space="preserve">     </t>
    </r>
    <phoneticPr fontId="3" type="noConversion"/>
  </si>
  <si>
    <t xml:space="preserve">※ 구비하여야 할 안전장치나 감사계획 수립시 특별히 고려하여야 할 사항이 있다면 기재             </t>
    <phoneticPr fontId="2" type="noConversion"/>
  </si>
  <si>
    <t xml:space="preserve">※ 위험평가결과요약에 매우높은위험, 높은위험 및 유의적사항이 있는 경우 필수 기재       </t>
    <phoneticPr fontId="2" type="noConversion"/>
  </si>
  <si>
    <t xml:space="preserve">※ 회계법인 별 정량 및 정성적인 요소등을 고려한 적절한 위험평가기준을 마련하여  위험평가결과를 도출하도록 함(예시: 위험평가결과요약에 매우높은위험, 높은위험 및 유의적사항이 합하여 3개이상이지만 위험평가결론이 "높음"이 아닌 사유가 있는 경우 그 내용도 기재)    </t>
    <phoneticPr fontId="2" type="noConversion"/>
  </si>
  <si>
    <t xml:space="preserve">(업무수행이사의 의견):     </t>
    <phoneticPr fontId="2" type="noConversion"/>
  </si>
  <si>
    <t xml:space="preserve">(업무수임승인자의 의견 ): </t>
    <phoneticPr fontId="2" type="noConversion"/>
  </si>
  <si>
    <t xml:space="preserve">※ 회계법인 별 정량 및 정성적인 요소등을 고려한 적절한 위험평가기준을 마련하여 위험평가결과를 도출하도록 함(예시: 위험평가결과요약에 매우높은위험, 높은위험 및 유의적사항을 합하여 3개이상인 경우에는 명백한 사유가 없는 한 위험을 "높음"으로 평가합니다.)     </t>
    <phoneticPr fontId="2" type="noConversion"/>
  </si>
  <si>
    <t>높음</t>
    <phoneticPr fontId="2" type="noConversion"/>
  </si>
  <si>
    <t>보통</t>
    <phoneticPr fontId="2" type="noConversion"/>
  </si>
  <si>
    <t>낮음</t>
    <phoneticPr fontId="2" type="noConversion"/>
  </si>
  <si>
    <t>본 감사업무의 수임을 승인함</t>
    <phoneticPr fontId="2" type="noConversion"/>
  </si>
  <si>
    <t xml:space="preserve">본 감사업무의 수임을 승인하지 아니함 </t>
    <phoneticPr fontId="2" type="noConversion"/>
  </si>
  <si>
    <t>※ 업무 수임에 관한 최종 결론에 대한 사유는 업무수임승인자의 필수 기재사항임.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</si>
</sst>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년&quot;\ m&quot;월&quot;\ d&quot;일&quot;;@"/>
  </numFmts>
  <fonts count="16" x14ac:knownFonts="1"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b/>
      <sz val="14"/>
      <color theme="1"/>
      <name val="HY신명조"/>
      <family val="1"/>
      <charset val="129"/>
    </font>
    <font>
      <sz val="10"/>
      <color theme="1"/>
      <name val="HY신명조"/>
      <family val="1"/>
      <charset val="129"/>
    </font>
    <font>
      <sz val="11"/>
      <color theme="1"/>
      <name val="HY신명조"/>
      <family val="1"/>
      <charset val="129"/>
    </font>
    <font>
      <b/>
      <sz val="12"/>
      <color theme="1"/>
      <name val="HY신명조"/>
      <family val="1"/>
      <charset val="129"/>
    </font>
    <font>
      <sz val="12"/>
      <color theme="1"/>
      <name val="HY신명조"/>
      <family val="1"/>
      <charset val="129"/>
    </font>
    <font>
      <u/>
      <sz val="12"/>
      <color theme="1"/>
      <name val="HY신명조"/>
      <family val="1"/>
      <charset val="129"/>
    </font>
    <font>
      <sz val="11"/>
      <color theme="0" tint="-0.499984740745262"/>
      <name val="HY신명조"/>
      <family val="1"/>
      <charset val="129"/>
    </font>
    <font>
      <sz val="12"/>
      <color theme="0" tint="-0.499984740745262"/>
      <name val="HY신명조"/>
      <family val="1"/>
      <charset val="129"/>
    </font>
    <font>
      <sz val="12"/>
      <color rgb="FFFF0000"/>
      <name val="HY신명조"/>
      <family val="1"/>
      <charset val="129"/>
    </font>
    <font>
      <sz val="12"/>
      <color rgb="FF7030A0"/>
      <name val="HY신명조"/>
      <family val="1"/>
      <charset val="129"/>
    </font>
    <font>
      <sz val="12"/>
      <name val="HY신명조"/>
      <family val="1"/>
      <charset val="129"/>
    </font>
    <font>
      <i/>
      <sz val="12"/>
      <color theme="1"/>
      <name val="HY신명조"/>
      <family val="1"/>
      <charset val="129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224">
    <xf numFmtId="0" fontId="0" fillId="0" borderId="0" xfId="0">
      <alignment vertical="center"/>
    </xf>
    <xf numFmtId="0" fontId="5" fillId="0" borderId="0" xfId="1" applyFont="1">
      <alignment vertical="center"/>
    </xf>
    <xf numFmtId="0" fontId="6" fillId="0" borderId="0" xfId="1" applyFont="1">
      <alignment vertical="center"/>
    </xf>
    <xf numFmtId="0" fontId="8" fillId="0" borderId="0" xfId="1" applyFont="1" applyAlignment="1">
      <alignment horizontal="center" vertical="center"/>
    </xf>
    <xf numFmtId="0" fontId="8" fillId="0" borderId="1" xfId="1" applyFont="1" applyBorder="1" applyAlignment="1">
      <alignment horizontal="left" vertical="center"/>
    </xf>
    <xf numFmtId="0" fontId="8" fillId="0" borderId="0" xfId="1" applyFont="1" applyAlignment="1">
      <alignment horizontal="left" vertical="center"/>
    </xf>
    <xf numFmtId="0" fontId="8" fillId="0" borderId="0" xfId="1" applyFont="1">
      <alignment vertical="center"/>
    </xf>
    <xf numFmtId="176" fontId="8" fillId="0" borderId="2" xfId="1" applyNumberFormat="1" applyFont="1" applyBorder="1" applyAlignment="1">
      <alignment horizontal="left" vertical="center"/>
    </xf>
    <xf numFmtId="176" fontId="8" fillId="0" borderId="0" xfId="1" applyNumberFormat="1" applyFont="1" applyAlignment="1">
      <alignment horizontal="left" vertical="center"/>
    </xf>
    <xf numFmtId="0" fontId="7" fillId="0" borderId="3" xfId="1" applyFont="1" applyBorder="1" applyAlignment="1">
      <alignment horizontal="justify" vertical="center"/>
    </xf>
    <xf numFmtId="0" fontId="8" fillId="0" borderId="3" xfId="1" applyFont="1" applyBorder="1">
      <alignment vertical="center"/>
    </xf>
    <xf numFmtId="0" fontId="7" fillId="0" borderId="7" xfId="1" applyFont="1" applyBorder="1" applyAlignment="1">
      <alignment horizontal="left" vertical="center"/>
    </xf>
    <xf numFmtId="0" fontId="8" fillId="0" borderId="7" xfId="1" applyFont="1" applyBorder="1" applyAlignment="1">
      <alignment horizontal="left" vertical="center"/>
    </xf>
    <xf numFmtId="0" fontId="8" fillId="0" borderId="8" xfId="1" applyFont="1" applyBorder="1" applyAlignment="1">
      <alignment horizontal="left" vertical="center"/>
    </xf>
    <xf numFmtId="0" fontId="8" fillId="0" borderId="8" xfId="1" applyFont="1" applyBorder="1">
      <alignment vertical="center"/>
    </xf>
    <xf numFmtId="0" fontId="8" fillId="0" borderId="7" xfId="1" applyFont="1" applyBorder="1" applyAlignment="1">
      <alignment horizontal="left" vertical="center" wrapText="1"/>
    </xf>
    <xf numFmtId="0" fontId="8" fillId="0" borderId="0" xfId="1" applyFont="1" applyAlignment="1">
      <alignment horizontal="left" vertical="center" wrapText="1"/>
    </xf>
    <xf numFmtId="0" fontId="8" fillId="0" borderId="13" xfId="1" applyFont="1" applyBorder="1" applyAlignment="1">
      <alignment horizontal="left" vertical="center" wrapText="1"/>
    </xf>
    <xf numFmtId="0" fontId="8" fillId="0" borderId="14" xfId="1" applyFont="1" applyBorder="1" applyAlignment="1">
      <alignment horizontal="left" vertical="center" wrapText="1"/>
    </xf>
    <xf numFmtId="0" fontId="7" fillId="0" borderId="16" xfId="1" applyFont="1" applyBorder="1" applyAlignment="1">
      <alignment horizontal="left" vertical="center"/>
    </xf>
    <xf numFmtId="0" fontId="8" fillId="0" borderId="17" xfId="1" applyFont="1" applyBorder="1" applyAlignment="1">
      <alignment horizontal="left" vertical="center"/>
    </xf>
    <xf numFmtId="0" fontId="8" fillId="0" borderId="18" xfId="1" applyFont="1" applyBorder="1">
      <alignment vertical="center"/>
    </xf>
    <xf numFmtId="0" fontId="9" fillId="0" borderId="7" xfId="1" applyFont="1" applyBorder="1" applyAlignment="1">
      <alignment horizontal="left" vertical="center"/>
    </xf>
    <xf numFmtId="0" fontId="8" fillId="0" borderId="15" xfId="1" applyFont="1" applyBorder="1">
      <alignment vertical="center"/>
    </xf>
    <xf numFmtId="0" fontId="8" fillId="0" borderId="14" xfId="1" applyFont="1" applyBorder="1">
      <alignment vertical="center"/>
    </xf>
    <xf numFmtId="0" fontId="8" fillId="0" borderId="10" xfId="1" applyFont="1" applyBorder="1">
      <alignment vertical="center"/>
    </xf>
    <xf numFmtId="0" fontId="8" fillId="0" borderId="0" xfId="1" applyFont="1" applyAlignment="1">
      <alignment vertical="center" wrapText="1"/>
    </xf>
    <xf numFmtId="0" fontId="8" fillId="0" borderId="2" xfId="1" applyFont="1" applyBorder="1">
      <alignment vertical="center"/>
    </xf>
    <xf numFmtId="0" fontId="8" fillId="0" borderId="7" xfId="1" applyFont="1" applyBorder="1" applyAlignment="1">
      <alignment horizontal="left"/>
    </xf>
    <xf numFmtId="0" fontId="8" fillId="0" borderId="2" xfId="1" applyFont="1" applyBorder="1" applyAlignment="1">
      <alignment horizontal="center" vertical="center"/>
    </xf>
    <xf numFmtId="0" fontId="8" fillId="0" borderId="1" xfId="1" applyFont="1" applyBorder="1" applyAlignment="1"/>
    <xf numFmtId="0" fontId="8" fillId="0" borderId="0" xfId="1" applyFont="1" applyAlignment="1"/>
    <xf numFmtId="0" fontId="8" fillId="0" borderId="2" xfId="1" applyFont="1" applyBorder="1" applyAlignment="1"/>
    <xf numFmtId="0" fontId="8" fillId="0" borderId="0" xfId="1" applyFont="1" applyAlignment="1">
      <alignment horizontal="right"/>
    </xf>
    <xf numFmtId="0" fontId="8" fillId="0" borderId="7" xfId="1" applyFont="1" applyBorder="1" applyAlignment="1">
      <alignment vertical="center" wrapText="1"/>
    </xf>
    <xf numFmtId="0" fontId="8" fillId="0" borderId="11" xfId="1" applyFont="1" applyBorder="1" applyAlignment="1">
      <alignment vertical="center" wrapText="1"/>
    </xf>
    <xf numFmtId="0" fontId="8" fillId="0" borderId="7" xfId="1" applyFont="1" applyBorder="1">
      <alignment vertical="center"/>
    </xf>
    <xf numFmtId="0" fontId="8" fillId="0" borderId="11" xfId="1" applyFont="1" applyBorder="1">
      <alignment vertical="center"/>
    </xf>
    <xf numFmtId="0" fontId="11" fillId="0" borderId="22" xfId="1" applyFont="1" applyBorder="1">
      <alignment vertical="center"/>
    </xf>
    <xf numFmtId="0" fontId="8" fillId="0" borderId="22" xfId="1" applyFont="1" applyBorder="1">
      <alignment vertical="center"/>
    </xf>
    <xf numFmtId="0" fontId="8" fillId="3" borderId="13" xfId="1" applyFont="1" applyFill="1" applyBorder="1" applyAlignment="1">
      <alignment horizontal="center" vertical="center"/>
    </xf>
    <xf numFmtId="0" fontId="8" fillId="3" borderId="14" xfId="1" applyFont="1" applyFill="1" applyBorder="1">
      <alignment vertical="center"/>
    </xf>
    <xf numFmtId="0" fontId="8" fillId="3" borderId="14" xfId="1" applyFont="1" applyFill="1" applyBorder="1" applyAlignment="1">
      <alignment horizontal="center" vertical="center"/>
    </xf>
    <xf numFmtId="0" fontId="8" fillId="3" borderId="15" xfId="1" applyFont="1" applyFill="1" applyBorder="1">
      <alignment vertical="center"/>
    </xf>
    <xf numFmtId="0" fontId="12" fillId="0" borderId="0" xfId="1" applyFont="1">
      <alignment vertical="center"/>
    </xf>
    <xf numFmtId="0" fontId="8" fillId="3" borderId="0" xfId="1" applyFont="1" applyFill="1" applyAlignment="1">
      <alignment horizontal="center" vertical="center"/>
    </xf>
    <xf numFmtId="0" fontId="8" fillId="3" borderId="9" xfId="1" applyFont="1" applyFill="1" applyBorder="1" applyAlignment="1">
      <alignment horizontal="center" vertical="center"/>
    </xf>
    <xf numFmtId="0" fontId="8" fillId="3" borderId="2" xfId="1" applyFont="1" applyFill="1" applyBorder="1">
      <alignment vertical="center"/>
    </xf>
    <xf numFmtId="0" fontId="8" fillId="3" borderId="2" xfId="1" applyFont="1" applyFill="1" applyBorder="1" applyAlignment="1">
      <alignment horizontal="center" vertical="center"/>
    </xf>
    <xf numFmtId="0" fontId="13" fillId="0" borderId="11" xfId="1" applyFont="1" applyBorder="1" applyAlignment="1">
      <alignment vertical="center" wrapText="1"/>
    </xf>
    <xf numFmtId="0" fontId="13" fillId="0" borderId="1" xfId="1" applyFont="1" applyBorder="1" applyAlignment="1">
      <alignment vertical="center" wrapText="1"/>
    </xf>
    <xf numFmtId="0" fontId="13" fillId="0" borderId="12" xfId="1" applyFont="1" applyBorder="1" applyAlignment="1">
      <alignment vertical="center" wrapText="1"/>
    </xf>
    <xf numFmtId="0" fontId="8" fillId="3" borderId="7" xfId="1" applyFont="1" applyFill="1" applyBorder="1" applyAlignment="1">
      <alignment vertical="center" wrapText="1"/>
    </xf>
    <xf numFmtId="0" fontId="8" fillId="3" borderId="11" xfId="1" applyFont="1" applyFill="1" applyBorder="1" applyAlignment="1">
      <alignment vertical="center" wrapText="1"/>
    </xf>
    <xf numFmtId="0" fontId="8" fillId="3" borderId="10" xfId="1" applyFont="1" applyFill="1" applyBorder="1">
      <alignment vertical="center"/>
    </xf>
    <xf numFmtId="0" fontId="8" fillId="0" borderId="13" xfId="1" applyFont="1" applyBorder="1" applyAlignment="1">
      <alignment horizontal="left" vertical="top" wrapText="1"/>
    </xf>
    <xf numFmtId="0" fontId="8" fillId="0" borderId="14" xfId="1" applyFont="1" applyBorder="1" applyAlignment="1">
      <alignment horizontal="left" vertical="top" wrapText="1"/>
    </xf>
    <xf numFmtId="0" fontId="8" fillId="0" borderId="15" xfId="1" applyFont="1" applyBorder="1" applyAlignment="1">
      <alignment horizontal="left" vertical="top" wrapText="1"/>
    </xf>
    <xf numFmtId="0" fontId="7" fillId="0" borderId="17" xfId="1" applyFont="1" applyBorder="1" applyAlignment="1">
      <alignment horizontal="left" vertical="center"/>
    </xf>
    <xf numFmtId="0" fontId="9" fillId="0" borderId="0" xfId="1" applyFont="1" applyAlignment="1">
      <alignment horizontal="left" vertical="center"/>
    </xf>
    <xf numFmtId="0" fontId="11" fillId="0" borderId="22" xfId="1" applyFont="1" applyBorder="1" applyAlignment="1">
      <alignment horizontal="left" vertical="center"/>
    </xf>
    <xf numFmtId="0" fontId="8" fillId="3" borderId="1" xfId="1" applyFont="1" applyFill="1" applyBorder="1" applyAlignment="1">
      <alignment horizontal="center" vertical="center"/>
    </xf>
    <xf numFmtId="0" fontId="8" fillId="3" borderId="0" xfId="1" applyFont="1" applyFill="1" applyAlignment="1">
      <alignment horizontal="left" vertical="center"/>
    </xf>
    <xf numFmtId="0" fontId="12" fillId="3" borderId="0" xfId="1" applyFont="1" applyFill="1" applyAlignment="1">
      <alignment horizontal="center" vertical="center"/>
    </xf>
    <xf numFmtId="0" fontId="8" fillId="3" borderId="7" xfId="1" applyFont="1" applyFill="1" applyBorder="1">
      <alignment vertical="center"/>
    </xf>
    <xf numFmtId="0" fontId="8" fillId="3" borderId="11" xfId="1" applyFont="1" applyFill="1" applyBorder="1">
      <alignment vertical="center"/>
    </xf>
    <xf numFmtId="0" fontId="8" fillId="3" borderId="1" xfId="1" applyFont="1" applyFill="1" applyBorder="1">
      <alignment vertical="center"/>
    </xf>
    <xf numFmtId="0" fontId="8" fillId="3" borderId="12" xfId="1" applyFont="1" applyFill="1" applyBorder="1">
      <alignment vertical="center"/>
    </xf>
    <xf numFmtId="0" fontId="12" fillId="3" borderId="11" xfId="1" applyFont="1" applyFill="1" applyBorder="1">
      <alignment vertical="center"/>
    </xf>
    <xf numFmtId="0" fontId="8" fillId="3" borderId="0" xfId="1" applyFont="1" applyFill="1" applyAlignment="1">
      <alignment vertical="center" wrapText="1"/>
    </xf>
    <xf numFmtId="0" fontId="14" fillId="3" borderId="0" xfId="1" applyFont="1" applyFill="1" applyAlignment="1">
      <alignment horizontal="center" vertical="center"/>
    </xf>
    <xf numFmtId="0" fontId="8" fillId="0" borderId="14" xfId="1" applyFont="1" applyBorder="1" applyAlignment="1">
      <alignment horizontal="center" vertical="center" wrapText="1"/>
    </xf>
    <xf numFmtId="0" fontId="8" fillId="0" borderId="0" xfId="1" applyFont="1" applyAlignment="1">
      <alignment horizontal="center" vertical="center" wrapText="1"/>
    </xf>
    <xf numFmtId="0" fontId="11" fillId="2" borderId="22" xfId="1" applyFont="1" applyFill="1" applyBorder="1">
      <alignment vertical="center"/>
    </xf>
    <xf numFmtId="0" fontId="8" fillId="5" borderId="20" xfId="1" applyFont="1" applyFill="1" applyBorder="1" applyAlignment="1">
      <alignment horizontal="center" vertical="center" wrapText="1"/>
    </xf>
    <xf numFmtId="0" fontId="13" fillId="0" borderId="0" xfId="1" applyFont="1" applyAlignment="1">
      <alignment horizontal="left" vertical="center"/>
    </xf>
    <xf numFmtId="0" fontId="15" fillId="0" borderId="13" xfId="1" applyFont="1" applyBorder="1">
      <alignment vertical="center"/>
    </xf>
    <xf numFmtId="0" fontId="15" fillId="0" borderId="14" xfId="1" applyFont="1" applyBorder="1">
      <alignment vertical="center"/>
    </xf>
    <xf numFmtId="0" fontId="15" fillId="0" borderId="15" xfId="1" applyFont="1" applyBorder="1">
      <alignment vertical="center"/>
    </xf>
    <xf numFmtId="0" fontId="8" fillId="3" borderId="7" xfId="1" applyFont="1" applyFill="1" applyBorder="1" applyAlignment="1">
      <alignment horizontal="left" vertical="center"/>
    </xf>
    <xf numFmtId="0" fontId="8" fillId="3" borderId="8" xfId="1" applyFont="1" applyFill="1" applyBorder="1">
      <alignment vertical="center"/>
    </xf>
    <xf numFmtId="0" fontId="8" fillId="0" borderId="0" xfId="1" applyFont="1" applyAlignment="1">
      <alignment horizontal="center"/>
    </xf>
    <xf numFmtId="0" fontId="8" fillId="0" borderId="0" xfId="1" applyFont="1" applyAlignment="1">
      <alignment horizontal="left"/>
    </xf>
    <xf numFmtId="0" fontId="8" fillId="0" borderId="15" xfId="1" applyFont="1" applyBorder="1" applyAlignment="1">
      <alignment horizontal="center" vertical="center"/>
    </xf>
    <xf numFmtId="0" fontId="8" fillId="4" borderId="1" xfId="1" applyFont="1" applyFill="1" applyBorder="1" applyAlignment="1"/>
    <xf numFmtId="0" fontId="8" fillId="0" borderId="23" xfId="1" applyFont="1" applyBorder="1" applyAlignment="1">
      <alignment horizontal="justify" vertical="center"/>
    </xf>
    <xf numFmtId="0" fontId="8" fillId="0" borderId="3" xfId="1" applyFont="1" applyBorder="1" applyAlignment="1">
      <alignment horizontal="center" vertical="center"/>
    </xf>
    <xf numFmtId="0" fontId="8" fillId="0" borderId="3" xfId="1" applyFont="1" applyBorder="1" applyAlignment="1">
      <alignment horizontal="justify" vertical="center"/>
    </xf>
    <xf numFmtId="0" fontId="8" fillId="0" borderId="24" xfId="1" applyFont="1" applyBorder="1">
      <alignment vertical="center"/>
    </xf>
    <xf numFmtId="0" fontId="8" fillId="4" borderId="2" xfId="1" applyFont="1" applyFill="1" applyBorder="1" applyAlignment="1">
      <alignment horizontal="center"/>
    </xf>
    <xf numFmtId="0" fontId="8" fillId="0" borderId="0" xfId="1" applyFont="1" applyAlignment="1">
      <alignment horizontal="center"/>
    </xf>
    <xf numFmtId="0" fontId="8" fillId="4" borderId="1" xfId="1" applyFont="1" applyFill="1" applyBorder="1" applyAlignment="1">
      <alignment horizontal="center"/>
    </xf>
    <xf numFmtId="0" fontId="8" fillId="3" borderId="7" xfId="1" applyFont="1" applyFill="1" applyBorder="1" applyAlignment="1">
      <alignment horizontal="left" vertical="center"/>
    </xf>
    <xf numFmtId="0" fontId="8" fillId="3" borderId="0" xfId="1" applyFont="1" applyFill="1" applyAlignment="1">
      <alignment horizontal="left" vertical="center"/>
    </xf>
    <xf numFmtId="0" fontId="8" fillId="3" borderId="0" xfId="1" applyFont="1" applyFill="1" applyAlignment="1">
      <alignment horizontal="left" vertical="center" wrapText="1"/>
    </xf>
    <xf numFmtId="0" fontId="8" fillId="3" borderId="8" xfId="1" applyFont="1" applyFill="1" applyBorder="1" applyAlignment="1">
      <alignment horizontal="left" vertical="center" wrapText="1"/>
    </xf>
    <xf numFmtId="0" fontId="8" fillId="3" borderId="1" xfId="1" applyFont="1" applyFill="1" applyBorder="1" applyAlignment="1">
      <alignment horizontal="left" vertical="center" wrapText="1"/>
    </xf>
    <xf numFmtId="0" fontId="8" fillId="3" borderId="12" xfId="1" applyFont="1" applyFill="1" applyBorder="1" applyAlignment="1">
      <alignment horizontal="left" vertical="center" wrapText="1"/>
    </xf>
    <xf numFmtId="0" fontId="13" fillId="0" borderId="13" xfId="1" applyFont="1" applyBorder="1" applyAlignment="1">
      <alignment horizontal="left" vertical="center"/>
    </xf>
    <xf numFmtId="0" fontId="13" fillId="0" borderId="14" xfId="1" applyFont="1" applyBorder="1" applyAlignment="1">
      <alignment horizontal="left" vertical="center"/>
    </xf>
    <xf numFmtId="0" fontId="13" fillId="0" borderId="15" xfId="1" applyFont="1" applyBorder="1" applyAlignment="1">
      <alignment horizontal="left" vertical="center"/>
    </xf>
    <xf numFmtId="0" fontId="8" fillId="4" borderId="11" xfId="1" applyFont="1" applyFill="1" applyBorder="1" applyAlignment="1">
      <alignment horizontal="left" vertical="center"/>
    </xf>
    <xf numFmtId="0" fontId="8" fillId="4" borderId="1" xfId="1" applyFont="1" applyFill="1" applyBorder="1" applyAlignment="1">
      <alignment horizontal="left" vertical="center"/>
    </xf>
    <xf numFmtId="0" fontId="8" fillId="4" borderId="12" xfId="1" applyFont="1" applyFill="1" applyBorder="1" applyAlignment="1">
      <alignment horizontal="left" vertical="center"/>
    </xf>
    <xf numFmtId="0" fontId="8" fillId="0" borderId="2" xfId="1" applyFont="1" applyBorder="1" applyAlignment="1">
      <alignment horizontal="center" vertical="center"/>
    </xf>
    <xf numFmtId="0" fontId="13" fillId="0" borderId="7" xfId="1" applyFont="1" applyBorder="1" applyAlignment="1">
      <alignment horizontal="left" vertical="top" wrapText="1"/>
    </xf>
    <xf numFmtId="0" fontId="13" fillId="0" borderId="0" xfId="1" applyFont="1" applyAlignment="1">
      <alignment horizontal="left" vertical="top" wrapText="1"/>
    </xf>
    <xf numFmtId="0" fontId="13" fillId="0" borderId="8" xfId="1" applyFont="1" applyBorder="1" applyAlignment="1">
      <alignment horizontal="left" vertical="top" wrapText="1"/>
    </xf>
    <xf numFmtId="0" fontId="12" fillId="3" borderId="7" xfId="1" applyFont="1" applyFill="1" applyBorder="1" applyAlignment="1">
      <alignment horizontal="left" vertical="top" wrapText="1"/>
    </xf>
    <xf numFmtId="0" fontId="12" fillId="3" borderId="0" xfId="1" applyFont="1" applyFill="1" applyAlignment="1">
      <alignment horizontal="left" vertical="top" wrapText="1"/>
    </xf>
    <xf numFmtId="0" fontId="12" fillId="3" borderId="8" xfId="1" applyFont="1" applyFill="1" applyBorder="1" applyAlignment="1">
      <alignment horizontal="left" vertical="top" wrapText="1"/>
    </xf>
    <xf numFmtId="0" fontId="8" fillId="4" borderId="7" xfId="1" applyFont="1" applyFill="1" applyBorder="1" applyAlignment="1">
      <alignment horizontal="left" vertical="top" wrapText="1"/>
    </xf>
    <xf numFmtId="0" fontId="8" fillId="4" borderId="0" xfId="1" applyFont="1" applyFill="1" applyAlignment="1">
      <alignment horizontal="left" vertical="top" wrapText="1"/>
    </xf>
    <xf numFmtId="0" fontId="8" fillId="4" borderId="8" xfId="1" applyFont="1" applyFill="1" applyBorder="1" applyAlignment="1">
      <alignment horizontal="left" vertical="top" wrapText="1"/>
    </xf>
    <xf numFmtId="0" fontId="8" fillId="4" borderId="11" xfId="1" applyFont="1" applyFill="1" applyBorder="1" applyAlignment="1">
      <alignment horizontal="left" vertical="top" wrapText="1"/>
    </xf>
    <xf numFmtId="0" fontId="8" fillId="4" borderId="1" xfId="1" applyFont="1" applyFill="1" applyBorder="1" applyAlignment="1">
      <alignment horizontal="left" vertical="top" wrapText="1"/>
    </xf>
    <xf numFmtId="0" fontId="8" fillId="4" borderId="12" xfId="1" applyFont="1" applyFill="1" applyBorder="1" applyAlignment="1">
      <alignment horizontal="left" vertical="top" wrapText="1"/>
    </xf>
    <xf numFmtId="0" fontId="8" fillId="0" borderId="7" xfId="1" applyFont="1" applyBorder="1" applyAlignment="1">
      <alignment horizontal="left" vertical="center"/>
    </xf>
    <xf numFmtId="0" fontId="8" fillId="0" borderId="0" xfId="1" applyFont="1" applyAlignment="1">
      <alignment horizontal="left" vertical="center"/>
    </xf>
    <xf numFmtId="0" fontId="8" fillId="3" borderId="9" xfId="1" quotePrefix="1" applyFont="1" applyFill="1" applyBorder="1" applyAlignment="1">
      <alignment horizontal="left" vertical="center" wrapText="1"/>
    </xf>
    <xf numFmtId="0" fontId="8" fillId="3" borderId="2" xfId="1" quotePrefix="1" applyFont="1" applyFill="1" applyBorder="1" applyAlignment="1">
      <alignment horizontal="left" vertical="center" wrapText="1"/>
    </xf>
    <xf numFmtId="0" fontId="8" fillId="3" borderId="2" xfId="1" applyFont="1" applyFill="1" applyBorder="1" applyAlignment="1">
      <alignment horizontal="left" vertical="center" wrapText="1"/>
    </xf>
    <xf numFmtId="0" fontId="8" fillId="3" borderId="10" xfId="1" applyFont="1" applyFill="1" applyBorder="1" applyAlignment="1">
      <alignment horizontal="left" vertical="center" wrapText="1"/>
    </xf>
    <xf numFmtId="0" fontId="8" fillId="5" borderId="25" xfId="1" applyFont="1" applyFill="1" applyBorder="1" applyAlignment="1">
      <alignment horizontal="center" vertical="center" wrapText="1"/>
    </xf>
    <xf numFmtId="0" fontId="8" fillId="5" borderId="2" xfId="1" applyFont="1" applyFill="1" applyBorder="1" applyAlignment="1">
      <alignment horizontal="center" vertical="center" wrapText="1"/>
    </xf>
    <xf numFmtId="0" fontId="8" fillId="5" borderId="21" xfId="1" applyFont="1" applyFill="1" applyBorder="1" applyAlignment="1">
      <alignment horizontal="center" vertical="center" wrapText="1"/>
    </xf>
    <xf numFmtId="0" fontId="7" fillId="0" borderId="11" xfId="1" applyFont="1" applyBorder="1" applyAlignment="1">
      <alignment horizontal="left" vertical="center"/>
    </xf>
    <xf numFmtId="0" fontId="7" fillId="0" borderId="1" xfId="1" applyFont="1" applyBorder="1" applyAlignment="1">
      <alignment horizontal="left" vertical="center"/>
    </xf>
    <xf numFmtId="0" fontId="7" fillId="0" borderId="12" xfId="1" applyFont="1" applyBorder="1" applyAlignment="1">
      <alignment horizontal="left" vertical="center"/>
    </xf>
    <xf numFmtId="0" fontId="8" fillId="0" borderId="13" xfId="1" applyFont="1" applyBorder="1" applyAlignment="1">
      <alignment horizontal="left" vertical="top" wrapText="1"/>
    </xf>
    <xf numFmtId="0" fontId="8" fillId="0" borderId="14" xfId="1" applyFont="1" applyBorder="1" applyAlignment="1">
      <alignment horizontal="left" vertical="top" wrapText="1"/>
    </xf>
    <xf numFmtId="0" fontId="8" fillId="0" borderId="15" xfId="1" applyFont="1" applyBorder="1" applyAlignment="1">
      <alignment horizontal="left" vertical="top" wrapText="1"/>
    </xf>
    <xf numFmtId="0" fontId="8" fillId="3" borderId="13" xfId="1" applyFont="1" applyFill="1" applyBorder="1" applyAlignment="1">
      <alignment horizontal="left" vertical="center" wrapText="1"/>
    </xf>
    <xf numFmtId="0" fontId="8" fillId="3" borderId="14" xfId="1" applyFont="1" applyFill="1" applyBorder="1" applyAlignment="1">
      <alignment horizontal="left" vertical="center" wrapText="1"/>
    </xf>
    <xf numFmtId="0" fontId="8" fillId="3" borderId="15" xfId="1" applyFont="1" applyFill="1" applyBorder="1" applyAlignment="1">
      <alignment horizontal="left" vertical="center" wrapText="1"/>
    </xf>
    <xf numFmtId="0" fontId="8" fillId="3" borderId="9" xfId="1" applyFont="1" applyFill="1" applyBorder="1" applyAlignment="1">
      <alignment horizontal="left" vertical="center" wrapText="1"/>
    </xf>
    <xf numFmtId="0" fontId="14" fillId="3" borderId="9" xfId="1" applyFont="1" applyFill="1" applyBorder="1" applyAlignment="1">
      <alignment horizontal="left" vertical="center" wrapText="1"/>
    </xf>
    <xf numFmtId="0" fontId="14" fillId="3" borderId="2" xfId="1" applyFont="1" applyFill="1" applyBorder="1" applyAlignment="1">
      <alignment horizontal="left" vertical="center" wrapText="1"/>
    </xf>
    <xf numFmtId="0" fontId="14" fillId="3" borderId="10" xfId="1" applyFont="1" applyFill="1" applyBorder="1" applyAlignment="1">
      <alignment horizontal="left" vertical="center" wrapText="1"/>
    </xf>
    <xf numFmtId="0" fontId="8" fillId="3" borderId="13" xfId="1" applyFont="1" applyFill="1" applyBorder="1" applyAlignment="1">
      <alignment horizontal="left" vertical="center"/>
    </xf>
    <xf numFmtId="0" fontId="8" fillId="3" borderId="14" xfId="1" applyFont="1" applyFill="1" applyBorder="1" applyAlignment="1">
      <alignment horizontal="left" vertical="center"/>
    </xf>
    <xf numFmtId="0" fontId="8" fillId="3" borderId="15" xfId="1" applyFont="1" applyFill="1" applyBorder="1" applyAlignment="1">
      <alignment horizontal="left" vertical="center"/>
    </xf>
    <xf numFmtId="0" fontId="8" fillId="3" borderId="8" xfId="1" applyFont="1" applyFill="1" applyBorder="1" applyAlignment="1">
      <alignment horizontal="left" vertical="center"/>
    </xf>
    <xf numFmtId="0" fontId="14" fillId="3" borderId="0" xfId="1" applyFont="1" applyFill="1" applyAlignment="1">
      <alignment horizontal="left" vertical="center"/>
    </xf>
    <xf numFmtId="0" fontId="14" fillId="3" borderId="8" xfId="1" applyFont="1" applyFill="1" applyBorder="1" applyAlignment="1">
      <alignment horizontal="left" vertical="center"/>
    </xf>
    <xf numFmtId="0" fontId="12" fillId="3" borderId="0" xfId="1" applyFont="1" applyFill="1" applyAlignment="1">
      <alignment horizontal="left" vertical="center"/>
    </xf>
    <xf numFmtId="0" fontId="12" fillId="3" borderId="8" xfId="1" applyFont="1" applyFill="1" applyBorder="1" applyAlignment="1">
      <alignment horizontal="left" vertical="center"/>
    </xf>
    <xf numFmtId="0" fontId="7" fillId="0" borderId="9" xfId="1" applyFont="1" applyBorder="1" applyAlignment="1">
      <alignment horizontal="left" vertical="center" wrapText="1"/>
    </xf>
    <xf numFmtId="0" fontId="7" fillId="0" borderId="2" xfId="1" applyFont="1" applyBorder="1" applyAlignment="1">
      <alignment horizontal="left" vertical="center" wrapText="1"/>
    </xf>
    <xf numFmtId="0" fontId="7" fillId="0" borderId="10" xfId="1" applyFont="1" applyBorder="1" applyAlignment="1">
      <alignment horizontal="left" vertical="center" wrapText="1"/>
    </xf>
    <xf numFmtId="0" fontId="7" fillId="3" borderId="9" xfId="1" applyFont="1" applyFill="1" applyBorder="1" applyAlignment="1">
      <alignment horizontal="left" vertical="center" wrapText="1"/>
    </xf>
    <xf numFmtId="0" fontId="7" fillId="3" borderId="2" xfId="1" applyFont="1" applyFill="1" applyBorder="1" applyAlignment="1">
      <alignment horizontal="left" vertical="center" wrapText="1"/>
    </xf>
    <xf numFmtId="0" fontId="7" fillId="3" borderId="10" xfId="1" applyFont="1" applyFill="1" applyBorder="1" applyAlignment="1">
      <alignment horizontal="left" vertical="center" wrapText="1"/>
    </xf>
    <xf numFmtId="0" fontId="8" fillId="0" borderId="13" xfId="1" applyFont="1" applyBorder="1" applyAlignment="1">
      <alignment horizontal="left" vertical="center"/>
    </xf>
    <xf numFmtId="0" fontId="8" fillId="0" borderId="14" xfId="1" applyFont="1" applyBorder="1" applyAlignment="1">
      <alignment horizontal="left" vertical="center"/>
    </xf>
    <xf numFmtId="0" fontId="8" fillId="0" borderId="15" xfId="1" applyFont="1" applyBorder="1" applyAlignment="1">
      <alignment horizontal="left" vertical="center"/>
    </xf>
    <xf numFmtId="0" fontId="8" fillId="0" borderId="13" xfId="1" applyFont="1" applyBorder="1" applyAlignment="1">
      <alignment horizontal="left" vertical="center" wrapText="1"/>
    </xf>
    <xf numFmtId="0" fontId="8" fillId="0" borderId="14" xfId="1" applyFont="1" applyBorder="1" applyAlignment="1">
      <alignment horizontal="left" vertical="center" wrapText="1"/>
    </xf>
    <xf numFmtId="0" fontId="8" fillId="0" borderId="15" xfId="1" applyFont="1" applyBorder="1" applyAlignment="1">
      <alignment horizontal="left" vertical="center" wrapText="1"/>
    </xf>
    <xf numFmtId="0" fontId="8" fillId="0" borderId="9" xfId="1" applyFont="1" applyBorder="1" applyAlignment="1">
      <alignment horizontal="left" vertical="center" wrapText="1"/>
    </xf>
    <xf numFmtId="0" fontId="8" fillId="0" borderId="2" xfId="1" applyFont="1" applyBorder="1" applyAlignment="1">
      <alignment horizontal="left" vertical="center" wrapText="1"/>
    </xf>
    <xf numFmtId="0" fontId="8" fillId="0" borderId="10" xfId="1" applyFont="1" applyBorder="1" applyAlignment="1">
      <alignment horizontal="left" vertical="center" wrapText="1"/>
    </xf>
    <xf numFmtId="0" fontId="7" fillId="0" borderId="9" xfId="1" applyFont="1" applyBorder="1" applyAlignment="1">
      <alignment horizontal="left" vertical="center"/>
    </xf>
    <xf numFmtId="0" fontId="7" fillId="0" borderId="2" xfId="1" applyFont="1" applyBorder="1" applyAlignment="1">
      <alignment horizontal="left" vertical="center"/>
    </xf>
    <xf numFmtId="0" fontId="7" fillId="0" borderId="10" xfId="1" applyFont="1" applyBorder="1" applyAlignment="1">
      <alignment horizontal="left" vertical="center"/>
    </xf>
    <xf numFmtId="0" fontId="8" fillId="0" borderId="8" xfId="1" applyFont="1" applyBorder="1" applyAlignment="1">
      <alignment horizontal="left" vertical="center"/>
    </xf>
    <xf numFmtId="0" fontId="8" fillId="0" borderId="0" xfId="1" applyFont="1" applyAlignment="1">
      <alignment horizontal="left" vertical="center" wrapText="1"/>
    </xf>
    <xf numFmtId="0" fontId="8" fillId="0" borderId="1" xfId="1" applyFont="1" applyBorder="1" applyAlignment="1">
      <alignment horizontal="left" vertical="center" wrapText="1"/>
    </xf>
    <xf numFmtId="0" fontId="8" fillId="0" borderId="12" xfId="1" applyFont="1" applyBorder="1" applyAlignment="1">
      <alignment horizontal="left" vertical="center" wrapText="1"/>
    </xf>
    <xf numFmtId="0" fontId="8" fillId="0" borderId="9" xfId="1" applyFont="1" applyBorder="1" applyAlignment="1">
      <alignment horizontal="left" vertical="center"/>
    </xf>
    <xf numFmtId="0" fontId="8" fillId="0" borderId="2" xfId="1" applyFont="1" applyBorder="1" applyAlignment="1">
      <alignment horizontal="left" vertical="center"/>
    </xf>
    <xf numFmtId="0" fontId="8" fillId="0" borderId="10" xfId="1" applyFont="1" applyBorder="1" applyAlignment="1">
      <alignment horizontal="left" vertical="center"/>
    </xf>
    <xf numFmtId="0" fontId="7" fillId="0" borderId="13" xfId="1" applyFont="1" applyBorder="1" applyAlignment="1">
      <alignment horizontal="left" vertical="center"/>
    </xf>
    <xf numFmtId="0" fontId="7" fillId="0" borderId="14" xfId="1" applyFont="1" applyBorder="1" applyAlignment="1">
      <alignment horizontal="left" vertical="center"/>
    </xf>
    <xf numFmtId="0" fontId="7" fillId="0" borderId="15" xfId="1" applyFont="1" applyBorder="1" applyAlignment="1">
      <alignment horizontal="left" vertical="center"/>
    </xf>
    <xf numFmtId="0" fontId="8" fillId="0" borderId="7" xfId="1" applyFont="1" applyBorder="1" applyAlignment="1">
      <alignment horizontal="left" vertical="center" wrapText="1"/>
    </xf>
    <xf numFmtId="0" fontId="8" fillId="0" borderId="8" xfId="1" applyFont="1" applyBorder="1" applyAlignment="1">
      <alignment horizontal="left" vertical="center" wrapText="1"/>
    </xf>
    <xf numFmtId="0" fontId="8" fillId="0" borderId="19" xfId="1" applyFont="1" applyBorder="1" applyAlignment="1">
      <alignment horizontal="center" vertical="center" wrapText="1"/>
    </xf>
    <xf numFmtId="0" fontId="8" fillId="0" borderId="21" xfId="1" applyFont="1" applyBorder="1" applyAlignment="1">
      <alignment horizontal="center" vertical="center" wrapText="1"/>
    </xf>
    <xf numFmtId="0" fontId="8" fillId="0" borderId="20" xfId="1" applyFont="1" applyBorder="1" applyAlignment="1">
      <alignment horizontal="center" vertical="center" wrapText="1"/>
    </xf>
    <xf numFmtId="0" fontId="8" fillId="0" borderId="25" xfId="1" applyFont="1" applyBorder="1" applyAlignment="1">
      <alignment horizontal="center" vertical="center" wrapText="1"/>
    </xf>
    <xf numFmtId="0" fontId="8" fillId="0" borderId="9" xfId="1" applyFont="1" applyBorder="1" applyAlignment="1">
      <alignment horizontal="center" vertical="center"/>
    </xf>
    <xf numFmtId="0" fontId="8" fillId="0" borderId="10" xfId="1" applyFont="1" applyBorder="1" applyAlignment="1">
      <alignment horizontal="center" vertical="center"/>
    </xf>
    <xf numFmtId="0" fontId="8" fillId="0" borderId="11" xfId="1" applyFont="1" applyBorder="1" applyAlignment="1">
      <alignment horizontal="center" vertical="center" wrapText="1"/>
    </xf>
    <xf numFmtId="0" fontId="8" fillId="0" borderId="1" xfId="1" applyFont="1" applyBorder="1" applyAlignment="1">
      <alignment horizontal="center" vertical="center" wrapText="1"/>
    </xf>
    <xf numFmtId="0" fontId="8" fillId="0" borderId="12" xfId="1" applyFont="1" applyBorder="1" applyAlignment="1">
      <alignment horizontal="center" vertical="center" wrapText="1"/>
    </xf>
    <xf numFmtId="0" fontId="8" fillId="4" borderId="11" xfId="1" applyFont="1" applyFill="1" applyBorder="1" applyAlignment="1">
      <alignment horizontal="center" vertical="top"/>
    </xf>
    <xf numFmtId="0" fontId="8" fillId="4" borderId="1" xfId="1" applyFont="1" applyFill="1" applyBorder="1" applyAlignment="1">
      <alignment horizontal="center" vertical="top"/>
    </xf>
    <xf numFmtId="0" fontId="8" fillId="4" borderId="12" xfId="1" applyFont="1" applyFill="1" applyBorder="1" applyAlignment="1">
      <alignment horizontal="center" vertical="top"/>
    </xf>
    <xf numFmtId="0" fontId="8" fillId="4" borderId="23" xfId="1" applyFont="1" applyFill="1" applyBorder="1" applyAlignment="1">
      <alignment horizontal="center" vertical="top"/>
    </xf>
    <xf numFmtId="0" fontId="8" fillId="4" borderId="3" xfId="1" applyFont="1" applyFill="1" applyBorder="1" applyAlignment="1">
      <alignment horizontal="center" vertical="top"/>
    </xf>
    <xf numFmtId="0" fontId="8" fillId="4" borderId="24" xfId="1" applyFont="1" applyFill="1" applyBorder="1" applyAlignment="1">
      <alignment horizontal="center" vertical="top"/>
    </xf>
    <xf numFmtId="0" fontId="8" fillId="0" borderId="7" xfId="1" applyFont="1" applyBorder="1" applyAlignment="1">
      <alignment horizontal="center" vertical="center"/>
    </xf>
    <xf numFmtId="0" fontId="8" fillId="0" borderId="0" xfId="1" applyFont="1" applyAlignment="1">
      <alignment horizontal="center" vertical="center"/>
    </xf>
    <xf numFmtId="0" fontId="8" fillId="0" borderId="8" xfId="1" applyFont="1" applyBorder="1" applyAlignment="1">
      <alignment horizontal="center" vertical="center"/>
    </xf>
    <xf numFmtId="0" fontId="8" fillId="4" borderId="7" xfId="1" applyFont="1" applyFill="1" applyBorder="1" applyAlignment="1">
      <alignment horizontal="center" vertical="center"/>
    </xf>
    <xf numFmtId="0" fontId="8" fillId="4" borderId="0" xfId="1" applyFont="1" applyFill="1" applyAlignment="1">
      <alignment horizontal="center" vertical="center"/>
    </xf>
    <xf numFmtId="0" fontId="8" fillId="4" borderId="8" xfId="1" applyFont="1" applyFill="1" applyBorder="1" applyAlignment="1">
      <alignment horizontal="center" vertical="center"/>
    </xf>
    <xf numFmtId="0" fontId="12" fillId="0" borderId="7" xfId="1" applyFont="1" applyBorder="1" applyAlignment="1">
      <alignment horizontal="center" vertical="center"/>
    </xf>
    <xf numFmtId="0" fontId="12" fillId="0" borderId="0" xfId="1" applyFont="1" applyAlignment="1">
      <alignment horizontal="center" vertical="center"/>
    </xf>
    <xf numFmtId="0" fontId="12" fillId="0" borderId="8" xfId="1" applyFont="1" applyBorder="1" applyAlignment="1">
      <alignment horizontal="center" vertical="center"/>
    </xf>
    <xf numFmtId="0" fontId="13" fillId="0" borderId="13" xfId="1" applyFont="1" applyBorder="1" applyAlignment="1">
      <alignment horizontal="left" vertical="center" wrapText="1"/>
    </xf>
    <xf numFmtId="0" fontId="13" fillId="0" borderId="14" xfId="1" applyFont="1" applyBorder="1" applyAlignment="1">
      <alignment horizontal="left" vertical="center" wrapText="1"/>
    </xf>
    <xf numFmtId="0" fontId="13" fillId="0" borderId="15" xfId="1" applyFont="1" applyBorder="1" applyAlignment="1">
      <alignment horizontal="left" vertical="center" wrapText="1"/>
    </xf>
    <xf numFmtId="0" fontId="8" fillId="0" borderId="11" xfId="1" applyFont="1" applyBorder="1" applyAlignment="1">
      <alignment horizontal="left" vertical="center" wrapText="1"/>
    </xf>
    <xf numFmtId="0" fontId="7" fillId="3" borderId="9" xfId="1" applyFont="1" applyFill="1" applyBorder="1" applyAlignment="1">
      <alignment horizontal="center" vertical="center"/>
    </xf>
    <xf numFmtId="0" fontId="7" fillId="3" borderId="2" xfId="1" applyFont="1" applyFill="1" applyBorder="1" applyAlignment="1">
      <alignment horizontal="center" vertical="center"/>
    </xf>
    <xf numFmtId="0" fontId="7" fillId="3" borderId="10" xfId="1" applyFont="1" applyFill="1" applyBorder="1" applyAlignment="1">
      <alignment horizontal="center" vertical="center"/>
    </xf>
    <xf numFmtId="0" fontId="13" fillId="0" borderId="11" xfId="1" applyFont="1" applyBorder="1" applyAlignment="1">
      <alignment horizontal="left" vertical="center" wrapText="1"/>
    </xf>
    <xf numFmtId="0" fontId="13" fillId="0" borderId="1" xfId="1" applyFont="1" applyBorder="1" applyAlignment="1">
      <alignment horizontal="left" vertical="center" wrapText="1"/>
    </xf>
    <xf numFmtId="0" fontId="13" fillId="0" borderId="12" xfId="1" applyFont="1" applyBorder="1" applyAlignment="1">
      <alignment horizontal="left" vertical="center" wrapText="1"/>
    </xf>
    <xf numFmtId="0" fontId="7" fillId="0" borderId="13" xfId="1" applyFont="1" applyBorder="1" applyAlignment="1">
      <alignment horizontal="left" vertical="center" wrapText="1"/>
    </xf>
    <xf numFmtId="0" fontId="7" fillId="0" borderId="14" xfId="1" applyFont="1" applyBorder="1" applyAlignment="1">
      <alignment horizontal="left" vertical="center" wrapText="1"/>
    </xf>
    <xf numFmtId="0" fontId="7" fillId="0" borderId="15" xfId="1" applyFont="1" applyBorder="1" applyAlignment="1">
      <alignment horizontal="left" vertical="center" wrapText="1"/>
    </xf>
    <xf numFmtId="0" fontId="8" fillId="4" borderId="11" xfId="1" applyFont="1" applyFill="1" applyBorder="1" applyAlignment="1">
      <alignment horizontal="center" vertical="center" wrapText="1"/>
    </xf>
    <xf numFmtId="0" fontId="8" fillId="4" borderId="1" xfId="1" applyFont="1" applyFill="1" applyBorder="1" applyAlignment="1">
      <alignment horizontal="center" vertical="center" wrapText="1"/>
    </xf>
    <xf numFmtId="0" fontId="8" fillId="4" borderId="12" xfId="1" applyFont="1" applyFill="1" applyBorder="1" applyAlignment="1">
      <alignment horizontal="center" vertical="center" wrapText="1"/>
    </xf>
    <xf numFmtId="0" fontId="4" fillId="0" borderId="0" xfId="1" applyFont="1" applyAlignment="1">
      <alignment horizontal="center" vertical="center"/>
    </xf>
    <xf numFmtId="0" fontId="10" fillId="2" borderId="0" xfId="1" applyFont="1" applyFill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8" fillId="0" borderId="4" xfId="1" applyFont="1" applyBorder="1" applyAlignment="1">
      <alignment horizontal="center" vertical="center"/>
    </xf>
    <xf numFmtId="0" fontId="8" fillId="0" borderId="5" xfId="1" applyFont="1" applyBorder="1" applyAlignment="1">
      <alignment horizontal="center" vertical="center"/>
    </xf>
    <xf numFmtId="0" fontId="8" fillId="0" borderId="6" xfId="1" applyFont="1" applyBorder="1" applyAlignment="1">
      <alignment horizontal="center" vertical="center"/>
    </xf>
    <xf numFmtId="0" fontId="7" fillId="0" borderId="8" xfId="1" applyFont="1" applyBorder="1" applyAlignment="1">
      <alignment horizontal="center" vertical="center"/>
    </xf>
  </cellXfs>
  <cellStyles count="2">
    <cellStyle name="표준" xfId="0" builtinId="0"/>
    <cellStyle name="표준 2" xfId="1" xr:uid="{EA32549D-7ADC-42A0-80D4-948805DFF4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124</xdr:row>
      <xdr:rowOff>244751</xdr:rowOff>
    </xdr:from>
    <xdr:ext cx="733425" cy="247650"/>
    <xdr:sp macro="" textlink="">
      <xdr:nvSpPr>
        <xdr:cNvPr id="2" name="Check Box 92" hidden="1">
          <a:extLst>
            <a:ext uri="{63B3BB69-23CF-44E3-9099-C40C66FF867C}">
              <a14:compatExt xmlns:a14="http://schemas.microsoft.com/office/drawing/2010/main" spid="_x0000_s21596"/>
            </a:ext>
            <a:ext uri="{FF2B5EF4-FFF2-40B4-BE49-F238E27FC236}">
              <a16:creationId xmlns:a16="http://schemas.microsoft.com/office/drawing/2014/main" id="{980E4C0A-EF6F-4044-9F92-2983428944AC}"/>
            </a:ext>
          </a:extLst>
        </xdr:cNvPr>
        <xdr:cNvSpPr/>
      </xdr:nvSpPr>
      <xdr:spPr bwMode="auto">
        <a:xfrm>
          <a:off x="0" y="43821626"/>
          <a:ext cx="733425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11595</xdr:colOff>
      <xdr:row>125</xdr:row>
      <xdr:rowOff>248065</xdr:rowOff>
    </xdr:from>
    <xdr:ext cx="733425" cy="247650"/>
    <xdr:sp macro="" textlink="">
      <xdr:nvSpPr>
        <xdr:cNvPr id="3" name="Check Box 97" hidden="1">
          <a:extLst>
            <a:ext uri="{63B3BB69-23CF-44E3-9099-C40C66FF867C}">
              <a14:compatExt xmlns:a14="http://schemas.microsoft.com/office/drawing/2010/main" spid="_x0000_s21601"/>
            </a:ext>
            <a:ext uri="{FF2B5EF4-FFF2-40B4-BE49-F238E27FC236}">
              <a16:creationId xmlns:a16="http://schemas.microsoft.com/office/drawing/2014/main" id="{DCE3973C-882F-4696-B85F-12D584BF06F0}"/>
            </a:ext>
          </a:extLst>
        </xdr:cNvPr>
        <xdr:cNvSpPr/>
      </xdr:nvSpPr>
      <xdr:spPr bwMode="auto">
        <a:xfrm>
          <a:off x="11595" y="44091640"/>
          <a:ext cx="733425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112644</xdr:colOff>
      <xdr:row>117</xdr:row>
      <xdr:rowOff>18636</xdr:rowOff>
    </xdr:from>
    <xdr:ext cx="676275" cy="236468"/>
    <xdr:sp macro="" textlink="">
      <xdr:nvSpPr>
        <xdr:cNvPr id="4" name="Check Box 145" hidden="1">
          <a:extLst>
            <a:ext uri="{63B3BB69-23CF-44E3-9099-C40C66FF867C}">
              <a14:compatExt xmlns:a14="http://schemas.microsoft.com/office/drawing/2010/main" spid="_x0000_s21649"/>
            </a:ext>
            <a:ext uri="{FF2B5EF4-FFF2-40B4-BE49-F238E27FC236}">
              <a16:creationId xmlns:a16="http://schemas.microsoft.com/office/drawing/2014/main" id="{42C68CB1-323B-4701-81E8-46B01C30A20A}"/>
            </a:ext>
          </a:extLst>
        </xdr:cNvPr>
        <xdr:cNvSpPr/>
      </xdr:nvSpPr>
      <xdr:spPr bwMode="auto">
        <a:xfrm>
          <a:off x="4903719" y="41319036"/>
          <a:ext cx="676275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예</a:t>
          </a:r>
        </a:p>
      </xdr:txBody>
    </xdr:sp>
    <xdr:clientData/>
  </xdr:oneCellAnchor>
  <xdr:oneCellAnchor>
    <xdr:from>
      <xdr:col>7</xdr:col>
      <xdr:colOff>1420053</xdr:colOff>
      <xdr:row>117</xdr:row>
      <xdr:rowOff>42241</xdr:rowOff>
    </xdr:from>
    <xdr:ext cx="666750" cy="236468"/>
    <xdr:sp macro="" textlink="">
      <xdr:nvSpPr>
        <xdr:cNvPr id="5" name="Check Box 146" hidden="1">
          <a:extLst>
            <a:ext uri="{63B3BB69-23CF-44E3-9099-C40C66FF867C}">
              <a14:compatExt xmlns:a14="http://schemas.microsoft.com/office/drawing/2010/main" spid="_x0000_s21650"/>
            </a:ext>
            <a:ext uri="{FF2B5EF4-FFF2-40B4-BE49-F238E27FC236}">
              <a16:creationId xmlns:a16="http://schemas.microsoft.com/office/drawing/2014/main" id="{81CFFF25-F22E-4227-918D-7B46B387659D}"/>
            </a:ext>
          </a:extLst>
        </xdr:cNvPr>
        <xdr:cNvSpPr/>
      </xdr:nvSpPr>
      <xdr:spPr bwMode="auto">
        <a:xfrm>
          <a:off x="5077653" y="4134264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112644</xdr:colOff>
      <xdr:row>130</xdr:row>
      <xdr:rowOff>18636</xdr:rowOff>
    </xdr:from>
    <xdr:ext cx="676275" cy="236468"/>
    <xdr:sp macro="" textlink="">
      <xdr:nvSpPr>
        <xdr:cNvPr id="6" name="Check Box 177" hidden="1">
          <a:extLst>
            <a:ext uri="{63B3BB69-23CF-44E3-9099-C40C66FF867C}">
              <a14:compatExt xmlns:a14="http://schemas.microsoft.com/office/drawing/2010/main" spid="_x0000_s21681"/>
            </a:ext>
            <a:ext uri="{FF2B5EF4-FFF2-40B4-BE49-F238E27FC236}">
              <a16:creationId xmlns:a16="http://schemas.microsoft.com/office/drawing/2014/main" id="{A25E9C4F-9830-4861-93C0-E58CB14FEE89}"/>
            </a:ext>
          </a:extLst>
        </xdr:cNvPr>
        <xdr:cNvSpPr/>
      </xdr:nvSpPr>
      <xdr:spPr bwMode="auto">
        <a:xfrm>
          <a:off x="4903719" y="45348111"/>
          <a:ext cx="676275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예</a:t>
          </a:r>
        </a:p>
      </xdr:txBody>
    </xdr:sp>
    <xdr:clientData/>
  </xdr:oneCellAnchor>
  <xdr:oneCellAnchor>
    <xdr:from>
      <xdr:col>7</xdr:col>
      <xdr:colOff>1420053</xdr:colOff>
      <xdr:row>130</xdr:row>
      <xdr:rowOff>42241</xdr:rowOff>
    </xdr:from>
    <xdr:ext cx="666750" cy="236468"/>
    <xdr:sp macro="" textlink="">
      <xdr:nvSpPr>
        <xdr:cNvPr id="7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8BD4E771-F1C7-43B4-B33B-FF3062E66A77}"/>
            </a:ext>
          </a:extLst>
        </xdr:cNvPr>
        <xdr:cNvSpPr/>
      </xdr:nvSpPr>
      <xdr:spPr bwMode="auto">
        <a:xfrm>
          <a:off x="5077653" y="4537171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134</xdr:row>
      <xdr:rowOff>42241</xdr:rowOff>
    </xdr:from>
    <xdr:ext cx="666750" cy="236468"/>
    <xdr:sp macro="" textlink="">
      <xdr:nvSpPr>
        <xdr:cNvPr id="8" name="Check Box 184" hidden="1">
          <a:extLst>
            <a:ext uri="{63B3BB69-23CF-44E3-9099-C40C66FF867C}">
              <a14:compatExt xmlns:a14="http://schemas.microsoft.com/office/drawing/2010/main" spid="_x0000_s21688"/>
            </a:ext>
            <a:ext uri="{FF2B5EF4-FFF2-40B4-BE49-F238E27FC236}">
              <a16:creationId xmlns:a16="http://schemas.microsoft.com/office/drawing/2014/main" id="{B705E0F6-7541-4BCB-8A76-B78292AF1441}"/>
            </a:ext>
          </a:extLst>
        </xdr:cNvPr>
        <xdr:cNvSpPr/>
      </xdr:nvSpPr>
      <xdr:spPr bwMode="auto">
        <a:xfrm>
          <a:off x="5077653" y="4770534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112644</xdr:colOff>
      <xdr:row>135</xdr:row>
      <xdr:rowOff>18636</xdr:rowOff>
    </xdr:from>
    <xdr:ext cx="676275" cy="236468"/>
    <xdr:sp macro="" textlink="">
      <xdr:nvSpPr>
        <xdr:cNvPr id="9" name="Check Box 185" hidden="1">
          <a:extLst>
            <a:ext uri="{63B3BB69-23CF-44E3-9099-C40C66FF867C}">
              <a14:compatExt xmlns:a14="http://schemas.microsoft.com/office/drawing/2010/main" spid="_x0000_s21689"/>
            </a:ext>
            <a:ext uri="{FF2B5EF4-FFF2-40B4-BE49-F238E27FC236}">
              <a16:creationId xmlns:a16="http://schemas.microsoft.com/office/drawing/2014/main" id="{1A7D0201-525C-4D19-A871-8E080E81FF1B}"/>
            </a:ext>
          </a:extLst>
        </xdr:cNvPr>
        <xdr:cNvSpPr/>
      </xdr:nvSpPr>
      <xdr:spPr bwMode="auto">
        <a:xfrm>
          <a:off x="4903719" y="48186561"/>
          <a:ext cx="676275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예</a:t>
          </a:r>
        </a:p>
      </xdr:txBody>
    </xdr:sp>
    <xdr:clientData/>
  </xdr:oneCellAnchor>
  <xdr:oneCellAnchor>
    <xdr:from>
      <xdr:col>7</xdr:col>
      <xdr:colOff>1420053</xdr:colOff>
      <xdr:row>135</xdr:row>
      <xdr:rowOff>42241</xdr:rowOff>
    </xdr:from>
    <xdr:ext cx="666750" cy="236468"/>
    <xdr:sp macro="" textlink="">
      <xdr:nvSpPr>
        <xdr:cNvPr id="10" name="Check Box 186" hidden="1">
          <a:extLst>
            <a:ext uri="{63B3BB69-23CF-44E3-9099-C40C66FF867C}">
              <a14:compatExt xmlns:a14="http://schemas.microsoft.com/office/drawing/2010/main" spid="_x0000_s21690"/>
            </a:ext>
            <a:ext uri="{FF2B5EF4-FFF2-40B4-BE49-F238E27FC236}">
              <a16:creationId xmlns:a16="http://schemas.microsoft.com/office/drawing/2014/main" id="{DA574DB8-8F56-4547-B463-4B76BB1B8A94}"/>
            </a:ext>
          </a:extLst>
        </xdr:cNvPr>
        <xdr:cNvSpPr/>
      </xdr:nvSpPr>
      <xdr:spPr bwMode="auto">
        <a:xfrm>
          <a:off x="5077653" y="4821016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136</xdr:row>
      <xdr:rowOff>42241</xdr:rowOff>
    </xdr:from>
    <xdr:ext cx="666750" cy="236468"/>
    <xdr:sp macro="" textlink="">
      <xdr:nvSpPr>
        <xdr:cNvPr id="11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E696288A-26CE-4AA6-903C-91D79F7C41D9}"/>
            </a:ext>
          </a:extLst>
        </xdr:cNvPr>
        <xdr:cNvSpPr/>
      </xdr:nvSpPr>
      <xdr:spPr bwMode="auto">
        <a:xfrm>
          <a:off x="5077653" y="4874356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112644</xdr:colOff>
      <xdr:row>137</xdr:row>
      <xdr:rowOff>18636</xdr:rowOff>
    </xdr:from>
    <xdr:ext cx="676275" cy="236468"/>
    <xdr:sp macro="" textlink="">
      <xdr:nvSpPr>
        <xdr:cNvPr id="12" name="Check Box 189" hidden="1">
          <a:extLst>
            <a:ext uri="{63B3BB69-23CF-44E3-9099-C40C66FF867C}">
              <a14:compatExt xmlns:a14="http://schemas.microsoft.com/office/drawing/2010/main" spid="_x0000_s21693"/>
            </a:ext>
            <a:ext uri="{FF2B5EF4-FFF2-40B4-BE49-F238E27FC236}">
              <a16:creationId xmlns:a16="http://schemas.microsoft.com/office/drawing/2014/main" id="{3F6B95B3-15DC-44BC-9991-A86212830F9D}"/>
            </a:ext>
          </a:extLst>
        </xdr:cNvPr>
        <xdr:cNvSpPr/>
      </xdr:nvSpPr>
      <xdr:spPr bwMode="auto">
        <a:xfrm>
          <a:off x="4903719" y="49224786"/>
          <a:ext cx="676275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예</a:t>
          </a:r>
        </a:p>
      </xdr:txBody>
    </xdr:sp>
    <xdr:clientData/>
  </xdr:oneCellAnchor>
  <xdr:oneCellAnchor>
    <xdr:from>
      <xdr:col>7</xdr:col>
      <xdr:colOff>1420053</xdr:colOff>
      <xdr:row>137</xdr:row>
      <xdr:rowOff>42241</xdr:rowOff>
    </xdr:from>
    <xdr:ext cx="666750" cy="236468"/>
    <xdr:sp macro="" textlink="">
      <xdr:nvSpPr>
        <xdr:cNvPr id="13" name="Check Box 190" hidden="1">
          <a:extLst>
            <a:ext uri="{63B3BB69-23CF-44E3-9099-C40C66FF867C}">
              <a14:compatExt xmlns:a14="http://schemas.microsoft.com/office/drawing/2010/main" spid="_x0000_s21694"/>
            </a:ext>
            <a:ext uri="{FF2B5EF4-FFF2-40B4-BE49-F238E27FC236}">
              <a16:creationId xmlns:a16="http://schemas.microsoft.com/office/drawing/2014/main" id="{5C195FED-C5CE-42A1-A1A7-CC0ACE499DD4}"/>
            </a:ext>
          </a:extLst>
        </xdr:cNvPr>
        <xdr:cNvSpPr/>
      </xdr:nvSpPr>
      <xdr:spPr bwMode="auto">
        <a:xfrm>
          <a:off x="5077653" y="4924839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15</xdr:row>
      <xdr:rowOff>42241</xdr:rowOff>
    </xdr:from>
    <xdr:ext cx="666750" cy="236468"/>
    <xdr:sp macro="" textlink="">
      <xdr:nvSpPr>
        <xdr:cNvPr id="14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6ABDFEFB-F511-4C73-B255-E2EBA83651DC}"/>
            </a:ext>
          </a:extLst>
        </xdr:cNvPr>
        <xdr:cNvSpPr/>
      </xdr:nvSpPr>
      <xdr:spPr bwMode="auto">
        <a:xfrm>
          <a:off x="4791075" y="480474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16</xdr:row>
      <xdr:rowOff>42241</xdr:rowOff>
    </xdr:from>
    <xdr:ext cx="666750" cy="236468"/>
    <xdr:sp macro="" textlink="">
      <xdr:nvSpPr>
        <xdr:cNvPr id="15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84ED665E-82D1-456E-92FE-952AB33A48FE}"/>
            </a:ext>
          </a:extLst>
        </xdr:cNvPr>
        <xdr:cNvSpPr/>
      </xdr:nvSpPr>
      <xdr:spPr bwMode="auto">
        <a:xfrm>
          <a:off x="4791075" y="548101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18</xdr:row>
      <xdr:rowOff>42241</xdr:rowOff>
    </xdr:from>
    <xdr:ext cx="666750" cy="236468"/>
    <xdr:sp macro="" textlink="">
      <xdr:nvSpPr>
        <xdr:cNvPr id="16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37A77BCC-ED48-48E1-B07A-33913F4D708B}"/>
            </a:ext>
          </a:extLst>
        </xdr:cNvPr>
        <xdr:cNvSpPr/>
      </xdr:nvSpPr>
      <xdr:spPr bwMode="auto">
        <a:xfrm>
          <a:off x="4791075" y="623349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15</xdr:row>
      <xdr:rowOff>42241</xdr:rowOff>
    </xdr:from>
    <xdr:ext cx="666750" cy="236468"/>
    <xdr:sp macro="" textlink="">
      <xdr:nvSpPr>
        <xdr:cNvPr id="17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3DEEE0AA-EAFF-4618-9519-754D5FA63501}"/>
            </a:ext>
          </a:extLst>
        </xdr:cNvPr>
        <xdr:cNvSpPr/>
      </xdr:nvSpPr>
      <xdr:spPr bwMode="auto">
        <a:xfrm>
          <a:off x="5077653" y="480474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16</xdr:row>
      <xdr:rowOff>42241</xdr:rowOff>
    </xdr:from>
    <xdr:ext cx="666750" cy="236468"/>
    <xdr:sp macro="" textlink="">
      <xdr:nvSpPr>
        <xdr:cNvPr id="18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FAF06C71-D9A2-44CD-B6AB-9F10041618CD}"/>
            </a:ext>
          </a:extLst>
        </xdr:cNvPr>
        <xdr:cNvSpPr/>
      </xdr:nvSpPr>
      <xdr:spPr bwMode="auto">
        <a:xfrm>
          <a:off x="5077653" y="548101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18</xdr:row>
      <xdr:rowOff>42241</xdr:rowOff>
    </xdr:from>
    <xdr:ext cx="666750" cy="236468"/>
    <xdr:sp macro="" textlink="">
      <xdr:nvSpPr>
        <xdr:cNvPr id="19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D87D944B-70B4-44BE-816E-8093DEB80E7A}"/>
            </a:ext>
          </a:extLst>
        </xdr:cNvPr>
        <xdr:cNvSpPr/>
      </xdr:nvSpPr>
      <xdr:spPr bwMode="auto">
        <a:xfrm>
          <a:off x="5077653" y="623349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17</xdr:row>
      <xdr:rowOff>42241</xdr:rowOff>
    </xdr:from>
    <xdr:ext cx="666750" cy="236468"/>
    <xdr:sp macro="" textlink="">
      <xdr:nvSpPr>
        <xdr:cNvPr id="20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7A750DD3-3FD9-4655-92C2-51248C51804A}"/>
            </a:ext>
          </a:extLst>
        </xdr:cNvPr>
        <xdr:cNvSpPr/>
      </xdr:nvSpPr>
      <xdr:spPr bwMode="auto">
        <a:xfrm>
          <a:off x="4791075" y="593821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17</xdr:row>
      <xdr:rowOff>42241</xdr:rowOff>
    </xdr:from>
    <xdr:ext cx="666750" cy="236468"/>
    <xdr:sp macro="" textlink="">
      <xdr:nvSpPr>
        <xdr:cNvPr id="21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39EBCB25-450A-4843-B988-58EDF51E5A33}"/>
            </a:ext>
          </a:extLst>
        </xdr:cNvPr>
        <xdr:cNvSpPr/>
      </xdr:nvSpPr>
      <xdr:spPr bwMode="auto">
        <a:xfrm>
          <a:off x="5077653" y="593821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17</xdr:row>
      <xdr:rowOff>42241</xdr:rowOff>
    </xdr:from>
    <xdr:ext cx="666750" cy="236468"/>
    <xdr:sp macro="" textlink="">
      <xdr:nvSpPr>
        <xdr:cNvPr id="22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4FD8DAC1-0DA8-47E7-982D-597A9FE96858}"/>
            </a:ext>
          </a:extLst>
        </xdr:cNvPr>
        <xdr:cNvSpPr/>
      </xdr:nvSpPr>
      <xdr:spPr bwMode="auto">
        <a:xfrm>
          <a:off x="4791075" y="593821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17</xdr:row>
      <xdr:rowOff>42241</xdr:rowOff>
    </xdr:from>
    <xdr:ext cx="666750" cy="236468"/>
    <xdr:sp macro="" textlink="">
      <xdr:nvSpPr>
        <xdr:cNvPr id="23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17F959E9-40E8-483D-B184-9FAF9A640E09}"/>
            </a:ext>
          </a:extLst>
        </xdr:cNvPr>
        <xdr:cNvSpPr/>
      </xdr:nvSpPr>
      <xdr:spPr bwMode="auto">
        <a:xfrm>
          <a:off x="5077653" y="593821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18</xdr:row>
      <xdr:rowOff>42241</xdr:rowOff>
    </xdr:from>
    <xdr:ext cx="666750" cy="236468"/>
    <xdr:sp macro="" textlink="">
      <xdr:nvSpPr>
        <xdr:cNvPr id="24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E07B7489-DBAE-4302-8715-F3FE6937121E}"/>
            </a:ext>
          </a:extLst>
        </xdr:cNvPr>
        <xdr:cNvSpPr/>
      </xdr:nvSpPr>
      <xdr:spPr bwMode="auto">
        <a:xfrm>
          <a:off x="4791075" y="623349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18</xdr:row>
      <xdr:rowOff>42241</xdr:rowOff>
    </xdr:from>
    <xdr:ext cx="666750" cy="236468"/>
    <xdr:sp macro="" textlink="">
      <xdr:nvSpPr>
        <xdr:cNvPr id="25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D28F3D51-26BF-4503-8C26-11BE89105581}"/>
            </a:ext>
          </a:extLst>
        </xdr:cNvPr>
        <xdr:cNvSpPr/>
      </xdr:nvSpPr>
      <xdr:spPr bwMode="auto">
        <a:xfrm>
          <a:off x="5077653" y="623349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31</xdr:row>
      <xdr:rowOff>42241</xdr:rowOff>
    </xdr:from>
    <xdr:ext cx="666750" cy="236468"/>
    <xdr:sp macro="" textlink="">
      <xdr:nvSpPr>
        <xdr:cNvPr id="26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707263A-8ED8-424B-8715-007751662CD8}"/>
            </a:ext>
          </a:extLst>
        </xdr:cNvPr>
        <xdr:cNvSpPr/>
      </xdr:nvSpPr>
      <xdr:spPr bwMode="auto">
        <a:xfrm>
          <a:off x="4791075" y="1119601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31</xdr:row>
      <xdr:rowOff>42241</xdr:rowOff>
    </xdr:from>
    <xdr:ext cx="666750" cy="236468"/>
    <xdr:sp macro="" textlink="">
      <xdr:nvSpPr>
        <xdr:cNvPr id="27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91B15C29-7C25-4F10-9B44-8AFDB66E0487}"/>
            </a:ext>
          </a:extLst>
        </xdr:cNvPr>
        <xdr:cNvSpPr/>
      </xdr:nvSpPr>
      <xdr:spPr bwMode="auto">
        <a:xfrm>
          <a:off x="5077653" y="1119601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31</xdr:row>
      <xdr:rowOff>42241</xdr:rowOff>
    </xdr:from>
    <xdr:ext cx="666750" cy="236468"/>
    <xdr:sp macro="" textlink="">
      <xdr:nvSpPr>
        <xdr:cNvPr id="28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AEEB26F3-D6C3-49F5-9508-80E40074BD52}"/>
            </a:ext>
          </a:extLst>
        </xdr:cNvPr>
        <xdr:cNvSpPr/>
      </xdr:nvSpPr>
      <xdr:spPr bwMode="auto">
        <a:xfrm>
          <a:off x="4791075" y="1119601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31</xdr:row>
      <xdr:rowOff>42241</xdr:rowOff>
    </xdr:from>
    <xdr:ext cx="666750" cy="236468"/>
    <xdr:sp macro="" textlink="">
      <xdr:nvSpPr>
        <xdr:cNvPr id="29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4EB5110A-91C5-490A-9AF7-0C46E2E6EAB7}"/>
            </a:ext>
          </a:extLst>
        </xdr:cNvPr>
        <xdr:cNvSpPr/>
      </xdr:nvSpPr>
      <xdr:spPr bwMode="auto">
        <a:xfrm>
          <a:off x="5077653" y="1119601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32</xdr:row>
      <xdr:rowOff>42241</xdr:rowOff>
    </xdr:from>
    <xdr:ext cx="666750" cy="236468"/>
    <xdr:sp macro="" textlink="">
      <xdr:nvSpPr>
        <xdr:cNvPr id="30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DAF83BF1-8EDC-4ACD-85C0-B895CDB2AA2A}"/>
            </a:ext>
          </a:extLst>
        </xdr:cNvPr>
        <xdr:cNvSpPr/>
      </xdr:nvSpPr>
      <xdr:spPr bwMode="auto">
        <a:xfrm>
          <a:off x="4791075" y="1169131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32</xdr:row>
      <xdr:rowOff>42241</xdr:rowOff>
    </xdr:from>
    <xdr:ext cx="666750" cy="236468"/>
    <xdr:sp macro="" textlink="">
      <xdr:nvSpPr>
        <xdr:cNvPr id="31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D119282F-A0F4-4EA2-9B3D-AE3910819A88}"/>
            </a:ext>
          </a:extLst>
        </xdr:cNvPr>
        <xdr:cNvSpPr/>
      </xdr:nvSpPr>
      <xdr:spPr bwMode="auto">
        <a:xfrm>
          <a:off x="5077653" y="1169131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32</xdr:row>
      <xdr:rowOff>42241</xdr:rowOff>
    </xdr:from>
    <xdr:ext cx="666750" cy="236468"/>
    <xdr:sp macro="" textlink="">
      <xdr:nvSpPr>
        <xdr:cNvPr id="32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E2259929-5B9A-4EE6-BE12-5D878747B7AC}"/>
            </a:ext>
          </a:extLst>
        </xdr:cNvPr>
        <xdr:cNvSpPr/>
      </xdr:nvSpPr>
      <xdr:spPr bwMode="auto">
        <a:xfrm>
          <a:off x="4791075" y="1169131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32</xdr:row>
      <xdr:rowOff>42241</xdr:rowOff>
    </xdr:from>
    <xdr:ext cx="666750" cy="236468"/>
    <xdr:sp macro="" textlink="">
      <xdr:nvSpPr>
        <xdr:cNvPr id="33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6879A295-B167-4FD7-91C2-9F2A335A037D}"/>
            </a:ext>
          </a:extLst>
        </xdr:cNvPr>
        <xdr:cNvSpPr/>
      </xdr:nvSpPr>
      <xdr:spPr bwMode="auto">
        <a:xfrm>
          <a:off x="5077653" y="1169131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46</xdr:row>
      <xdr:rowOff>42241</xdr:rowOff>
    </xdr:from>
    <xdr:ext cx="666750" cy="236468"/>
    <xdr:sp macro="" textlink="">
      <xdr:nvSpPr>
        <xdr:cNvPr id="34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44A43714-8350-423A-B2A9-96FD01BFB9EC}"/>
            </a:ext>
          </a:extLst>
        </xdr:cNvPr>
        <xdr:cNvSpPr/>
      </xdr:nvSpPr>
      <xdr:spPr bwMode="auto">
        <a:xfrm>
          <a:off x="4791075" y="1699674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46</xdr:row>
      <xdr:rowOff>42241</xdr:rowOff>
    </xdr:from>
    <xdr:ext cx="666750" cy="236468"/>
    <xdr:sp macro="" textlink="">
      <xdr:nvSpPr>
        <xdr:cNvPr id="35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BD7D81F2-2C89-4C48-B395-AC328299D5CF}"/>
            </a:ext>
          </a:extLst>
        </xdr:cNvPr>
        <xdr:cNvSpPr/>
      </xdr:nvSpPr>
      <xdr:spPr bwMode="auto">
        <a:xfrm>
          <a:off x="5077653" y="1699674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46</xdr:row>
      <xdr:rowOff>42241</xdr:rowOff>
    </xdr:from>
    <xdr:ext cx="666750" cy="236468"/>
    <xdr:sp macro="" textlink="">
      <xdr:nvSpPr>
        <xdr:cNvPr id="36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28660687-5607-487B-813B-1446B888A5EE}"/>
            </a:ext>
          </a:extLst>
        </xdr:cNvPr>
        <xdr:cNvSpPr/>
      </xdr:nvSpPr>
      <xdr:spPr bwMode="auto">
        <a:xfrm>
          <a:off x="4791075" y="1699674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46</xdr:row>
      <xdr:rowOff>42241</xdr:rowOff>
    </xdr:from>
    <xdr:ext cx="666750" cy="236468"/>
    <xdr:sp macro="" textlink="">
      <xdr:nvSpPr>
        <xdr:cNvPr id="37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2AFF5F55-876E-47E2-A624-183D495FCD50}"/>
            </a:ext>
          </a:extLst>
        </xdr:cNvPr>
        <xdr:cNvSpPr/>
      </xdr:nvSpPr>
      <xdr:spPr bwMode="auto">
        <a:xfrm>
          <a:off x="5077653" y="1699674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48</xdr:row>
      <xdr:rowOff>42241</xdr:rowOff>
    </xdr:from>
    <xdr:ext cx="666750" cy="236468"/>
    <xdr:sp macro="" textlink="">
      <xdr:nvSpPr>
        <xdr:cNvPr id="38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4F771CBF-6047-40B6-8D2B-2052096A8BAC}"/>
            </a:ext>
          </a:extLst>
        </xdr:cNvPr>
        <xdr:cNvSpPr/>
      </xdr:nvSpPr>
      <xdr:spPr bwMode="auto">
        <a:xfrm>
          <a:off x="4791075" y="1803496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48</xdr:row>
      <xdr:rowOff>42241</xdr:rowOff>
    </xdr:from>
    <xdr:ext cx="666750" cy="236468"/>
    <xdr:sp macro="" textlink="">
      <xdr:nvSpPr>
        <xdr:cNvPr id="39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D6A7A032-6054-4215-9310-6CD2B2DA5D87}"/>
            </a:ext>
          </a:extLst>
        </xdr:cNvPr>
        <xdr:cNvSpPr/>
      </xdr:nvSpPr>
      <xdr:spPr bwMode="auto">
        <a:xfrm>
          <a:off x="5077653" y="1803496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48</xdr:row>
      <xdr:rowOff>42241</xdr:rowOff>
    </xdr:from>
    <xdr:ext cx="666750" cy="236468"/>
    <xdr:sp macro="" textlink="">
      <xdr:nvSpPr>
        <xdr:cNvPr id="40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45CB4419-0BA0-44D5-86DD-AF9DCFDA340A}"/>
            </a:ext>
          </a:extLst>
        </xdr:cNvPr>
        <xdr:cNvSpPr/>
      </xdr:nvSpPr>
      <xdr:spPr bwMode="auto">
        <a:xfrm>
          <a:off x="4791075" y="1803496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48</xdr:row>
      <xdr:rowOff>42241</xdr:rowOff>
    </xdr:from>
    <xdr:ext cx="666750" cy="236468"/>
    <xdr:sp macro="" textlink="">
      <xdr:nvSpPr>
        <xdr:cNvPr id="41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110908F5-D115-4F2A-B314-5AC5A1F97DEE}"/>
            </a:ext>
          </a:extLst>
        </xdr:cNvPr>
        <xdr:cNvSpPr/>
      </xdr:nvSpPr>
      <xdr:spPr bwMode="auto">
        <a:xfrm>
          <a:off x="5077653" y="1803496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112644</xdr:colOff>
      <xdr:row>132</xdr:row>
      <xdr:rowOff>18636</xdr:rowOff>
    </xdr:from>
    <xdr:ext cx="676275" cy="236468"/>
    <xdr:sp macro="" textlink="">
      <xdr:nvSpPr>
        <xdr:cNvPr id="42" name="Check Box 177" hidden="1">
          <a:extLst>
            <a:ext uri="{63B3BB69-23CF-44E3-9099-C40C66FF867C}">
              <a14:compatExt xmlns:a14="http://schemas.microsoft.com/office/drawing/2010/main" spid="_x0000_s21681"/>
            </a:ext>
            <a:ext uri="{FF2B5EF4-FFF2-40B4-BE49-F238E27FC236}">
              <a16:creationId xmlns:a16="http://schemas.microsoft.com/office/drawing/2014/main" id="{18AFAA97-0A37-4F19-980D-3FD5C47605EF}"/>
            </a:ext>
          </a:extLst>
        </xdr:cNvPr>
        <xdr:cNvSpPr/>
      </xdr:nvSpPr>
      <xdr:spPr bwMode="auto">
        <a:xfrm>
          <a:off x="4903719" y="46376811"/>
          <a:ext cx="676275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예</a:t>
          </a:r>
        </a:p>
      </xdr:txBody>
    </xdr:sp>
    <xdr:clientData/>
  </xdr:oneCellAnchor>
  <xdr:oneCellAnchor>
    <xdr:from>
      <xdr:col>7</xdr:col>
      <xdr:colOff>1420053</xdr:colOff>
      <xdr:row>132</xdr:row>
      <xdr:rowOff>42241</xdr:rowOff>
    </xdr:from>
    <xdr:ext cx="666750" cy="236468"/>
    <xdr:sp macro="" textlink="">
      <xdr:nvSpPr>
        <xdr:cNvPr id="43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7037B88F-861C-4B86-9849-369F38826308}"/>
            </a:ext>
          </a:extLst>
        </xdr:cNvPr>
        <xdr:cNvSpPr/>
      </xdr:nvSpPr>
      <xdr:spPr bwMode="auto">
        <a:xfrm>
          <a:off x="5077653" y="4640041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112644</xdr:colOff>
      <xdr:row>133</xdr:row>
      <xdr:rowOff>18636</xdr:rowOff>
    </xdr:from>
    <xdr:ext cx="676275" cy="236468"/>
    <xdr:sp macro="" textlink="">
      <xdr:nvSpPr>
        <xdr:cNvPr id="44" name="Check Box 177" hidden="1">
          <a:extLst>
            <a:ext uri="{63B3BB69-23CF-44E3-9099-C40C66FF867C}">
              <a14:compatExt xmlns:a14="http://schemas.microsoft.com/office/drawing/2010/main" spid="_x0000_s21681"/>
            </a:ext>
            <a:ext uri="{FF2B5EF4-FFF2-40B4-BE49-F238E27FC236}">
              <a16:creationId xmlns:a16="http://schemas.microsoft.com/office/drawing/2014/main" id="{DA0EF74F-A0D1-4D4E-BE36-04748FC249E3}"/>
            </a:ext>
          </a:extLst>
        </xdr:cNvPr>
        <xdr:cNvSpPr/>
      </xdr:nvSpPr>
      <xdr:spPr bwMode="auto">
        <a:xfrm>
          <a:off x="4903719" y="46881636"/>
          <a:ext cx="676275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예</a:t>
          </a:r>
        </a:p>
      </xdr:txBody>
    </xdr:sp>
    <xdr:clientData/>
  </xdr:oneCellAnchor>
  <xdr:oneCellAnchor>
    <xdr:from>
      <xdr:col>7</xdr:col>
      <xdr:colOff>1420053</xdr:colOff>
      <xdr:row>133</xdr:row>
      <xdr:rowOff>42241</xdr:rowOff>
    </xdr:from>
    <xdr:ext cx="666750" cy="236468"/>
    <xdr:sp macro="" textlink="">
      <xdr:nvSpPr>
        <xdr:cNvPr id="45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8AC14B32-5519-4309-9495-F71EFE0F90FC}"/>
            </a:ext>
          </a:extLst>
        </xdr:cNvPr>
        <xdr:cNvSpPr/>
      </xdr:nvSpPr>
      <xdr:spPr bwMode="auto">
        <a:xfrm>
          <a:off x="5077653" y="4690524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112644</xdr:colOff>
      <xdr:row>134</xdr:row>
      <xdr:rowOff>18636</xdr:rowOff>
    </xdr:from>
    <xdr:ext cx="676275" cy="236468"/>
    <xdr:sp macro="" textlink="">
      <xdr:nvSpPr>
        <xdr:cNvPr id="46" name="Check Box 177" hidden="1">
          <a:extLst>
            <a:ext uri="{63B3BB69-23CF-44E3-9099-C40C66FF867C}">
              <a14:compatExt xmlns:a14="http://schemas.microsoft.com/office/drawing/2010/main" spid="_x0000_s21681"/>
            </a:ext>
            <a:ext uri="{FF2B5EF4-FFF2-40B4-BE49-F238E27FC236}">
              <a16:creationId xmlns:a16="http://schemas.microsoft.com/office/drawing/2014/main" id="{9CF94937-A776-469C-B956-06F43E545357}"/>
            </a:ext>
          </a:extLst>
        </xdr:cNvPr>
        <xdr:cNvSpPr/>
      </xdr:nvSpPr>
      <xdr:spPr bwMode="auto">
        <a:xfrm>
          <a:off x="4903719" y="47681736"/>
          <a:ext cx="676275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예</a:t>
          </a:r>
        </a:p>
      </xdr:txBody>
    </xdr:sp>
    <xdr:clientData/>
  </xdr:oneCellAnchor>
  <xdr:oneCellAnchor>
    <xdr:from>
      <xdr:col>7</xdr:col>
      <xdr:colOff>1420053</xdr:colOff>
      <xdr:row>134</xdr:row>
      <xdr:rowOff>42241</xdr:rowOff>
    </xdr:from>
    <xdr:ext cx="666750" cy="236468"/>
    <xdr:sp macro="" textlink="">
      <xdr:nvSpPr>
        <xdr:cNvPr id="47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18440340-A997-438A-98FF-77112B1B7FD6}"/>
            </a:ext>
          </a:extLst>
        </xdr:cNvPr>
        <xdr:cNvSpPr/>
      </xdr:nvSpPr>
      <xdr:spPr bwMode="auto">
        <a:xfrm>
          <a:off x="5077653" y="4770534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135</xdr:row>
      <xdr:rowOff>42241</xdr:rowOff>
    </xdr:from>
    <xdr:ext cx="666750" cy="236468"/>
    <xdr:sp macro="" textlink="">
      <xdr:nvSpPr>
        <xdr:cNvPr id="48" name="Check Box 184" hidden="1">
          <a:extLst>
            <a:ext uri="{63B3BB69-23CF-44E3-9099-C40C66FF867C}">
              <a14:compatExt xmlns:a14="http://schemas.microsoft.com/office/drawing/2010/main" spid="_x0000_s21688"/>
            </a:ext>
            <a:ext uri="{FF2B5EF4-FFF2-40B4-BE49-F238E27FC236}">
              <a16:creationId xmlns:a16="http://schemas.microsoft.com/office/drawing/2014/main" id="{4157DA00-AFA9-43DA-A82D-264A52DDCDC3}"/>
            </a:ext>
          </a:extLst>
        </xdr:cNvPr>
        <xdr:cNvSpPr/>
      </xdr:nvSpPr>
      <xdr:spPr bwMode="auto">
        <a:xfrm>
          <a:off x="5077653" y="4821016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112644</xdr:colOff>
      <xdr:row>135</xdr:row>
      <xdr:rowOff>18636</xdr:rowOff>
    </xdr:from>
    <xdr:ext cx="676275" cy="236468"/>
    <xdr:sp macro="" textlink="">
      <xdr:nvSpPr>
        <xdr:cNvPr id="49" name="Check Box 177" hidden="1">
          <a:extLst>
            <a:ext uri="{63B3BB69-23CF-44E3-9099-C40C66FF867C}">
              <a14:compatExt xmlns:a14="http://schemas.microsoft.com/office/drawing/2010/main" spid="_x0000_s21681"/>
            </a:ext>
            <a:ext uri="{FF2B5EF4-FFF2-40B4-BE49-F238E27FC236}">
              <a16:creationId xmlns:a16="http://schemas.microsoft.com/office/drawing/2014/main" id="{1C555CB2-7CC2-4A1A-963F-8A12F3CFC83A}"/>
            </a:ext>
          </a:extLst>
        </xdr:cNvPr>
        <xdr:cNvSpPr/>
      </xdr:nvSpPr>
      <xdr:spPr bwMode="auto">
        <a:xfrm>
          <a:off x="4903719" y="48186561"/>
          <a:ext cx="676275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예</a:t>
          </a:r>
        </a:p>
      </xdr:txBody>
    </xdr:sp>
    <xdr:clientData/>
  </xdr:oneCellAnchor>
  <xdr:oneCellAnchor>
    <xdr:from>
      <xdr:col>7</xdr:col>
      <xdr:colOff>1420053</xdr:colOff>
      <xdr:row>135</xdr:row>
      <xdr:rowOff>42241</xdr:rowOff>
    </xdr:from>
    <xdr:ext cx="666750" cy="236468"/>
    <xdr:sp macro="" textlink="">
      <xdr:nvSpPr>
        <xdr:cNvPr id="50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8AD81E8F-EF98-4A99-8F0A-3FE78B713573}"/>
            </a:ext>
          </a:extLst>
        </xdr:cNvPr>
        <xdr:cNvSpPr/>
      </xdr:nvSpPr>
      <xdr:spPr bwMode="auto">
        <a:xfrm>
          <a:off x="5077653" y="4821016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136</xdr:row>
      <xdr:rowOff>42241</xdr:rowOff>
    </xdr:from>
    <xdr:ext cx="666750" cy="236468"/>
    <xdr:sp macro="" textlink="">
      <xdr:nvSpPr>
        <xdr:cNvPr id="51" name="Check Box 184" hidden="1">
          <a:extLst>
            <a:ext uri="{63B3BB69-23CF-44E3-9099-C40C66FF867C}">
              <a14:compatExt xmlns:a14="http://schemas.microsoft.com/office/drawing/2010/main" spid="_x0000_s21688"/>
            </a:ext>
            <a:ext uri="{FF2B5EF4-FFF2-40B4-BE49-F238E27FC236}">
              <a16:creationId xmlns:a16="http://schemas.microsoft.com/office/drawing/2014/main" id="{4C49BCC6-7B15-48A4-825B-A2BF127F9353}"/>
            </a:ext>
          </a:extLst>
        </xdr:cNvPr>
        <xdr:cNvSpPr/>
      </xdr:nvSpPr>
      <xdr:spPr bwMode="auto">
        <a:xfrm>
          <a:off x="5077653" y="4874356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112644</xdr:colOff>
      <xdr:row>136</xdr:row>
      <xdr:rowOff>18636</xdr:rowOff>
    </xdr:from>
    <xdr:ext cx="676275" cy="236468"/>
    <xdr:sp macro="" textlink="">
      <xdr:nvSpPr>
        <xdr:cNvPr id="52" name="Check Box 177" hidden="1">
          <a:extLst>
            <a:ext uri="{63B3BB69-23CF-44E3-9099-C40C66FF867C}">
              <a14:compatExt xmlns:a14="http://schemas.microsoft.com/office/drawing/2010/main" spid="_x0000_s21681"/>
            </a:ext>
            <a:ext uri="{FF2B5EF4-FFF2-40B4-BE49-F238E27FC236}">
              <a16:creationId xmlns:a16="http://schemas.microsoft.com/office/drawing/2014/main" id="{4E7785A1-3DB1-45D4-A06A-FA5C9AAD1ABA}"/>
            </a:ext>
          </a:extLst>
        </xdr:cNvPr>
        <xdr:cNvSpPr/>
      </xdr:nvSpPr>
      <xdr:spPr bwMode="auto">
        <a:xfrm>
          <a:off x="4903719" y="48719961"/>
          <a:ext cx="676275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예</a:t>
          </a:r>
        </a:p>
      </xdr:txBody>
    </xdr:sp>
    <xdr:clientData/>
  </xdr:oneCellAnchor>
  <xdr:oneCellAnchor>
    <xdr:from>
      <xdr:col>7</xdr:col>
      <xdr:colOff>1420053</xdr:colOff>
      <xdr:row>136</xdr:row>
      <xdr:rowOff>42241</xdr:rowOff>
    </xdr:from>
    <xdr:ext cx="666750" cy="236468"/>
    <xdr:sp macro="" textlink="">
      <xdr:nvSpPr>
        <xdr:cNvPr id="53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F30EC4C0-4BF9-4F84-9356-77C5A52C221D}"/>
            </a:ext>
          </a:extLst>
        </xdr:cNvPr>
        <xdr:cNvSpPr/>
      </xdr:nvSpPr>
      <xdr:spPr bwMode="auto">
        <a:xfrm>
          <a:off x="5077653" y="4874356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112644</xdr:colOff>
      <xdr:row>137</xdr:row>
      <xdr:rowOff>18636</xdr:rowOff>
    </xdr:from>
    <xdr:ext cx="676275" cy="236468"/>
    <xdr:sp macro="" textlink="">
      <xdr:nvSpPr>
        <xdr:cNvPr id="54" name="Check Box 185" hidden="1">
          <a:extLst>
            <a:ext uri="{63B3BB69-23CF-44E3-9099-C40C66FF867C}">
              <a14:compatExt xmlns:a14="http://schemas.microsoft.com/office/drawing/2010/main" spid="_x0000_s21689"/>
            </a:ext>
            <a:ext uri="{FF2B5EF4-FFF2-40B4-BE49-F238E27FC236}">
              <a16:creationId xmlns:a16="http://schemas.microsoft.com/office/drawing/2014/main" id="{AD6D094F-BE63-409C-A26E-107760643477}"/>
            </a:ext>
          </a:extLst>
        </xdr:cNvPr>
        <xdr:cNvSpPr/>
      </xdr:nvSpPr>
      <xdr:spPr bwMode="auto">
        <a:xfrm>
          <a:off x="4903719" y="49224786"/>
          <a:ext cx="676275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예</a:t>
          </a:r>
        </a:p>
      </xdr:txBody>
    </xdr:sp>
    <xdr:clientData/>
  </xdr:oneCellAnchor>
  <xdr:oneCellAnchor>
    <xdr:from>
      <xdr:col>7</xdr:col>
      <xdr:colOff>1420053</xdr:colOff>
      <xdr:row>137</xdr:row>
      <xdr:rowOff>42241</xdr:rowOff>
    </xdr:from>
    <xdr:ext cx="666750" cy="236468"/>
    <xdr:sp macro="" textlink="">
      <xdr:nvSpPr>
        <xdr:cNvPr id="55" name="Check Box 186" hidden="1">
          <a:extLst>
            <a:ext uri="{63B3BB69-23CF-44E3-9099-C40C66FF867C}">
              <a14:compatExt xmlns:a14="http://schemas.microsoft.com/office/drawing/2010/main" spid="_x0000_s21690"/>
            </a:ext>
            <a:ext uri="{FF2B5EF4-FFF2-40B4-BE49-F238E27FC236}">
              <a16:creationId xmlns:a16="http://schemas.microsoft.com/office/drawing/2014/main" id="{BD3661DA-6424-46FA-B0C0-46BB03A197D9}"/>
            </a:ext>
          </a:extLst>
        </xdr:cNvPr>
        <xdr:cNvSpPr/>
      </xdr:nvSpPr>
      <xdr:spPr bwMode="auto">
        <a:xfrm>
          <a:off x="5077653" y="4924839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137</xdr:row>
      <xdr:rowOff>42241</xdr:rowOff>
    </xdr:from>
    <xdr:ext cx="666750" cy="236468"/>
    <xdr:sp macro="" textlink="">
      <xdr:nvSpPr>
        <xdr:cNvPr id="56" name="Check Box 184" hidden="1">
          <a:extLst>
            <a:ext uri="{63B3BB69-23CF-44E3-9099-C40C66FF867C}">
              <a14:compatExt xmlns:a14="http://schemas.microsoft.com/office/drawing/2010/main" spid="_x0000_s21688"/>
            </a:ext>
            <a:ext uri="{FF2B5EF4-FFF2-40B4-BE49-F238E27FC236}">
              <a16:creationId xmlns:a16="http://schemas.microsoft.com/office/drawing/2014/main" id="{E77FD1B0-29A9-44F5-8D18-39D3631F9532}"/>
            </a:ext>
          </a:extLst>
        </xdr:cNvPr>
        <xdr:cNvSpPr/>
      </xdr:nvSpPr>
      <xdr:spPr bwMode="auto">
        <a:xfrm>
          <a:off x="5077653" y="4924839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112644</xdr:colOff>
      <xdr:row>137</xdr:row>
      <xdr:rowOff>18636</xdr:rowOff>
    </xdr:from>
    <xdr:ext cx="676275" cy="236468"/>
    <xdr:sp macro="" textlink="">
      <xdr:nvSpPr>
        <xdr:cNvPr id="57" name="Check Box 177" hidden="1">
          <a:extLst>
            <a:ext uri="{63B3BB69-23CF-44E3-9099-C40C66FF867C}">
              <a14:compatExt xmlns:a14="http://schemas.microsoft.com/office/drawing/2010/main" spid="_x0000_s21681"/>
            </a:ext>
            <a:ext uri="{FF2B5EF4-FFF2-40B4-BE49-F238E27FC236}">
              <a16:creationId xmlns:a16="http://schemas.microsoft.com/office/drawing/2014/main" id="{0A7B6C16-5DA2-42FC-8B29-6C3B4BDE9416}"/>
            </a:ext>
          </a:extLst>
        </xdr:cNvPr>
        <xdr:cNvSpPr/>
      </xdr:nvSpPr>
      <xdr:spPr bwMode="auto">
        <a:xfrm>
          <a:off x="4903719" y="49224786"/>
          <a:ext cx="676275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예</a:t>
          </a:r>
        </a:p>
      </xdr:txBody>
    </xdr:sp>
    <xdr:clientData/>
  </xdr:oneCellAnchor>
  <xdr:oneCellAnchor>
    <xdr:from>
      <xdr:col>7</xdr:col>
      <xdr:colOff>1420053</xdr:colOff>
      <xdr:row>137</xdr:row>
      <xdr:rowOff>42241</xdr:rowOff>
    </xdr:from>
    <xdr:ext cx="666750" cy="236468"/>
    <xdr:sp macro="" textlink="">
      <xdr:nvSpPr>
        <xdr:cNvPr id="58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CEF4DC19-13D0-4AEA-8C97-BE4697D5F0C9}"/>
            </a:ext>
          </a:extLst>
        </xdr:cNvPr>
        <xdr:cNvSpPr/>
      </xdr:nvSpPr>
      <xdr:spPr bwMode="auto">
        <a:xfrm>
          <a:off x="5077653" y="4924839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112644</xdr:colOff>
      <xdr:row>10</xdr:row>
      <xdr:rowOff>18636</xdr:rowOff>
    </xdr:from>
    <xdr:ext cx="676275" cy="236468"/>
    <xdr:sp macro="" textlink="">
      <xdr:nvSpPr>
        <xdr:cNvPr id="59" name="Check Box 177" hidden="1">
          <a:extLst>
            <a:ext uri="{63B3BB69-23CF-44E3-9099-C40C66FF867C}">
              <a14:compatExt xmlns:a14="http://schemas.microsoft.com/office/drawing/2010/main" spid="_x0000_s21681"/>
            </a:ext>
            <a:ext uri="{FF2B5EF4-FFF2-40B4-BE49-F238E27FC236}">
              <a16:creationId xmlns:a16="http://schemas.microsoft.com/office/drawing/2014/main" id="{D33B15E9-6E62-4CA0-8196-171E6D2306C5}"/>
            </a:ext>
          </a:extLst>
        </xdr:cNvPr>
        <xdr:cNvSpPr/>
      </xdr:nvSpPr>
      <xdr:spPr bwMode="auto">
        <a:xfrm>
          <a:off x="4903719" y="2780886"/>
          <a:ext cx="676275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예</a:t>
          </a:r>
        </a:p>
      </xdr:txBody>
    </xdr:sp>
    <xdr:clientData/>
  </xdr:oneCellAnchor>
  <xdr:oneCellAnchor>
    <xdr:from>
      <xdr:col>7</xdr:col>
      <xdr:colOff>1420053</xdr:colOff>
      <xdr:row>10</xdr:row>
      <xdr:rowOff>42241</xdr:rowOff>
    </xdr:from>
    <xdr:ext cx="666750" cy="236468"/>
    <xdr:sp macro="" textlink="">
      <xdr:nvSpPr>
        <xdr:cNvPr id="60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868EA5C9-0819-4238-B79E-A205837D2478}"/>
            </a:ext>
          </a:extLst>
        </xdr:cNvPr>
        <xdr:cNvSpPr/>
      </xdr:nvSpPr>
      <xdr:spPr bwMode="auto">
        <a:xfrm>
          <a:off x="5077653" y="280449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112644</xdr:colOff>
      <xdr:row>14</xdr:row>
      <xdr:rowOff>18636</xdr:rowOff>
    </xdr:from>
    <xdr:ext cx="676275" cy="236468"/>
    <xdr:sp macro="" textlink="">
      <xdr:nvSpPr>
        <xdr:cNvPr id="61" name="Check Box 177" hidden="1">
          <a:extLst>
            <a:ext uri="{63B3BB69-23CF-44E3-9099-C40C66FF867C}">
              <a14:compatExt xmlns:a14="http://schemas.microsoft.com/office/drawing/2010/main" spid="_x0000_s21681"/>
            </a:ext>
            <a:ext uri="{FF2B5EF4-FFF2-40B4-BE49-F238E27FC236}">
              <a16:creationId xmlns:a16="http://schemas.microsoft.com/office/drawing/2014/main" id="{D2E3FAC7-A3AC-4BD2-870F-01A71B827DC5}"/>
            </a:ext>
          </a:extLst>
        </xdr:cNvPr>
        <xdr:cNvSpPr/>
      </xdr:nvSpPr>
      <xdr:spPr bwMode="auto">
        <a:xfrm>
          <a:off x="4903719" y="4285836"/>
          <a:ext cx="676275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예</a:t>
          </a:r>
        </a:p>
      </xdr:txBody>
    </xdr:sp>
    <xdr:clientData/>
  </xdr:oneCellAnchor>
  <xdr:oneCellAnchor>
    <xdr:from>
      <xdr:col>7</xdr:col>
      <xdr:colOff>1420053</xdr:colOff>
      <xdr:row>14</xdr:row>
      <xdr:rowOff>42241</xdr:rowOff>
    </xdr:from>
    <xdr:ext cx="666750" cy="236468"/>
    <xdr:sp macro="" textlink="">
      <xdr:nvSpPr>
        <xdr:cNvPr id="62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5F73057B-D897-4805-95FF-407B2B4BB14D}"/>
            </a:ext>
          </a:extLst>
        </xdr:cNvPr>
        <xdr:cNvSpPr/>
      </xdr:nvSpPr>
      <xdr:spPr bwMode="auto">
        <a:xfrm>
          <a:off x="5077653" y="430944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112644</xdr:colOff>
      <xdr:row>15</xdr:row>
      <xdr:rowOff>18636</xdr:rowOff>
    </xdr:from>
    <xdr:ext cx="676275" cy="236468"/>
    <xdr:sp macro="" textlink="">
      <xdr:nvSpPr>
        <xdr:cNvPr id="63" name="Check Box 177" hidden="1">
          <a:extLst>
            <a:ext uri="{63B3BB69-23CF-44E3-9099-C40C66FF867C}">
              <a14:compatExt xmlns:a14="http://schemas.microsoft.com/office/drawing/2010/main" spid="_x0000_s21681"/>
            </a:ext>
            <a:ext uri="{FF2B5EF4-FFF2-40B4-BE49-F238E27FC236}">
              <a16:creationId xmlns:a16="http://schemas.microsoft.com/office/drawing/2014/main" id="{8C0A92EB-EEEF-4A3F-8D7D-DAC0DB24EAA3}"/>
            </a:ext>
          </a:extLst>
        </xdr:cNvPr>
        <xdr:cNvSpPr/>
      </xdr:nvSpPr>
      <xdr:spPr bwMode="auto">
        <a:xfrm>
          <a:off x="4903719" y="4781136"/>
          <a:ext cx="676275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예</a:t>
          </a:r>
        </a:p>
      </xdr:txBody>
    </xdr:sp>
    <xdr:clientData/>
  </xdr:oneCellAnchor>
  <xdr:oneCellAnchor>
    <xdr:from>
      <xdr:col>7</xdr:col>
      <xdr:colOff>1420053</xdr:colOff>
      <xdr:row>15</xdr:row>
      <xdr:rowOff>42241</xdr:rowOff>
    </xdr:from>
    <xdr:ext cx="666750" cy="236468"/>
    <xdr:sp macro="" textlink="">
      <xdr:nvSpPr>
        <xdr:cNvPr id="64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06202B57-AA4C-4A14-94AC-9A72C7574419}"/>
            </a:ext>
          </a:extLst>
        </xdr:cNvPr>
        <xdr:cNvSpPr/>
      </xdr:nvSpPr>
      <xdr:spPr bwMode="auto">
        <a:xfrm>
          <a:off x="5077653" y="480474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112644</xdr:colOff>
      <xdr:row>16</xdr:row>
      <xdr:rowOff>18636</xdr:rowOff>
    </xdr:from>
    <xdr:ext cx="676275" cy="236468"/>
    <xdr:sp macro="" textlink="">
      <xdr:nvSpPr>
        <xdr:cNvPr id="65" name="Check Box 177" hidden="1">
          <a:extLst>
            <a:ext uri="{63B3BB69-23CF-44E3-9099-C40C66FF867C}">
              <a14:compatExt xmlns:a14="http://schemas.microsoft.com/office/drawing/2010/main" spid="_x0000_s21681"/>
            </a:ext>
            <a:ext uri="{FF2B5EF4-FFF2-40B4-BE49-F238E27FC236}">
              <a16:creationId xmlns:a16="http://schemas.microsoft.com/office/drawing/2014/main" id="{989022C1-F56B-4A54-8230-54637817860D}"/>
            </a:ext>
          </a:extLst>
        </xdr:cNvPr>
        <xdr:cNvSpPr/>
      </xdr:nvSpPr>
      <xdr:spPr bwMode="auto">
        <a:xfrm>
          <a:off x="4903719" y="5457411"/>
          <a:ext cx="676275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예</a:t>
          </a:r>
        </a:p>
      </xdr:txBody>
    </xdr:sp>
    <xdr:clientData/>
  </xdr:oneCellAnchor>
  <xdr:oneCellAnchor>
    <xdr:from>
      <xdr:col>7</xdr:col>
      <xdr:colOff>1420053</xdr:colOff>
      <xdr:row>16</xdr:row>
      <xdr:rowOff>42241</xdr:rowOff>
    </xdr:from>
    <xdr:ext cx="666750" cy="236468"/>
    <xdr:sp macro="" textlink="">
      <xdr:nvSpPr>
        <xdr:cNvPr id="66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589C544D-E718-43DC-A832-4DCB99433AA4}"/>
            </a:ext>
          </a:extLst>
        </xdr:cNvPr>
        <xdr:cNvSpPr/>
      </xdr:nvSpPr>
      <xdr:spPr bwMode="auto">
        <a:xfrm>
          <a:off x="5077653" y="548101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112644</xdr:colOff>
      <xdr:row>17</xdr:row>
      <xdr:rowOff>18636</xdr:rowOff>
    </xdr:from>
    <xdr:ext cx="676275" cy="236468"/>
    <xdr:sp macro="" textlink="">
      <xdr:nvSpPr>
        <xdr:cNvPr id="67" name="Check Box 177" hidden="1">
          <a:extLst>
            <a:ext uri="{63B3BB69-23CF-44E3-9099-C40C66FF867C}">
              <a14:compatExt xmlns:a14="http://schemas.microsoft.com/office/drawing/2010/main" spid="_x0000_s21681"/>
            </a:ext>
            <a:ext uri="{FF2B5EF4-FFF2-40B4-BE49-F238E27FC236}">
              <a16:creationId xmlns:a16="http://schemas.microsoft.com/office/drawing/2014/main" id="{DE8E01FD-D9A6-4B85-9445-EA72C8B9B51C}"/>
            </a:ext>
          </a:extLst>
        </xdr:cNvPr>
        <xdr:cNvSpPr/>
      </xdr:nvSpPr>
      <xdr:spPr bwMode="auto">
        <a:xfrm>
          <a:off x="4903719" y="5914611"/>
          <a:ext cx="676275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예</a:t>
          </a:r>
        </a:p>
      </xdr:txBody>
    </xdr:sp>
    <xdr:clientData/>
  </xdr:oneCellAnchor>
  <xdr:oneCellAnchor>
    <xdr:from>
      <xdr:col>7</xdr:col>
      <xdr:colOff>1420053</xdr:colOff>
      <xdr:row>17</xdr:row>
      <xdr:rowOff>42241</xdr:rowOff>
    </xdr:from>
    <xdr:ext cx="666750" cy="236468"/>
    <xdr:sp macro="" textlink="">
      <xdr:nvSpPr>
        <xdr:cNvPr id="68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895FD733-79E1-4469-851C-43945CA8B2D7}"/>
            </a:ext>
          </a:extLst>
        </xdr:cNvPr>
        <xdr:cNvSpPr/>
      </xdr:nvSpPr>
      <xdr:spPr bwMode="auto">
        <a:xfrm>
          <a:off x="5077653" y="593821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112644</xdr:colOff>
      <xdr:row>18</xdr:row>
      <xdr:rowOff>18636</xdr:rowOff>
    </xdr:from>
    <xdr:ext cx="676275" cy="236468"/>
    <xdr:sp macro="" textlink="">
      <xdr:nvSpPr>
        <xdr:cNvPr id="69" name="Check Box 177" hidden="1">
          <a:extLst>
            <a:ext uri="{63B3BB69-23CF-44E3-9099-C40C66FF867C}">
              <a14:compatExt xmlns:a14="http://schemas.microsoft.com/office/drawing/2010/main" spid="_x0000_s21681"/>
            </a:ext>
            <a:ext uri="{FF2B5EF4-FFF2-40B4-BE49-F238E27FC236}">
              <a16:creationId xmlns:a16="http://schemas.microsoft.com/office/drawing/2014/main" id="{C0901BF3-B823-4E56-8CEE-2A5FD2A34D49}"/>
            </a:ext>
          </a:extLst>
        </xdr:cNvPr>
        <xdr:cNvSpPr/>
      </xdr:nvSpPr>
      <xdr:spPr bwMode="auto">
        <a:xfrm>
          <a:off x="4903719" y="6209886"/>
          <a:ext cx="676275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예</a:t>
          </a:r>
        </a:p>
      </xdr:txBody>
    </xdr:sp>
    <xdr:clientData/>
  </xdr:oneCellAnchor>
  <xdr:oneCellAnchor>
    <xdr:from>
      <xdr:col>7</xdr:col>
      <xdr:colOff>1420053</xdr:colOff>
      <xdr:row>18</xdr:row>
      <xdr:rowOff>42241</xdr:rowOff>
    </xdr:from>
    <xdr:ext cx="666750" cy="236468"/>
    <xdr:sp macro="" textlink="">
      <xdr:nvSpPr>
        <xdr:cNvPr id="70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19D396D9-4CA9-4FB0-8EE2-4B0F422A2125}"/>
            </a:ext>
          </a:extLst>
        </xdr:cNvPr>
        <xdr:cNvSpPr/>
      </xdr:nvSpPr>
      <xdr:spPr bwMode="auto">
        <a:xfrm>
          <a:off x="5077653" y="623349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31</xdr:row>
      <xdr:rowOff>42241</xdr:rowOff>
    </xdr:from>
    <xdr:ext cx="666750" cy="236468"/>
    <xdr:sp macro="" textlink="">
      <xdr:nvSpPr>
        <xdr:cNvPr id="71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EFABB368-ABDF-4782-A7B6-B7BB7B355EEC}"/>
            </a:ext>
          </a:extLst>
        </xdr:cNvPr>
        <xdr:cNvSpPr/>
      </xdr:nvSpPr>
      <xdr:spPr bwMode="auto">
        <a:xfrm>
          <a:off x="4791075" y="1119601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31</xdr:row>
      <xdr:rowOff>42241</xdr:rowOff>
    </xdr:from>
    <xdr:ext cx="666750" cy="236468"/>
    <xdr:sp macro="" textlink="">
      <xdr:nvSpPr>
        <xdr:cNvPr id="72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4D2F35EF-7761-4528-949F-863B495981BD}"/>
            </a:ext>
          </a:extLst>
        </xdr:cNvPr>
        <xdr:cNvSpPr/>
      </xdr:nvSpPr>
      <xdr:spPr bwMode="auto">
        <a:xfrm>
          <a:off x="5077653" y="1119601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31</xdr:row>
      <xdr:rowOff>42241</xdr:rowOff>
    </xdr:from>
    <xdr:ext cx="666750" cy="236468"/>
    <xdr:sp macro="" textlink="">
      <xdr:nvSpPr>
        <xdr:cNvPr id="73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6D480B24-B1B5-4249-B909-3421E28A4BCB}"/>
            </a:ext>
          </a:extLst>
        </xdr:cNvPr>
        <xdr:cNvSpPr/>
      </xdr:nvSpPr>
      <xdr:spPr bwMode="auto">
        <a:xfrm>
          <a:off x="4791075" y="1119601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31</xdr:row>
      <xdr:rowOff>42241</xdr:rowOff>
    </xdr:from>
    <xdr:ext cx="666750" cy="236468"/>
    <xdr:sp macro="" textlink="">
      <xdr:nvSpPr>
        <xdr:cNvPr id="74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FD6CBF2B-9C71-4B4C-AA49-1AC6B3077959}"/>
            </a:ext>
          </a:extLst>
        </xdr:cNvPr>
        <xdr:cNvSpPr/>
      </xdr:nvSpPr>
      <xdr:spPr bwMode="auto">
        <a:xfrm>
          <a:off x="5077653" y="1119601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112644</xdr:colOff>
      <xdr:row>31</xdr:row>
      <xdr:rowOff>18636</xdr:rowOff>
    </xdr:from>
    <xdr:ext cx="676275" cy="236468"/>
    <xdr:sp macro="" textlink="">
      <xdr:nvSpPr>
        <xdr:cNvPr id="75" name="Check Box 177" hidden="1">
          <a:extLst>
            <a:ext uri="{63B3BB69-23CF-44E3-9099-C40C66FF867C}">
              <a14:compatExt xmlns:a14="http://schemas.microsoft.com/office/drawing/2010/main" spid="_x0000_s21681"/>
            </a:ext>
            <a:ext uri="{FF2B5EF4-FFF2-40B4-BE49-F238E27FC236}">
              <a16:creationId xmlns:a16="http://schemas.microsoft.com/office/drawing/2014/main" id="{B48EF277-A577-475E-8E14-10428738A868}"/>
            </a:ext>
          </a:extLst>
        </xdr:cNvPr>
        <xdr:cNvSpPr/>
      </xdr:nvSpPr>
      <xdr:spPr bwMode="auto">
        <a:xfrm>
          <a:off x="4903719" y="11172411"/>
          <a:ext cx="676275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예</a:t>
          </a:r>
        </a:p>
      </xdr:txBody>
    </xdr:sp>
    <xdr:clientData/>
  </xdr:oneCellAnchor>
  <xdr:oneCellAnchor>
    <xdr:from>
      <xdr:col>7</xdr:col>
      <xdr:colOff>1420053</xdr:colOff>
      <xdr:row>31</xdr:row>
      <xdr:rowOff>42241</xdr:rowOff>
    </xdr:from>
    <xdr:ext cx="666750" cy="236468"/>
    <xdr:sp macro="" textlink="">
      <xdr:nvSpPr>
        <xdr:cNvPr id="76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A720EE9B-78F6-4642-B416-4FF80662F9E9}"/>
            </a:ext>
          </a:extLst>
        </xdr:cNvPr>
        <xdr:cNvSpPr/>
      </xdr:nvSpPr>
      <xdr:spPr bwMode="auto">
        <a:xfrm>
          <a:off x="5077653" y="1119601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32</xdr:row>
      <xdr:rowOff>42241</xdr:rowOff>
    </xdr:from>
    <xdr:ext cx="666750" cy="236468"/>
    <xdr:sp macro="" textlink="">
      <xdr:nvSpPr>
        <xdr:cNvPr id="77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A1D169C2-5D60-41A5-9011-F3D57990D478}"/>
            </a:ext>
          </a:extLst>
        </xdr:cNvPr>
        <xdr:cNvSpPr/>
      </xdr:nvSpPr>
      <xdr:spPr bwMode="auto">
        <a:xfrm>
          <a:off x="4791075" y="1169131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32</xdr:row>
      <xdr:rowOff>42241</xdr:rowOff>
    </xdr:from>
    <xdr:ext cx="666750" cy="236468"/>
    <xdr:sp macro="" textlink="">
      <xdr:nvSpPr>
        <xdr:cNvPr id="78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76CDBBB2-9BF1-42C9-8F28-C9D958F36BE4}"/>
            </a:ext>
          </a:extLst>
        </xdr:cNvPr>
        <xdr:cNvSpPr/>
      </xdr:nvSpPr>
      <xdr:spPr bwMode="auto">
        <a:xfrm>
          <a:off x="5077653" y="1169131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32</xdr:row>
      <xdr:rowOff>42241</xdr:rowOff>
    </xdr:from>
    <xdr:ext cx="666750" cy="236468"/>
    <xdr:sp macro="" textlink="">
      <xdr:nvSpPr>
        <xdr:cNvPr id="79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C966B9E1-AA8F-48BB-B4CF-DB6C13DD265A}"/>
            </a:ext>
          </a:extLst>
        </xdr:cNvPr>
        <xdr:cNvSpPr/>
      </xdr:nvSpPr>
      <xdr:spPr bwMode="auto">
        <a:xfrm>
          <a:off x="4791075" y="1169131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32</xdr:row>
      <xdr:rowOff>42241</xdr:rowOff>
    </xdr:from>
    <xdr:ext cx="666750" cy="236468"/>
    <xdr:sp macro="" textlink="">
      <xdr:nvSpPr>
        <xdr:cNvPr id="80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F1C84950-833C-4532-A795-840011F96F08}"/>
            </a:ext>
          </a:extLst>
        </xdr:cNvPr>
        <xdr:cNvSpPr/>
      </xdr:nvSpPr>
      <xdr:spPr bwMode="auto">
        <a:xfrm>
          <a:off x="5077653" y="1169131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112644</xdr:colOff>
      <xdr:row>32</xdr:row>
      <xdr:rowOff>18636</xdr:rowOff>
    </xdr:from>
    <xdr:ext cx="676275" cy="236468"/>
    <xdr:sp macro="" textlink="">
      <xdr:nvSpPr>
        <xdr:cNvPr id="81" name="Check Box 177" hidden="1">
          <a:extLst>
            <a:ext uri="{63B3BB69-23CF-44E3-9099-C40C66FF867C}">
              <a14:compatExt xmlns:a14="http://schemas.microsoft.com/office/drawing/2010/main" spid="_x0000_s21681"/>
            </a:ext>
            <a:ext uri="{FF2B5EF4-FFF2-40B4-BE49-F238E27FC236}">
              <a16:creationId xmlns:a16="http://schemas.microsoft.com/office/drawing/2014/main" id="{257AF832-8445-4F28-A030-D078B54DB29B}"/>
            </a:ext>
          </a:extLst>
        </xdr:cNvPr>
        <xdr:cNvSpPr/>
      </xdr:nvSpPr>
      <xdr:spPr bwMode="auto">
        <a:xfrm>
          <a:off x="4903719" y="11667711"/>
          <a:ext cx="676275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예</a:t>
          </a:r>
        </a:p>
      </xdr:txBody>
    </xdr:sp>
    <xdr:clientData/>
  </xdr:oneCellAnchor>
  <xdr:oneCellAnchor>
    <xdr:from>
      <xdr:col>7</xdr:col>
      <xdr:colOff>1420053</xdr:colOff>
      <xdr:row>32</xdr:row>
      <xdr:rowOff>42241</xdr:rowOff>
    </xdr:from>
    <xdr:ext cx="666750" cy="236468"/>
    <xdr:sp macro="" textlink="">
      <xdr:nvSpPr>
        <xdr:cNvPr id="82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12FFB06F-A832-45D5-88B7-952197D77B29}"/>
            </a:ext>
          </a:extLst>
        </xdr:cNvPr>
        <xdr:cNvSpPr/>
      </xdr:nvSpPr>
      <xdr:spPr bwMode="auto">
        <a:xfrm>
          <a:off x="5077653" y="1169131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46</xdr:row>
      <xdr:rowOff>42241</xdr:rowOff>
    </xdr:from>
    <xdr:ext cx="666750" cy="236468"/>
    <xdr:sp macro="" textlink="">
      <xdr:nvSpPr>
        <xdr:cNvPr id="83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70818B70-4E57-4B58-AB49-DCBB982BC54A}"/>
            </a:ext>
          </a:extLst>
        </xdr:cNvPr>
        <xdr:cNvSpPr/>
      </xdr:nvSpPr>
      <xdr:spPr bwMode="auto">
        <a:xfrm>
          <a:off x="4791075" y="1699674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46</xdr:row>
      <xdr:rowOff>42241</xdr:rowOff>
    </xdr:from>
    <xdr:ext cx="666750" cy="236468"/>
    <xdr:sp macro="" textlink="">
      <xdr:nvSpPr>
        <xdr:cNvPr id="84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ED433BD0-46FD-4E08-AB1E-4D05A7BB458E}"/>
            </a:ext>
          </a:extLst>
        </xdr:cNvPr>
        <xdr:cNvSpPr/>
      </xdr:nvSpPr>
      <xdr:spPr bwMode="auto">
        <a:xfrm>
          <a:off x="5077653" y="1699674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46</xdr:row>
      <xdr:rowOff>42241</xdr:rowOff>
    </xdr:from>
    <xdr:ext cx="666750" cy="236468"/>
    <xdr:sp macro="" textlink="">
      <xdr:nvSpPr>
        <xdr:cNvPr id="85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E850A4B7-049E-4985-9343-FBA53D72A7E1}"/>
            </a:ext>
          </a:extLst>
        </xdr:cNvPr>
        <xdr:cNvSpPr/>
      </xdr:nvSpPr>
      <xdr:spPr bwMode="auto">
        <a:xfrm>
          <a:off x="4791075" y="1699674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46</xdr:row>
      <xdr:rowOff>42241</xdr:rowOff>
    </xdr:from>
    <xdr:ext cx="666750" cy="236468"/>
    <xdr:sp macro="" textlink="">
      <xdr:nvSpPr>
        <xdr:cNvPr id="86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DA7CE633-2AD0-46F8-9A73-16134C4FEC55}"/>
            </a:ext>
          </a:extLst>
        </xdr:cNvPr>
        <xdr:cNvSpPr/>
      </xdr:nvSpPr>
      <xdr:spPr bwMode="auto">
        <a:xfrm>
          <a:off x="5077653" y="1699674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112644</xdr:colOff>
      <xdr:row>46</xdr:row>
      <xdr:rowOff>18636</xdr:rowOff>
    </xdr:from>
    <xdr:ext cx="676275" cy="236468"/>
    <xdr:sp macro="" textlink="">
      <xdr:nvSpPr>
        <xdr:cNvPr id="87" name="Check Box 177" hidden="1">
          <a:extLst>
            <a:ext uri="{63B3BB69-23CF-44E3-9099-C40C66FF867C}">
              <a14:compatExt xmlns:a14="http://schemas.microsoft.com/office/drawing/2010/main" spid="_x0000_s21681"/>
            </a:ext>
            <a:ext uri="{FF2B5EF4-FFF2-40B4-BE49-F238E27FC236}">
              <a16:creationId xmlns:a16="http://schemas.microsoft.com/office/drawing/2014/main" id="{BDCE872E-2A15-450C-990F-05E0930A1BAC}"/>
            </a:ext>
          </a:extLst>
        </xdr:cNvPr>
        <xdr:cNvSpPr/>
      </xdr:nvSpPr>
      <xdr:spPr bwMode="auto">
        <a:xfrm>
          <a:off x="4903719" y="16973136"/>
          <a:ext cx="676275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예</a:t>
          </a:r>
        </a:p>
      </xdr:txBody>
    </xdr:sp>
    <xdr:clientData/>
  </xdr:oneCellAnchor>
  <xdr:oneCellAnchor>
    <xdr:from>
      <xdr:col>7</xdr:col>
      <xdr:colOff>1420053</xdr:colOff>
      <xdr:row>46</xdr:row>
      <xdr:rowOff>42241</xdr:rowOff>
    </xdr:from>
    <xdr:ext cx="666750" cy="236468"/>
    <xdr:sp macro="" textlink="">
      <xdr:nvSpPr>
        <xdr:cNvPr id="88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3BF1AE10-9C22-4FE6-91CF-B94ACE71D13B}"/>
            </a:ext>
          </a:extLst>
        </xdr:cNvPr>
        <xdr:cNvSpPr/>
      </xdr:nvSpPr>
      <xdr:spPr bwMode="auto">
        <a:xfrm>
          <a:off x="5077653" y="1699674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48</xdr:row>
      <xdr:rowOff>42241</xdr:rowOff>
    </xdr:from>
    <xdr:ext cx="666750" cy="236468"/>
    <xdr:sp macro="" textlink="">
      <xdr:nvSpPr>
        <xdr:cNvPr id="89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A32C1C9E-145E-46E0-AE78-2CCD0503ADBF}"/>
            </a:ext>
          </a:extLst>
        </xdr:cNvPr>
        <xdr:cNvSpPr/>
      </xdr:nvSpPr>
      <xdr:spPr bwMode="auto">
        <a:xfrm>
          <a:off x="4791075" y="1803496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48</xdr:row>
      <xdr:rowOff>42241</xdr:rowOff>
    </xdr:from>
    <xdr:ext cx="666750" cy="236468"/>
    <xdr:sp macro="" textlink="">
      <xdr:nvSpPr>
        <xdr:cNvPr id="90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8688E015-CC11-4984-BE1B-881CFAAEEC59}"/>
            </a:ext>
          </a:extLst>
        </xdr:cNvPr>
        <xdr:cNvSpPr/>
      </xdr:nvSpPr>
      <xdr:spPr bwMode="auto">
        <a:xfrm>
          <a:off x="5077653" y="1803496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48</xdr:row>
      <xdr:rowOff>42241</xdr:rowOff>
    </xdr:from>
    <xdr:ext cx="666750" cy="236468"/>
    <xdr:sp macro="" textlink="">
      <xdr:nvSpPr>
        <xdr:cNvPr id="91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28A3E955-8196-4260-AC97-20D215455D96}"/>
            </a:ext>
          </a:extLst>
        </xdr:cNvPr>
        <xdr:cNvSpPr/>
      </xdr:nvSpPr>
      <xdr:spPr bwMode="auto">
        <a:xfrm>
          <a:off x="4791075" y="1803496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48</xdr:row>
      <xdr:rowOff>42241</xdr:rowOff>
    </xdr:from>
    <xdr:ext cx="666750" cy="236468"/>
    <xdr:sp macro="" textlink="">
      <xdr:nvSpPr>
        <xdr:cNvPr id="92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297A9707-ED29-4E47-A8E2-D80F3DC753BF}"/>
            </a:ext>
          </a:extLst>
        </xdr:cNvPr>
        <xdr:cNvSpPr/>
      </xdr:nvSpPr>
      <xdr:spPr bwMode="auto">
        <a:xfrm>
          <a:off x="5077653" y="1803496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112644</xdr:colOff>
      <xdr:row>48</xdr:row>
      <xdr:rowOff>18636</xdr:rowOff>
    </xdr:from>
    <xdr:ext cx="676275" cy="236468"/>
    <xdr:sp macro="" textlink="">
      <xdr:nvSpPr>
        <xdr:cNvPr id="93" name="Check Box 177" hidden="1">
          <a:extLst>
            <a:ext uri="{63B3BB69-23CF-44E3-9099-C40C66FF867C}">
              <a14:compatExt xmlns:a14="http://schemas.microsoft.com/office/drawing/2010/main" spid="_x0000_s21681"/>
            </a:ext>
            <a:ext uri="{FF2B5EF4-FFF2-40B4-BE49-F238E27FC236}">
              <a16:creationId xmlns:a16="http://schemas.microsoft.com/office/drawing/2014/main" id="{D267A67D-500F-4DDB-A9C1-FB69A7175936}"/>
            </a:ext>
          </a:extLst>
        </xdr:cNvPr>
        <xdr:cNvSpPr/>
      </xdr:nvSpPr>
      <xdr:spPr bwMode="auto">
        <a:xfrm>
          <a:off x="4903719" y="18011361"/>
          <a:ext cx="676275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예</a:t>
          </a:r>
        </a:p>
      </xdr:txBody>
    </xdr:sp>
    <xdr:clientData/>
  </xdr:oneCellAnchor>
  <xdr:oneCellAnchor>
    <xdr:from>
      <xdr:col>7</xdr:col>
      <xdr:colOff>1420053</xdr:colOff>
      <xdr:row>48</xdr:row>
      <xdr:rowOff>42241</xdr:rowOff>
    </xdr:from>
    <xdr:ext cx="666750" cy="236468"/>
    <xdr:sp macro="" textlink="">
      <xdr:nvSpPr>
        <xdr:cNvPr id="94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EE679FB1-9401-4E44-BCD0-9365AC45EC27}"/>
            </a:ext>
          </a:extLst>
        </xdr:cNvPr>
        <xdr:cNvSpPr/>
      </xdr:nvSpPr>
      <xdr:spPr bwMode="auto">
        <a:xfrm>
          <a:off x="5077653" y="1803496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117</xdr:row>
      <xdr:rowOff>42241</xdr:rowOff>
    </xdr:from>
    <xdr:ext cx="666750" cy="236468"/>
    <xdr:sp macro="" textlink="">
      <xdr:nvSpPr>
        <xdr:cNvPr id="95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BB850E0E-E43A-47F1-9714-FEAB65DAEB57}"/>
            </a:ext>
          </a:extLst>
        </xdr:cNvPr>
        <xdr:cNvSpPr/>
      </xdr:nvSpPr>
      <xdr:spPr bwMode="auto">
        <a:xfrm>
          <a:off x="4791075" y="4134264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117</xdr:row>
      <xdr:rowOff>42241</xdr:rowOff>
    </xdr:from>
    <xdr:ext cx="666750" cy="236468"/>
    <xdr:sp macro="" textlink="">
      <xdr:nvSpPr>
        <xdr:cNvPr id="96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5463B101-8673-4E54-9F10-92F6E988D5A5}"/>
            </a:ext>
          </a:extLst>
        </xdr:cNvPr>
        <xdr:cNvSpPr/>
      </xdr:nvSpPr>
      <xdr:spPr bwMode="auto">
        <a:xfrm>
          <a:off x="5077653" y="4134264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117</xdr:row>
      <xdr:rowOff>42241</xdr:rowOff>
    </xdr:from>
    <xdr:ext cx="666750" cy="236468"/>
    <xdr:sp macro="" textlink="">
      <xdr:nvSpPr>
        <xdr:cNvPr id="97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F14A0F25-E38E-4256-AEDF-BA3089A55459}"/>
            </a:ext>
          </a:extLst>
        </xdr:cNvPr>
        <xdr:cNvSpPr/>
      </xdr:nvSpPr>
      <xdr:spPr bwMode="auto">
        <a:xfrm>
          <a:off x="4791075" y="4134264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117</xdr:row>
      <xdr:rowOff>42241</xdr:rowOff>
    </xdr:from>
    <xdr:ext cx="666750" cy="236468"/>
    <xdr:sp macro="" textlink="">
      <xdr:nvSpPr>
        <xdr:cNvPr id="98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1C6C78C0-ECD1-4C20-BF98-CF6D9FFB3474}"/>
            </a:ext>
          </a:extLst>
        </xdr:cNvPr>
        <xdr:cNvSpPr/>
      </xdr:nvSpPr>
      <xdr:spPr bwMode="auto">
        <a:xfrm>
          <a:off x="5077653" y="4134264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112644</xdr:colOff>
      <xdr:row>117</xdr:row>
      <xdr:rowOff>18636</xdr:rowOff>
    </xdr:from>
    <xdr:ext cx="676275" cy="236468"/>
    <xdr:sp macro="" textlink="">
      <xdr:nvSpPr>
        <xdr:cNvPr id="99" name="Check Box 177" hidden="1">
          <a:extLst>
            <a:ext uri="{63B3BB69-23CF-44E3-9099-C40C66FF867C}">
              <a14:compatExt xmlns:a14="http://schemas.microsoft.com/office/drawing/2010/main" spid="_x0000_s21681"/>
            </a:ext>
            <a:ext uri="{FF2B5EF4-FFF2-40B4-BE49-F238E27FC236}">
              <a16:creationId xmlns:a16="http://schemas.microsoft.com/office/drawing/2014/main" id="{191E9FDE-9976-4882-A14B-7BED2F127354}"/>
            </a:ext>
          </a:extLst>
        </xdr:cNvPr>
        <xdr:cNvSpPr/>
      </xdr:nvSpPr>
      <xdr:spPr bwMode="auto">
        <a:xfrm>
          <a:off x="4903719" y="41319036"/>
          <a:ext cx="676275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예</a:t>
          </a:r>
        </a:p>
      </xdr:txBody>
    </xdr:sp>
    <xdr:clientData/>
  </xdr:oneCellAnchor>
  <xdr:oneCellAnchor>
    <xdr:from>
      <xdr:col>7</xdr:col>
      <xdr:colOff>1420053</xdr:colOff>
      <xdr:row>117</xdr:row>
      <xdr:rowOff>42241</xdr:rowOff>
    </xdr:from>
    <xdr:ext cx="666750" cy="236468"/>
    <xdr:sp macro="" textlink="">
      <xdr:nvSpPr>
        <xdr:cNvPr id="100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1E4B371D-683E-419C-9F6F-C70EC283E624}"/>
            </a:ext>
          </a:extLst>
        </xdr:cNvPr>
        <xdr:cNvSpPr/>
      </xdr:nvSpPr>
      <xdr:spPr bwMode="auto">
        <a:xfrm>
          <a:off x="5077653" y="4134264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130</xdr:row>
      <xdr:rowOff>42241</xdr:rowOff>
    </xdr:from>
    <xdr:ext cx="666750" cy="236468"/>
    <xdr:sp macro="" textlink="">
      <xdr:nvSpPr>
        <xdr:cNvPr id="101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85F6878E-1C16-42F5-A6BC-C345E364C75A}"/>
            </a:ext>
          </a:extLst>
        </xdr:cNvPr>
        <xdr:cNvSpPr/>
      </xdr:nvSpPr>
      <xdr:spPr bwMode="auto">
        <a:xfrm>
          <a:off x="4791075" y="4537171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130</xdr:row>
      <xdr:rowOff>42241</xdr:rowOff>
    </xdr:from>
    <xdr:ext cx="666750" cy="236468"/>
    <xdr:sp macro="" textlink="">
      <xdr:nvSpPr>
        <xdr:cNvPr id="102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CDEAF871-3874-4D1B-9068-65A20FAC50D0}"/>
            </a:ext>
          </a:extLst>
        </xdr:cNvPr>
        <xdr:cNvSpPr/>
      </xdr:nvSpPr>
      <xdr:spPr bwMode="auto">
        <a:xfrm>
          <a:off x="5077653" y="4537171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130</xdr:row>
      <xdr:rowOff>42241</xdr:rowOff>
    </xdr:from>
    <xdr:ext cx="666750" cy="236468"/>
    <xdr:sp macro="" textlink="">
      <xdr:nvSpPr>
        <xdr:cNvPr id="103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8B91E58D-6CE4-4750-AA6C-FB86B5E85677}"/>
            </a:ext>
          </a:extLst>
        </xdr:cNvPr>
        <xdr:cNvSpPr/>
      </xdr:nvSpPr>
      <xdr:spPr bwMode="auto">
        <a:xfrm>
          <a:off x="4791075" y="4537171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130</xdr:row>
      <xdr:rowOff>42241</xdr:rowOff>
    </xdr:from>
    <xdr:ext cx="666750" cy="236468"/>
    <xdr:sp macro="" textlink="">
      <xdr:nvSpPr>
        <xdr:cNvPr id="104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67E1BBD5-E051-44B1-8731-1B4104AEC36B}"/>
            </a:ext>
          </a:extLst>
        </xdr:cNvPr>
        <xdr:cNvSpPr/>
      </xdr:nvSpPr>
      <xdr:spPr bwMode="auto">
        <a:xfrm>
          <a:off x="5077653" y="4537171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112644</xdr:colOff>
      <xdr:row>130</xdr:row>
      <xdr:rowOff>18636</xdr:rowOff>
    </xdr:from>
    <xdr:ext cx="676275" cy="236468"/>
    <xdr:sp macro="" textlink="">
      <xdr:nvSpPr>
        <xdr:cNvPr id="105" name="Check Box 177" hidden="1">
          <a:extLst>
            <a:ext uri="{63B3BB69-23CF-44E3-9099-C40C66FF867C}">
              <a14:compatExt xmlns:a14="http://schemas.microsoft.com/office/drawing/2010/main" spid="_x0000_s21681"/>
            </a:ext>
            <a:ext uri="{FF2B5EF4-FFF2-40B4-BE49-F238E27FC236}">
              <a16:creationId xmlns:a16="http://schemas.microsoft.com/office/drawing/2014/main" id="{35A53E27-75BC-4176-8B68-3E7F7C4B8BCD}"/>
            </a:ext>
          </a:extLst>
        </xdr:cNvPr>
        <xdr:cNvSpPr/>
      </xdr:nvSpPr>
      <xdr:spPr bwMode="auto">
        <a:xfrm>
          <a:off x="4903719" y="45348111"/>
          <a:ext cx="676275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예</a:t>
          </a:r>
        </a:p>
      </xdr:txBody>
    </xdr:sp>
    <xdr:clientData/>
  </xdr:oneCellAnchor>
  <xdr:oneCellAnchor>
    <xdr:from>
      <xdr:col>7</xdr:col>
      <xdr:colOff>1420053</xdr:colOff>
      <xdr:row>130</xdr:row>
      <xdr:rowOff>42241</xdr:rowOff>
    </xdr:from>
    <xdr:ext cx="666750" cy="236468"/>
    <xdr:sp macro="" textlink="">
      <xdr:nvSpPr>
        <xdr:cNvPr id="106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E61A6054-A5E5-4401-8DB2-7751F23795C4}"/>
            </a:ext>
          </a:extLst>
        </xdr:cNvPr>
        <xdr:cNvSpPr/>
      </xdr:nvSpPr>
      <xdr:spPr bwMode="auto">
        <a:xfrm>
          <a:off x="5077653" y="4537171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132</xdr:row>
      <xdr:rowOff>42241</xdr:rowOff>
    </xdr:from>
    <xdr:ext cx="666750" cy="236468"/>
    <xdr:sp macro="" textlink="">
      <xdr:nvSpPr>
        <xdr:cNvPr id="107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E4C9C92A-F8E8-41ED-8D5E-F56F7365DEAB}"/>
            </a:ext>
          </a:extLst>
        </xdr:cNvPr>
        <xdr:cNvSpPr/>
      </xdr:nvSpPr>
      <xdr:spPr bwMode="auto">
        <a:xfrm>
          <a:off x="4791075" y="4640041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132</xdr:row>
      <xdr:rowOff>42241</xdr:rowOff>
    </xdr:from>
    <xdr:ext cx="666750" cy="236468"/>
    <xdr:sp macro="" textlink="">
      <xdr:nvSpPr>
        <xdr:cNvPr id="108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60586B92-5BBF-4B0D-97E6-8C4F9198E175}"/>
            </a:ext>
          </a:extLst>
        </xdr:cNvPr>
        <xdr:cNvSpPr/>
      </xdr:nvSpPr>
      <xdr:spPr bwMode="auto">
        <a:xfrm>
          <a:off x="5077653" y="4640041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132</xdr:row>
      <xdr:rowOff>42241</xdr:rowOff>
    </xdr:from>
    <xdr:ext cx="666750" cy="236468"/>
    <xdr:sp macro="" textlink="">
      <xdr:nvSpPr>
        <xdr:cNvPr id="109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8098CD0E-C518-434D-9AA1-6927C2EB1CBD}"/>
            </a:ext>
          </a:extLst>
        </xdr:cNvPr>
        <xdr:cNvSpPr/>
      </xdr:nvSpPr>
      <xdr:spPr bwMode="auto">
        <a:xfrm>
          <a:off x="4791075" y="4640041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132</xdr:row>
      <xdr:rowOff>42241</xdr:rowOff>
    </xdr:from>
    <xdr:ext cx="666750" cy="236468"/>
    <xdr:sp macro="" textlink="">
      <xdr:nvSpPr>
        <xdr:cNvPr id="110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897AEFFC-F2B3-4D10-BB3A-FB2C8E368541}"/>
            </a:ext>
          </a:extLst>
        </xdr:cNvPr>
        <xdr:cNvSpPr/>
      </xdr:nvSpPr>
      <xdr:spPr bwMode="auto">
        <a:xfrm>
          <a:off x="5077653" y="4640041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112644</xdr:colOff>
      <xdr:row>132</xdr:row>
      <xdr:rowOff>18636</xdr:rowOff>
    </xdr:from>
    <xdr:ext cx="676275" cy="236468"/>
    <xdr:sp macro="" textlink="">
      <xdr:nvSpPr>
        <xdr:cNvPr id="111" name="Check Box 177" hidden="1">
          <a:extLst>
            <a:ext uri="{63B3BB69-23CF-44E3-9099-C40C66FF867C}">
              <a14:compatExt xmlns:a14="http://schemas.microsoft.com/office/drawing/2010/main" spid="_x0000_s21681"/>
            </a:ext>
            <a:ext uri="{FF2B5EF4-FFF2-40B4-BE49-F238E27FC236}">
              <a16:creationId xmlns:a16="http://schemas.microsoft.com/office/drawing/2014/main" id="{3C927111-0310-4CC1-B44E-752C4FD8227B}"/>
            </a:ext>
          </a:extLst>
        </xdr:cNvPr>
        <xdr:cNvSpPr/>
      </xdr:nvSpPr>
      <xdr:spPr bwMode="auto">
        <a:xfrm>
          <a:off x="4903719" y="46376811"/>
          <a:ext cx="676275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예</a:t>
          </a:r>
        </a:p>
      </xdr:txBody>
    </xdr:sp>
    <xdr:clientData/>
  </xdr:oneCellAnchor>
  <xdr:oneCellAnchor>
    <xdr:from>
      <xdr:col>7</xdr:col>
      <xdr:colOff>1420053</xdr:colOff>
      <xdr:row>132</xdr:row>
      <xdr:rowOff>42241</xdr:rowOff>
    </xdr:from>
    <xdr:ext cx="666750" cy="236468"/>
    <xdr:sp macro="" textlink="">
      <xdr:nvSpPr>
        <xdr:cNvPr id="112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089E361F-2D18-4E94-8402-055EAAFA12A6}"/>
            </a:ext>
          </a:extLst>
        </xdr:cNvPr>
        <xdr:cNvSpPr/>
      </xdr:nvSpPr>
      <xdr:spPr bwMode="auto">
        <a:xfrm>
          <a:off x="5077653" y="4640041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133</xdr:row>
      <xdr:rowOff>42241</xdr:rowOff>
    </xdr:from>
    <xdr:ext cx="666750" cy="236468"/>
    <xdr:sp macro="" textlink="">
      <xdr:nvSpPr>
        <xdr:cNvPr id="113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89E119F4-6A98-4FB1-B185-A5DFACD6D0DA}"/>
            </a:ext>
          </a:extLst>
        </xdr:cNvPr>
        <xdr:cNvSpPr/>
      </xdr:nvSpPr>
      <xdr:spPr bwMode="auto">
        <a:xfrm>
          <a:off x="4791075" y="4690524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133</xdr:row>
      <xdr:rowOff>42241</xdr:rowOff>
    </xdr:from>
    <xdr:ext cx="666750" cy="236468"/>
    <xdr:sp macro="" textlink="">
      <xdr:nvSpPr>
        <xdr:cNvPr id="114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66493BFA-6D7D-47FB-AC4A-CC9CF56C3A61}"/>
            </a:ext>
          </a:extLst>
        </xdr:cNvPr>
        <xdr:cNvSpPr/>
      </xdr:nvSpPr>
      <xdr:spPr bwMode="auto">
        <a:xfrm>
          <a:off x="5077653" y="4690524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133</xdr:row>
      <xdr:rowOff>42241</xdr:rowOff>
    </xdr:from>
    <xdr:ext cx="666750" cy="236468"/>
    <xdr:sp macro="" textlink="">
      <xdr:nvSpPr>
        <xdr:cNvPr id="115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AC7C2A0E-E4E9-4AC6-9449-0958FA0EA862}"/>
            </a:ext>
          </a:extLst>
        </xdr:cNvPr>
        <xdr:cNvSpPr/>
      </xdr:nvSpPr>
      <xdr:spPr bwMode="auto">
        <a:xfrm>
          <a:off x="4791075" y="4690524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133</xdr:row>
      <xdr:rowOff>42241</xdr:rowOff>
    </xdr:from>
    <xdr:ext cx="666750" cy="236468"/>
    <xdr:sp macro="" textlink="">
      <xdr:nvSpPr>
        <xdr:cNvPr id="116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ED903B07-BF96-4A1E-AD91-1338F9D8472E}"/>
            </a:ext>
          </a:extLst>
        </xdr:cNvPr>
        <xdr:cNvSpPr/>
      </xdr:nvSpPr>
      <xdr:spPr bwMode="auto">
        <a:xfrm>
          <a:off x="5077653" y="4690524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112644</xdr:colOff>
      <xdr:row>133</xdr:row>
      <xdr:rowOff>18636</xdr:rowOff>
    </xdr:from>
    <xdr:ext cx="676275" cy="236468"/>
    <xdr:sp macro="" textlink="">
      <xdr:nvSpPr>
        <xdr:cNvPr id="117" name="Check Box 177" hidden="1">
          <a:extLst>
            <a:ext uri="{63B3BB69-23CF-44E3-9099-C40C66FF867C}">
              <a14:compatExt xmlns:a14="http://schemas.microsoft.com/office/drawing/2010/main" spid="_x0000_s21681"/>
            </a:ext>
            <a:ext uri="{FF2B5EF4-FFF2-40B4-BE49-F238E27FC236}">
              <a16:creationId xmlns:a16="http://schemas.microsoft.com/office/drawing/2014/main" id="{98839BE5-EEEA-4AF7-8554-7D203D2ABDFF}"/>
            </a:ext>
          </a:extLst>
        </xdr:cNvPr>
        <xdr:cNvSpPr/>
      </xdr:nvSpPr>
      <xdr:spPr bwMode="auto">
        <a:xfrm>
          <a:off x="4903719" y="46881636"/>
          <a:ext cx="676275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예</a:t>
          </a:r>
        </a:p>
      </xdr:txBody>
    </xdr:sp>
    <xdr:clientData/>
  </xdr:oneCellAnchor>
  <xdr:oneCellAnchor>
    <xdr:from>
      <xdr:col>7</xdr:col>
      <xdr:colOff>1420053</xdr:colOff>
      <xdr:row>133</xdr:row>
      <xdr:rowOff>42241</xdr:rowOff>
    </xdr:from>
    <xdr:ext cx="666750" cy="236468"/>
    <xdr:sp macro="" textlink="">
      <xdr:nvSpPr>
        <xdr:cNvPr id="118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62486D34-E029-43F9-B80C-E4B136CA47F3}"/>
            </a:ext>
          </a:extLst>
        </xdr:cNvPr>
        <xdr:cNvSpPr/>
      </xdr:nvSpPr>
      <xdr:spPr bwMode="auto">
        <a:xfrm>
          <a:off x="5077653" y="4690524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134</xdr:row>
      <xdr:rowOff>42241</xdr:rowOff>
    </xdr:from>
    <xdr:ext cx="666750" cy="236468"/>
    <xdr:sp macro="" textlink="">
      <xdr:nvSpPr>
        <xdr:cNvPr id="119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5219F288-BCF0-43E0-88E8-FEBBBDA97432}"/>
            </a:ext>
          </a:extLst>
        </xdr:cNvPr>
        <xdr:cNvSpPr/>
      </xdr:nvSpPr>
      <xdr:spPr bwMode="auto">
        <a:xfrm>
          <a:off x="4791075" y="4770534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134</xdr:row>
      <xdr:rowOff>42241</xdr:rowOff>
    </xdr:from>
    <xdr:ext cx="666750" cy="236468"/>
    <xdr:sp macro="" textlink="">
      <xdr:nvSpPr>
        <xdr:cNvPr id="120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DF060733-642C-4B4E-9548-A080BA9C49B2}"/>
            </a:ext>
          </a:extLst>
        </xdr:cNvPr>
        <xdr:cNvSpPr/>
      </xdr:nvSpPr>
      <xdr:spPr bwMode="auto">
        <a:xfrm>
          <a:off x="5077653" y="4770534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134</xdr:row>
      <xdr:rowOff>42241</xdr:rowOff>
    </xdr:from>
    <xdr:ext cx="666750" cy="236468"/>
    <xdr:sp macro="" textlink="">
      <xdr:nvSpPr>
        <xdr:cNvPr id="121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578EA21B-94BA-4BD8-8EA7-7D5A1F4C06AB}"/>
            </a:ext>
          </a:extLst>
        </xdr:cNvPr>
        <xdr:cNvSpPr/>
      </xdr:nvSpPr>
      <xdr:spPr bwMode="auto">
        <a:xfrm>
          <a:off x="4791075" y="4770534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134</xdr:row>
      <xdr:rowOff>42241</xdr:rowOff>
    </xdr:from>
    <xdr:ext cx="666750" cy="236468"/>
    <xdr:sp macro="" textlink="">
      <xdr:nvSpPr>
        <xdr:cNvPr id="122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EA511FCA-5928-4677-95E5-3EE76FDCD47E}"/>
            </a:ext>
          </a:extLst>
        </xdr:cNvPr>
        <xdr:cNvSpPr/>
      </xdr:nvSpPr>
      <xdr:spPr bwMode="auto">
        <a:xfrm>
          <a:off x="5077653" y="4770534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112644</xdr:colOff>
      <xdr:row>134</xdr:row>
      <xdr:rowOff>18636</xdr:rowOff>
    </xdr:from>
    <xdr:ext cx="676275" cy="236468"/>
    <xdr:sp macro="" textlink="">
      <xdr:nvSpPr>
        <xdr:cNvPr id="123" name="Check Box 177" hidden="1">
          <a:extLst>
            <a:ext uri="{63B3BB69-23CF-44E3-9099-C40C66FF867C}">
              <a14:compatExt xmlns:a14="http://schemas.microsoft.com/office/drawing/2010/main" spid="_x0000_s21681"/>
            </a:ext>
            <a:ext uri="{FF2B5EF4-FFF2-40B4-BE49-F238E27FC236}">
              <a16:creationId xmlns:a16="http://schemas.microsoft.com/office/drawing/2014/main" id="{A9D2AC90-7D1D-44A6-A69D-051DC9118637}"/>
            </a:ext>
          </a:extLst>
        </xdr:cNvPr>
        <xdr:cNvSpPr/>
      </xdr:nvSpPr>
      <xdr:spPr bwMode="auto">
        <a:xfrm>
          <a:off x="4903719" y="47681736"/>
          <a:ext cx="676275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예</a:t>
          </a:r>
        </a:p>
      </xdr:txBody>
    </xdr:sp>
    <xdr:clientData/>
  </xdr:oneCellAnchor>
  <xdr:oneCellAnchor>
    <xdr:from>
      <xdr:col>7</xdr:col>
      <xdr:colOff>1420053</xdr:colOff>
      <xdr:row>134</xdr:row>
      <xdr:rowOff>42241</xdr:rowOff>
    </xdr:from>
    <xdr:ext cx="666750" cy="236468"/>
    <xdr:sp macro="" textlink="">
      <xdr:nvSpPr>
        <xdr:cNvPr id="124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F4D6BA2C-F182-4364-B3CF-FE9AAAB39098}"/>
            </a:ext>
          </a:extLst>
        </xdr:cNvPr>
        <xdr:cNvSpPr/>
      </xdr:nvSpPr>
      <xdr:spPr bwMode="auto">
        <a:xfrm>
          <a:off x="5077653" y="4770534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135</xdr:row>
      <xdr:rowOff>42241</xdr:rowOff>
    </xdr:from>
    <xdr:ext cx="666750" cy="236468"/>
    <xdr:sp macro="" textlink="">
      <xdr:nvSpPr>
        <xdr:cNvPr id="125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B49BE42E-903B-4B78-A1EB-A0D41DB558C0}"/>
            </a:ext>
          </a:extLst>
        </xdr:cNvPr>
        <xdr:cNvSpPr/>
      </xdr:nvSpPr>
      <xdr:spPr bwMode="auto">
        <a:xfrm>
          <a:off x="4791075" y="4821016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135</xdr:row>
      <xdr:rowOff>42241</xdr:rowOff>
    </xdr:from>
    <xdr:ext cx="666750" cy="236468"/>
    <xdr:sp macro="" textlink="">
      <xdr:nvSpPr>
        <xdr:cNvPr id="126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9D9D3D31-8B4B-4E35-A4BC-463F72699153}"/>
            </a:ext>
          </a:extLst>
        </xdr:cNvPr>
        <xdr:cNvSpPr/>
      </xdr:nvSpPr>
      <xdr:spPr bwMode="auto">
        <a:xfrm>
          <a:off x="5077653" y="4821016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135</xdr:row>
      <xdr:rowOff>42241</xdr:rowOff>
    </xdr:from>
    <xdr:ext cx="666750" cy="236468"/>
    <xdr:sp macro="" textlink="">
      <xdr:nvSpPr>
        <xdr:cNvPr id="127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3F7280DB-0EDA-4678-B9A4-8402951D94D2}"/>
            </a:ext>
          </a:extLst>
        </xdr:cNvPr>
        <xdr:cNvSpPr/>
      </xdr:nvSpPr>
      <xdr:spPr bwMode="auto">
        <a:xfrm>
          <a:off x="4791075" y="4821016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135</xdr:row>
      <xdr:rowOff>42241</xdr:rowOff>
    </xdr:from>
    <xdr:ext cx="666750" cy="236468"/>
    <xdr:sp macro="" textlink="">
      <xdr:nvSpPr>
        <xdr:cNvPr id="128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16B5429C-C991-4620-A6DB-04A6B00C015B}"/>
            </a:ext>
          </a:extLst>
        </xdr:cNvPr>
        <xdr:cNvSpPr/>
      </xdr:nvSpPr>
      <xdr:spPr bwMode="auto">
        <a:xfrm>
          <a:off x="5077653" y="4821016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112644</xdr:colOff>
      <xdr:row>135</xdr:row>
      <xdr:rowOff>18636</xdr:rowOff>
    </xdr:from>
    <xdr:ext cx="676275" cy="236468"/>
    <xdr:sp macro="" textlink="">
      <xdr:nvSpPr>
        <xdr:cNvPr id="129" name="Check Box 177" hidden="1">
          <a:extLst>
            <a:ext uri="{63B3BB69-23CF-44E3-9099-C40C66FF867C}">
              <a14:compatExt xmlns:a14="http://schemas.microsoft.com/office/drawing/2010/main" spid="_x0000_s21681"/>
            </a:ext>
            <a:ext uri="{FF2B5EF4-FFF2-40B4-BE49-F238E27FC236}">
              <a16:creationId xmlns:a16="http://schemas.microsoft.com/office/drawing/2014/main" id="{CC780F07-2014-4532-AB6B-FB2922085518}"/>
            </a:ext>
          </a:extLst>
        </xdr:cNvPr>
        <xdr:cNvSpPr/>
      </xdr:nvSpPr>
      <xdr:spPr bwMode="auto">
        <a:xfrm>
          <a:off x="4903719" y="48186561"/>
          <a:ext cx="676275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예</a:t>
          </a:r>
        </a:p>
      </xdr:txBody>
    </xdr:sp>
    <xdr:clientData/>
  </xdr:oneCellAnchor>
  <xdr:oneCellAnchor>
    <xdr:from>
      <xdr:col>7</xdr:col>
      <xdr:colOff>1420053</xdr:colOff>
      <xdr:row>135</xdr:row>
      <xdr:rowOff>42241</xdr:rowOff>
    </xdr:from>
    <xdr:ext cx="666750" cy="236468"/>
    <xdr:sp macro="" textlink="">
      <xdr:nvSpPr>
        <xdr:cNvPr id="130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76072596-0F7C-4E17-B6A9-1D4FA8966024}"/>
            </a:ext>
          </a:extLst>
        </xdr:cNvPr>
        <xdr:cNvSpPr/>
      </xdr:nvSpPr>
      <xdr:spPr bwMode="auto">
        <a:xfrm>
          <a:off x="5077653" y="4821016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136</xdr:row>
      <xdr:rowOff>42241</xdr:rowOff>
    </xdr:from>
    <xdr:ext cx="666750" cy="236468"/>
    <xdr:sp macro="" textlink="">
      <xdr:nvSpPr>
        <xdr:cNvPr id="131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B5A5AF1C-D410-4324-A2EF-ABCC661C45F1}"/>
            </a:ext>
          </a:extLst>
        </xdr:cNvPr>
        <xdr:cNvSpPr/>
      </xdr:nvSpPr>
      <xdr:spPr bwMode="auto">
        <a:xfrm>
          <a:off x="4791075" y="4874356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136</xdr:row>
      <xdr:rowOff>42241</xdr:rowOff>
    </xdr:from>
    <xdr:ext cx="666750" cy="236468"/>
    <xdr:sp macro="" textlink="">
      <xdr:nvSpPr>
        <xdr:cNvPr id="132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8F5EB13B-2649-43E5-AD53-E9769266FD3B}"/>
            </a:ext>
          </a:extLst>
        </xdr:cNvPr>
        <xdr:cNvSpPr/>
      </xdr:nvSpPr>
      <xdr:spPr bwMode="auto">
        <a:xfrm>
          <a:off x="5077653" y="4874356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136</xdr:row>
      <xdr:rowOff>42241</xdr:rowOff>
    </xdr:from>
    <xdr:ext cx="666750" cy="236468"/>
    <xdr:sp macro="" textlink="">
      <xdr:nvSpPr>
        <xdr:cNvPr id="133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FEE21748-65CE-47FD-906C-8F21E1F42941}"/>
            </a:ext>
          </a:extLst>
        </xdr:cNvPr>
        <xdr:cNvSpPr/>
      </xdr:nvSpPr>
      <xdr:spPr bwMode="auto">
        <a:xfrm>
          <a:off x="4791075" y="4874356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136</xdr:row>
      <xdr:rowOff>42241</xdr:rowOff>
    </xdr:from>
    <xdr:ext cx="666750" cy="236468"/>
    <xdr:sp macro="" textlink="">
      <xdr:nvSpPr>
        <xdr:cNvPr id="134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D6D148E7-A69A-4A85-B0E4-38360A80F0C3}"/>
            </a:ext>
          </a:extLst>
        </xdr:cNvPr>
        <xdr:cNvSpPr/>
      </xdr:nvSpPr>
      <xdr:spPr bwMode="auto">
        <a:xfrm>
          <a:off x="5077653" y="4874356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112644</xdr:colOff>
      <xdr:row>136</xdr:row>
      <xdr:rowOff>18636</xdr:rowOff>
    </xdr:from>
    <xdr:ext cx="676275" cy="236468"/>
    <xdr:sp macro="" textlink="">
      <xdr:nvSpPr>
        <xdr:cNvPr id="135" name="Check Box 177" hidden="1">
          <a:extLst>
            <a:ext uri="{63B3BB69-23CF-44E3-9099-C40C66FF867C}">
              <a14:compatExt xmlns:a14="http://schemas.microsoft.com/office/drawing/2010/main" spid="_x0000_s21681"/>
            </a:ext>
            <a:ext uri="{FF2B5EF4-FFF2-40B4-BE49-F238E27FC236}">
              <a16:creationId xmlns:a16="http://schemas.microsoft.com/office/drawing/2014/main" id="{17B87665-D193-4FEC-8ECB-5DB30AA09478}"/>
            </a:ext>
          </a:extLst>
        </xdr:cNvPr>
        <xdr:cNvSpPr/>
      </xdr:nvSpPr>
      <xdr:spPr bwMode="auto">
        <a:xfrm>
          <a:off x="4903719" y="48719961"/>
          <a:ext cx="676275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예</a:t>
          </a:r>
        </a:p>
      </xdr:txBody>
    </xdr:sp>
    <xdr:clientData/>
  </xdr:oneCellAnchor>
  <xdr:oneCellAnchor>
    <xdr:from>
      <xdr:col>7</xdr:col>
      <xdr:colOff>1420053</xdr:colOff>
      <xdr:row>136</xdr:row>
      <xdr:rowOff>42241</xdr:rowOff>
    </xdr:from>
    <xdr:ext cx="666750" cy="236468"/>
    <xdr:sp macro="" textlink="">
      <xdr:nvSpPr>
        <xdr:cNvPr id="136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0B478C18-3504-4911-A71E-1184630E83C7}"/>
            </a:ext>
          </a:extLst>
        </xdr:cNvPr>
        <xdr:cNvSpPr/>
      </xdr:nvSpPr>
      <xdr:spPr bwMode="auto">
        <a:xfrm>
          <a:off x="5077653" y="4874356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137</xdr:row>
      <xdr:rowOff>42241</xdr:rowOff>
    </xdr:from>
    <xdr:ext cx="666750" cy="236468"/>
    <xdr:sp macro="" textlink="">
      <xdr:nvSpPr>
        <xdr:cNvPr id="137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E24D5757-8A22-472D-914C-6259504BF118}"/>
            </a:ext>
          </a:extLst>
        </xdr:cNvPr>
        <xdr:cNvSpPr/>
      </xdr:nvSpPr>
      <xdr:spPr bwMode="auto">
        <a:xfrm>
          <a:off x="4791075" y="4924839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137</xdr:row>
      <xdr:rowOff>42241</xdr:rowOff>
    </xdr:from>
    <xdr:ext cx="666750" cy="236468"/>
    <xdr:sp macro="" textlink="">
      <xdr:nvSpPr>
        <xdr:cNvPr id="138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D6EF2466-B550-4660-A866-C4C829B0E1C6}"/>
            </a:ext>
          </a:extLst>
        </xdr:cNvPr>
        <xdr:cNvSpPr/>
      </xdr:nvSpPr>
      <xdr:spPr bwMode="auto">
        <a:xfrm>
          <a:off x="5077653" y="4924839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137</xdr:row>
      <xdr:rowOff>42241</xdr:rowOff>
    </xdr:from>
    <xdr:ext cx="666750" cy="236468"/>
    <xdr:sp macro="" textlink="">
      <xdr:nvSpPr>
        <xdr:cNvPr id="139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5AB17047-09E9-4C28-AE8B-A57B9ADDDAD1}"/>
            </a:ext>
          </a:extLst>
        </xdr:cNvPr>
        <xdr:cNvSpPr/>
      </xdr:nvSpPr>
      <xdr:spPr bwMode="auto">
        <a:xfrm>
          <a:off x="4791075" y="4924839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137</xdr:row>
      <xdr:rowOff>42241</xdr:rowOff>
    </xdr:from>
    <xdr:ext cx="666750" cy="236468"/>
    <xdr:sp macro="" textlink="">
      <xdr:nvSpPr>
        <xdr:cNvPr id="140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5C2DCFFD-82F6-463F-AC4D-B520E75CBE1D}"/>
            </a:ext>
          </a:extLst>
        </xdr:cNvPr>
        <xdr:cNvSpPr/>
      </xdr:nvSpPr>
      <xdr:spPr bwMode="auto">
        <a:xfrm>
          <a:off x="5077653" y="4924839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112644</xdr:colOff>
      <xdr:row>137</xdr:row>
      <xdr:rowOff>18636</xdr:rowOff>
    </xdr:from>
    <xdr:ext cx="676275" cy="236468"/>
    <xdr:sp macro="" textlink="">
      <xdr:nvSpPr>
        <xdr:cNvPr id="141" name="Check Box 177" hidden="1">
          <a:extLst>
            <a:ext uri="{63B3BB69-23CF-44E3-9099-C40C66FF867C}">
              <a14:compatExt xmlns:a14="http://schemas.microsoft.com/office/drawing/2010/main" spid="_x0000_s21681"/>
            </a:ext>
            <a:ext uri="{FF2B5EF4-FFF2-40B4-BE49-F238E27FC236}">
              <a16:creationId xmlns:a16="http://schemas.microsoft.com/office/drawing/2014/main" id="{0B9898D1-12A6-40ED-ABDD-929319BE5C6B}"/>
            </a:ext>
          </a:extLst>
        </xdr:cNvPr>
        <xdr:cNvSpPr/>
      </xdr:nvSpPr>
      <xdr:spPr bwMode="auto">
        <a:xfrm>
          <a:off x="4903719" y="49224786"/>
          <a:ext cx="676275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예</a:t>
          </a:r>
        </a:p>
      </xdr:txBody>
    </xdr:sp>
    <xdr:clientData/>
  </xdr:oneCellAnchor>
  <xdr:oneCellAnchor>
    <xdr:from>
      <xdr:col>7</xdr:col>
      <xdr:colOff>1420053</xdr:colOff>
      <xdr:row>137</xdr:row>
      <xdr:rowOff>42241</xdr:rowOff>
    </xdr:from>
    <xdr:ext cx="666750" cy="236468"/>
    <xdr:sp macro="" textlink="">
      <xdr:nvSpPr>
        <xdr:cNvPr id="142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4A02DD77-67BE-4B09-AFD2-080E9B214CFA}"/>
            </a:ext>
          </a:extLst>
        </xdr:cNvPr>
        <xdr:cNvSpPr/>
      </xdr:nvSpPr>
      <xdr:spPr bwMode="auto">
        <a:xfrm>
          <a:off x="5077653" y="4924839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156</xdr:row>
      <xdr:rowOff>42241</xdr:rowOff>
    </xdr:from>
    <xdr:ext cx="666750" cy="236468"/>
    <xdr:sp macro="" textlink="">
      <xdr:nvSpPr>
        <xdr:cNvPr id="143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3947C22B-608A-4BFF-A756-1994BB9C75E6}"/>
            </a:ext>
          </a:extLst>
        </xdr:cNvPr>
        <xdr:cNvSpPr/>
      </xdr:nvSpPr>
      <xdr:spPr bwMode="auto">
        <a:xfrm>
          <a:off x="4791075" y="5576349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156</xdr:row>
      <xdr:rowOff>42241</xdr:rowOff>
    </xdr:from>
    <xdr:ext cx="666750" cy="236468"/>
    <xdr:sp macro="" textlink="">
      <xdr:nvSpPr>
        <xdr:cNvPr id="144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9D8D6B4A-FB72-495A-8B89-B101794E5302}"/>
            </a:ext>
          </a:extLst>
        </xdr:cNvPr>
        <xdr:cNvSpPr/>
      </xdr:nvSpPr>
      <xdr:spPr bwMode="auto">
        <a:xfrm>
          <a:off x="5077653" y="5576349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156</xdr:row>
      <xdr:rowOff>42241</xdr:rowOff>
    </xdr:from>
    <xdr:ext cx="666750" cy="236468"/>
    <xdr:sp macro="" textlink="">
      <xdr:nvSpPr>
        <xdr:cNvPr id="145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2A972318-AF87-4FB5-A7DC-381D7769A8E1}"/>
            </a:ext>
          </a:extLst>
        </xdr:cNvPr>
        <xdr:cNvSpPr/>
      </xdr:nvSpPr>
      <xdr:spPr bwMode="auto">
        <a:xfrm>
          <a:off x="4791075" y="5576349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156</xdr:row>
      <xdr:rowOff>42241</xdr:rowOff>
    </xdr:from>
    <xdr:ext cx="666750" cy="236468"/>
    <xdr:sp macro="" textlink="">
      <xdr:nvSpPr>
        <xdr:cNvPr id="146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76D91C3D-84BC-4FFF-A262-30AFF622E6C5}"/>
            </a:ext>
          </a:extLst>
        </xdr:cNvPr>
        <xdr:cNvSpPr/>
      </xdr:nvSpPr>
      <xdr:spPr bwMode="auto">
        <a:xfrm>
          <a:off x="5077653" y="5576349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112644</xdr:colOff>
      <xdr:row>156</xdr:row>
      <xdr:rowOff>18636</xdr:rowOff>
    </xdr:from>
    <xdr:ext cx="676275" cy="236468"/>
    <xdr:sp macro="" textlink="">
      <xdr:nvSpPr>
        <xdr:cNvPr id="147" name="Check Box 177" hidden="1">
          <a:extLst>
            <a:ext uri="{63B3BB69-23CF-44E3-9099-C40C66FF867C}">
              <a14:compatExt xmlns:a14="http://schemas.microsoft.com/office/drawing/2010/main" spid="_x0000_s21681"/>
            </a:ext>
            <a:ext uri="{FF2B5EF4-FFF2-40B4-BE49-F238E27FC236}">
              <a16:creationId xmlns:a16="http://schemas.microsoft.com/office/drawing/2014/main" id="{00D9AF12-4010-42DB-9244-8E621AD50F14}"/>
            </a:ext>
          </a:extLst>
        </xdr:cNvPr>
        <xdr:cNvSpPr/>
      </xdr:nvSpPr>
      <xdr:spPr bwMode="auto">
        <a:xfrm>
          <a:off x="4903719" y="55739886"/>
          <a:ext cx="676275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예</a:t>
          </a:r>
        </a:p>
      </xdr:txBody>
    </xdr:sp>
    <xdr:clientData/>
  </xdr:oneCellAnchor>
  <xdr:oneCellAnchor>
    <xdr:from>
      <xdr:col>7</xdr:col>
      <xdr:colOff>1420053</xdr:colOff>
      <xdr:row>156</xdr:row>
      <xdr:rowOff>42241</xdr:rowOff>
    </xdr:from>
    <xdr:ext cx="666750" cy="236468"/>
    <xdr:sp macro="" textlink="">
      <xdr:nvSpPr>
        <xdr:cNvPr id="148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66ADF8BA-2A32-404B-B48A-5F0120FE2A0F}"/>
            </a:ext>
          </a:extLst>
        </xdr:cNvPr>
        <xdr:cNvSpPr/>
      </xdr:nvSpPr>
      <xdr:spPr bwMode="auto">
        <a:xfrm>
          <a:off x="5077653" y="5576349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158</xdr:row>
      <xdr:rowOff>42241</xdr:rowOff>
    </xdr:from>
    <xdr:ext cx="666750" cy="236468"/>
    <xdr:sp macro="" textlink="">
      <xdr:nvSpPr>
        <xdr:cNvPr id="149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1B84FB02-6108-40A6-AC2B-E6A5A6B2086B}"/>
            </a:ext>
          </a:extLst>
        </xdr:cNvPr>
        <xdr:cNvSpPr/>
      </xdr:nvSpPr>
      <xdr:spPr bwMode="auto">
        <a:xfrm>
          <a:off x="4791075" y="5644929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158</xdr:row>
      <xdr:rowOff>42241</xdr:rowOff>
    </xdr:from>
    <xdr:ext cx="666750" cy="236468"/>
    <xdr:sp macro="" textlink="">
      <xdr:nvSpPr>
        <xdr:cNvPr id="150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ADAA8F67-A945-48E0-B4E4-A5134933074B}"/>
            </a:ext>
          </a:extLst>
        </xdr:cNvPr>
        <xdr:cNvSpPr/>
      </xdr:nvSpPr>
      <xdr:spPr bwMode="auto">
        <a:xfrm>
          <a:off x="5077653" y="5644929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158</xdr:row>
      <xdr:rowOff>42241</xdr:rowOff>
    </xdr:from>
    <xdr:ext cx="666750" cy="236468"/>
    <xdr:sp macro="" textlink="">
      <xdr:nvSpPr>
        <xdr:cNvPr id="151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7ABC2084-3B79-4FB4-B7DB-12FE853CE06A}"/>
            </a:ext>
          </a:extLst>
        </xdr:cNvPr>
        <xdr:cNvSpPr/>
      </xdr:nvSpPr>
      <xdr:spPr bwMode="auto">
        <a:xfrm>
          <a:off x="4791075" y="5644929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158</xdr:row>
      <xdr:rowOff>42241</xdr:rowOff>
    </xdr:from>
    <xdr:ext cx="666750" cy="236468"/>
    <xdr:sp macro="" textlink="">
      <xdr:nvSpPr>
        <xdr:cNvPr id="152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F0331350-F505-4A14-93D5-12B1059115F6}"/>
            </a:ext>
          </a:extLst>
        </xdr:cNvPr>
        <xdr:cNvSpPr/>
      </xdr:nvSpPr>
      <xdr:spPr bwMode="auto">
        <a:xfrm>
          <a:off x="5077653" y="5644929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112644</xdr:colOff>
      <xdr:row>158</xdr:row>
      <xdr:rowOff>18636</xdr:rowOff>
    </xdr:from>
    <xdr:ext cx="676275" cy="236468"/>
    <xdr:sp macro="" textlink="">
      <xdr:nvSpPr>
        <xdr:cNvPr id="153" name="Check Box 177" hidden="1">
          <a:extLst>
            <a:ext uri="{63B3BB69-23CF-44E3-9099-C40C66FF867C}">
              <a14:compatExt xmlns:a14="http://schemas.microsoft.com/office/drawing/2010/main" spid="_x0000_s21681"/>
            </a:ext>
            <a:ext uri="{FF2B5EF4-FFF2-40B4-BE49-F238E27FC236}">
              <a16:creationId xmlns:a16="http://schemas.microsoft.com/office/drawing/2014/main" id="{C4E57D13-4F33-419A-9867-88666CF5F850}"/>
            </a:ext>
          </a:extLst>
        </xdr:cNvPr>
        <xdr:cNvSpPr/>
      </xdr:nvSpPr>
      <xdr:spPr bwMode="auto">
        <a:xfrm>
          <a:off x="4903719" y="56425686"/>
          <a:ext cx="676275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예</a:t>
          </a:r>
        </a:p>
      </xdr:txBody>
    </xdr:sp>
    <xdr:clientData/>
  </xdr:oneCellAnchor>
  <xdr:oneCellAnchor>
    <xdr:from>
      <xdr:col>7</xdr:col>
      <xdr:colOff>1420053</xdr:colOff>
      <xdr:row>158</xdr:row>
      <xdr:rowOff>42241</xdr:rowOff>
    </xdr:from>
    <xdr:ext cx="666750" cy="236468"/>
    <xdr:sp macro="" textlink="">
      <xdr:nvSpPr>
        <xdr:cNvPr id="154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EDF1F06E-2651-4D78-A449-A1712D2CC6F9}"/>
            </a:ext>
          </a:extLst>
        </xdr:cNvPr>
        <xdr:cNvSpPr/>
      </xdr:nvSpPr>
      <xdr:spPr bwMode="auto">
        <a:xfrm>
          <a:off x="5077653" y="5644929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159</xdr:row>
      <xdr:rowOff>42241</xdr:rowOff>
    </xdr:from>
    <xdr:ext cx="666750" cy="236468"/>
    <xdr:sp macro="" textlink="">
      <xdr:nvSpPr>
        <xdr:cNvPr id="155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E191840F-EDDD-414E-891A-E654166F5348}"/>
            </a:ext>
          </a:extLst>
        </xdr:cNvPr>
        <xdr:cNvSpPr/>
      </xdr:nvSpPr>
      <xdr:spPr bwMode="auto">
        <a:xfrm>
          <a:off x="4791075" y="5698269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159</xdr:row>
      <xdr:rowOff>42241</xdr:rowOff>
    </xdr:from>
    <xdr:ext cx="666750" cy="236468"/>
    <xdr:sp macro="" textlink="">
      <xdr:nvSpPr>
        <xdr:cNvPr id="156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C06DF8D3-63EC-44B3-8363-B05EB7928A26}"/>
            </a:ext>
          </a:extLst>
        </xdr:cNvPr>
        <xdr:cNvSpPr/>
      </xdr:nvSpPr>
      <xdr:spPr bwMode="auto">
        <a:xfrm>
          <a:off x="5077653" y="5698269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159</xdr:row>
      <xdr:rowOff>42241</xdr:rowOff>
    </xdr:from>
    <xdr:ext cx="666750" cy="236468"/>
    <xdr:sp macro="" textlink="">
      <xdr:nvSpPr>
        <xdr:cNvPr id="157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9B5C2CF4-7C94-4A5E-834F-3BA192F98903}"/>
            </a:ext>
          </a:extLst>
        </xdr:cNvPr>
        <xdr:cNvSpPr/>
      </xdr:nvSpPr>
      <xdr:spPr bwMode="auto">
        <a:xfrm>
          <a:off x="4791075" y="5698269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159</xdr:row>
      <xdr:rowOff>42241</xdr:rowOff>
    </xdr:from>
    <xdr:ext cx="666750" cy="236468"/>
    <xdr:sp macro="" textlink="">
      <xdr:nvSpPr>
        <xdr:cNvPr id="158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BF3ABE1F-91EE-48B4-9471-EAD738D3B4BD}"/>
            </a:ext>
          </a:extLst>
        </xdr:cNvPr>
        <xdr:cNvSpPr/>
      </xdr:nvSpPr>
      <xdr:spPr bwMode="auto">
        <a:xfrm>
          <a:off x="5077653" y="5698269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112644</xdr:colOff>
      <xdr:row>159</xdr:row>
      <xdr:rowOff>18636</xdr:rowOff>
    </xdr:from>
    <xdr:ext cx="676275" cy="236468"/>
    <xdr:sp macro="" textlink="">
      <xdr:nvSpPr>
        <xdr:cNvPr id="159" name="Check Box 177" hidden="1">
          <a:extLst>
            <a:ext uri="{63B3BB69-23CF-44E3-9099-C40C66FF867C}">
              <a14:compatExt xmlns:a14="http://schemas.microsoft.com/office/drawing/2010/main" spid="_x0000_s21681"/>
            </a:ext>
            <a:ext uri="{FF2B5EF4-FFF2-40B4-BE49-F238E27FC236}">
              <a16:creationId xmlns:a16="http://schemas.microsoft.com/office/drawing/2014/main" id="{623E25B1-9027-475B-A3CD-8EE8FB33ACFE}"/>
            </a:ext>
          </a:extLst>
        </xdr:cNvPr>
        <xdr:cNvSpPr/>
      </xdr:nvSpPr>
      <xdr:spPr bwMode="auto">
        <a:xfrm>
          <a:off x="4903719" y="56959086"/>
          <a:ext cx="676275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예</a:t>
          </a:r>
        </a:p>
      </xdr:txBody>
    </xdr:sp>
    <xdr:clientData/>
  </xdr:oneCellAnchor>
  <xdr:oneCellAnchor>
    <xdr:from>
      <xdr:col>7</xdr:col>
      <xdr:colOff>1420053</xdr:colOff>
      <xdr:row>159</xdr:row>
      <xdr:rowOff>42241</xdr:rowOff>
    </xdr:from>
    <xdr:ext cx="666750" cy="236468"/>
    <xdr:sp macro="" textlink="">
      <xdr:nvSpPr>
        <xdr:cNvPr id="160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7C71B3CD-7475-4D39-839E-F25A8EC1A084}"/>
            </a:ext>
          </a:extLst>
        </xdr:cNvPr>
        <xdr:cNvSpPr/>
      </xdr:nvSpPr>
      <xdr:spPr bwMode="auto">
        <a:xfrm>
          <a:off x="5077653" y="5698269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169</xdr:row>
      <xdr:rowOff>42241</xdr:rowOff>
    </xdr:from>
    <xdr:ext cx="666750" cy="236468"/>
    <xdr:sp macro="" textlink="">
      <xdr:nvSpPr>
        <xdr:cNvPr id="161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9D612D68-C796-43E2-8133-673D6A505EE3}"/>
            </a:ext>
          </a:extLst>
        </xdr:cNvPr>
        <xdr:cNvSpPr/>
      </xdr:nvSpPr>
      <xdr:spPr bwMode="auto">
        <a:xfrm>
          <a:off x="4791075" y="5957349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169</xdr:row>
      <xdr:rowOff>42241</xdr:rowOff>
    </xdr:from>
    <xdr:ext cx="666750" cy="236468"/>
    <xdr:sp macro="" textlink="">
      <xdr:nvSpPr>
        <xdr:cNvPr id="162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4651A0EA-E06C-43B9-AB0E-8803878608AB}"/>
            </a:ext>
          </a:extLst>
        </xdr:cNvPr>
        <xdr:cNvSpPr/>
      </xdr:nvSpPr>
      <xdr:spPr bwMode="auto">
        <a:xfrm>
          <a:off x="5077653" y="5957349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169</xdr:row>
      <xdr:rowOff>42241</xdr:rowOff>
    </xdr:from>
    <xdr:ext cx="666750" cy="236468"/>
    <xdr:sp macro="" textlink="">
      <xdr:nvSpPr>
        <xdr:cNvPr id="163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76573A05-25AC-4A4F-8FA3-80BF8373877D}"/>
            </a:ext>
          </a:extLst>
        </xdr:cNvPr>
        <xdr:cNvSpPr/>
      </xdr:nvSpPr>
      <xdr:spPr bwMode="auto">
        <a:xfrm>
          <a:off x="4791075" y="5957349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169</xdr:row>
      <xdr:rowOff>42241</xdr:rowOff>
    </xdr:from>
    <xdr:ext cx="666750" cy="236468"/>
    <xdr:sp macro="" textlink="">
      <xdr:nvSpPr>
        <xdr:cNvPr id="164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291C3ECE-5CD5-48AF-8445-40EA6D55A7AE}"/>
            </a:ext>
          </a:extLst>
        </xdr:cNvPr>
        <xdr:cNvSpPr/>
      </xdr:nvSpPr>
      <xdr:spPr bwMode="auto">
        <a:xfrm>
          <a:off x="5077653" y="5957349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112644</xdr:colOff>
      <xdr:row>169</xdr:row>
      <xdr:rowOff>18636</xdr:rowOff>
    </xdr:from>
    <xdr:ext cx="676275" cy="236468"/>
    <xdr:sp macro="" textlink="">
      <xdr:nvSpPr>
        <xdr:cNvPr id="165" name="Check Box 177" hidden="1">
          <a:extLst>
            <a:ext uri="{63B3BB69-23CF-44E3-9099-C40C66FF867C}">
              <a14:compatExt xmlns:a14="http://schemas.microsoft.com/office/drawing/2010/main" spid="_x0000_s21681"/>
            </a:ext>
            <a:ext uri="{FF2B5EF4-FFF2-40B4-BE49-F238E27FC236}">
              <a16:creationId xmlns:a16="http://schemas.microsoft.com/office/drawing/2014/main" id="{B5B8BE40-2B8D-476C-A737-7386893B3128}"/>
            </a:ext>
          </a:extLst>
        </xdr:cNvPr>
        <xdr:cNvSpPr/>
      </xdr:nvSpPr>
      <xdr:spPr bwMode="auto">
        <a:xfrm>
          <a:off x="4903719" y="59549886"/>
          <a:ext cx="676275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예</a:t>
          </a:r>
        </a:p>
      </xdr:txBody>
    </xdr:sp>
    <xdr:clientData/>
  </xdr:oneCellAnchor>
  <xdr:oneCellAnchor>
    <xdr:from>
      <xdr:col>7</xdr:col>
      <xdr:colOff>1420053</xdr:colOff>
      <xdr:row>169</xdr:row>
      <xdr:rowOff>42241</xdr:rowOff>
    </xdr:from>
    <xdr:ext cx="666750" cy="236468"/>
    <xdr:sp macro="" textlink="">
      <xdr:nvSpPr>
        <xdr:cNvPr id="166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0F185FA1-EA02-44ED-B8B9-32F6B73A83D9}"/>
            </a:ext>
          </a:extLst>
        </xdr:cNvPr>
        <xdr:cNvSpPr/>
      </xdr:nvSpPr>
      <xdr:spPr bwMode="auto">
        <a:xfrm>
          <a:off x="5077653" y="5957349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175</xdr:row>
      <xdr:rowOff>42241</xdr:rowOff>
    </xdr:from>
    <xdr:ext cx="666750" cy="236468"/>
    <xdr:sp macro="" textlink="">
      <xdr:nvSpPr>
        <xdr:cNvPr id="167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4A7F117D-A9E1-4F1A-9596-A42C9A83D292}"/>
            </a:ext>
          </a:extLst>
        </xdr:cNvPr>
        <xdr:cNvSpPr/>
      </xdr:nvSpPr>
      <xdr:spPr bwMode="auto">
        <a:xfrm>
          <a:off x="4791075" y="6144039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175</xdr:row>
      <xdr:rowOff>42241</xdr:rowOff>
    </xdr:from>
    <xdr:ext cx="666750" cy="236468"/>
    <xdr:sp macro="" textlink="">
      <xdr:nvSpPr>
        <xdr:cNvPr id="168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C225742D-CD16-466A-8623-0D6B7367F0D5}"/>
            </a:ext>
          </a:extLst>
        </xdr:cNvPr>
        <xdr:cNvSpPr/>
      </xdr:nvSpPr>
      <xdr:spPr bwMode="auto">
        <a:xfrm>
          <a:off x="5077653" y="6144039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175</xdr:row>
      <xdr:rowOff>42241</xdr:rowOff>
    </xdr:from>
    <xdr:ext cx="666750" cy="236468"/>
    <xdr:sp macro="" textlink="">
      <xdr:nvSpPr>
        <xdr:cNvPr id="169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2AF82FCE-089D-45A7-84BC-9DE1A9540CE3}"/>
            </a:ext>
          </a:extLst>
        </xdr:cNvPr>
        <xdr:cNvSpPr/>
      </xdr:nvSpPr>
      <xdr:spPr bwMode="auto">
        <a:xfrm>
          <a:off x="4791075" y="6144039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175</xdr:row>
      <xdr:rowOff>42241</xdr:rowOff>
    </xdr:from>
    <xdr:ext cx="666750" cy="236468"/>
    <xdr:sp macro="" textlink="">
      <xdr:nvSpPr>
        <xdr:cNvPr id="170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A7EC8483-A537-4709-BC5B-C80AF61F7120}"/>
            </a:ext>
          </a:extLst>
        </xdr:cNvPr>
        <xdr:cNvSpPr/>
      </xdr:nvSpPr>
      <xdr:spPr bwMode="auto">
        <a:xfrm>
          <a:off x="5077653" y="6144039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112644</xdr:colOff>
      <xdr:row>175</xdr:row>
      <xdr:rowOff>18636</xdr:rowOff>
    </xdr:from>
    <xdr:ext cx="676275" cy="236468"/>
    <xdr:sp macro="" textlink="">
      <xdr:nvSpPr>
        <xdr:cNvPr id="171" name="Check Box 177" hidden="1">
          <a:extLst>
            <a:ext uri="{63B3BB69-23CF-44E3-9099-C40C66FF867C}">
              <a14:compatExt xmlns:a14="http://schemas.microsoft.com/office/drawing/2010/main" spid="_x0000_s21681"/>
            </a:ext>
            <a:ext uri="{FF2B5EF4-FFF2-40B4-BE49-F238E27FC236}">
              <a16:creationId xmlns:a16="http://schemas.microsoft.com/office/drawing/2014/main" id="{28CCF32B-FF6F-4B93-A4C1-7594E549871A}"/>
            </a:ext>
          </a:extLst>
        </xdr:cNvPr>
        <xdr:cNvSpPr/>
      </xdr:nvSpPr>
      <xdr:spPr bwMode="auto">
        <a:xfrm>
          <a:off x="4903719" y="61416786"/>
          <a:ext cx="676275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예</a:t>
          </a:r>
        </a:p>
      </xdr:txBody>
    </xdr:sp>
    <xdr:clientData/>
  </xdr:oneCellAnchor>
  <xdr:oneCellAnchor>
    <xdr:from>
      <xdr:col>7</xdr:col>
      <xdr:colOff>1420053</xdr:colOff>
      <xdr:row>175</xdr:row>
      <xdr:rowOff>42241</xdr:rowOff>
    </xdr:from>
    <xdr:ext cx="666750" cy="236468"/>
    <xdr:sp macro="" textlink="">
      <xdr:nvSpPr>
        <xdr:cNvPr id="172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D6D62116-9653-46C7-886F-699BB196ED45}"/>
            </a:ext>
          </a:extLst>
        </xdr:cNvPr>
        <xdr:cNvSpPr/>
      </xdr:nvSpPr>
      <xdr:spPr bwMode="auto">
        <a:xfrm>
          <a:off x="5077653" y="6144039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176</xdr:row>
      <xdr:rowOff>42241</xdr:rowOff>
    </xdr:from>
    <xdr:ext cx="666750" cy="236468"/>
    <xdr:sp macro="" textlink="">
      <xdr:nvSpPr>
        <xdr:cNvPr id="173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673ED6C9-2305-4443-BC25-6B060AE06305}"/>
            </a:ext>
          </a:extLst>
        </xdr:cNvPr>
        <xdr:cNvSpPr/>
      </xdr:nvSpPr>
      <xdr:spPr bwMode="auto">
        <a:xfrm>
          <a:off x="4791075" y="6162136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176</xdr:row>
      <xdr:rowOff>42241</xdr:rowOff>
    </xdr:from>
    <xdr:ext cx="666750" cy="236468"/>
    <xdr:sp macro="" textlink="">
      <xdr:nvSpPr>
        <xdr:cNvPr id="174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C6664AE2-F6E3-410A-9490-7E2F045CC466}"/>
            </a:ext>
          </a:extLst>
        </xdr:cNvPr>
        <xdr:cNvSpPr/>
      </xdr:nvSpPr>
      <xdr:spPr bwMode="auto">
        <a:xfrm>
          <a:off x="5077653" y="6162136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176</xdr:row>
      <xdr:rowOff>42241</xdr:rowOff>
    </xdr:from>
    <xdr:ext cx="666750" cy="236468"/>
    <xdr:sp macro="" textlink="">
      <xdr:nvSpPr>
        <xdr:cNvPr id="175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796E5282-35DC-48FA-BB08-03264739CE94}"/>
            </a:ext>
          </a:extLst>
        </xdr:cNvPr>
        <xdr:cNvSpPr/>
      </xdr:nvSpPr>
      <xdr:spPr bwMode="auto">
        <a:xfrm>
          <a:off x="4791075" y="6162136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176</xdr:row>
      <xdr:rowOff>42241</xdr:rowOff>
    </xdr:from>
    <xdr:ext cx="666750" cy="236468"/>
    <xdr:sp macro="" textlink="">
      <xdr:nvSpPr>
        <xdr:cNvPr id="176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C141F4EC-1B52-45A1-97F2-76159504F8F1}"/>
            </a:ext>
          </a:extLst>
        </xdr:cNvPr>
        <xdr:cNvSpPr/>
      </xdr:nvSpPr>
      <xdr:spPr bwMode="auto">
        <a:xfrm>
          <a:off x="5077653" y="6162136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112644</xdr:colOff>
      <xdr:row>176</xdr:row>
      <xdr:rowOff>18636</xdr:rowOff>
    </xdr:from>
    <xdr:ext cx="676275" cy="236468"/>
    <xdr:sp macro="" textlink="">
      <xdr:nvSpPr>
        <xdr:cNvPr id="177" name="Check Box 177" hidden="1">
          <a:extLst>
            <a:ext uri="{63B3BB69-23CF-44E3-9099-C40C66FF867C}">
              <a14:compatExt xmlns:a14="http://schemas.microsoft.com/office/drawing/2010/main" spid="_x0000_s21681"/>
            </a:ext>
            <a:ext uri="{FF2B5EF4-FFF2-40B4-BE49-F238E27FC236}">
              <a16:creationId xmlns:a16="http://schemas.microsoft.com/office/drawing/2014/main" id="{D8FC1553-6C79-4507-8CD7-F5D0E371AF67}"/>
            </a:ext>
          </a:extLst>
        </xdr:cNvPr>
        <xdr:cNvSpPr/>
      </xdr:nvSpPr>
      <xdr:spPr bwMode="auto">
        <a:xfrm>
          <a:off x="4903719" y="61597761"/>
          <a:ext cx="676275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예</a:t>
          </a:r>
        </a:p>
      </xdr:txBody>
    </xdr:sp>
    <xdr:clientData/>
  </xdr:oneCellAnchor>
  <xdr:oneCellAnchor>
    <xdr:from>
      <xdr:col>7</xdr:col>
      <xdr:colOff>1420053</xdr:colOff>
      <xdr:row>176</xdr:row>
      <xdr:rowOff>42241</xdr:rowOff>
    </xdr:from>
    <xdr:ext cx="666750" cy="236468"/>
    <xdr:sp macro="" textlink="">
      <xdr:nvSpPr>
        <xdr:cNvPr id="178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4EF83D87-7224-4A57-A33B-2F26BF3D89F6}"/>
            </a:ext>
          </a:extLst>
        </xdr:cNvPr>
        <xdr:cNvSpPr/>
      </xdr:nvSpPr>
      <xdr:spPr bwMode="auto">
        <a:xfrm>
          <a:off x="5077653" y="6162136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183</xdr:row>
      <xdr:rowOff>42241</xdr:rowOff>
    </xdr:from>
    <xdr:ext cx="666750" cy="236468"/>
    <xdr:sp macro="" textlink="">
      <xdr:nvSpPr>
        <xdr:cNvPr id="179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C56A048D-A650-4084-896A-AA79EC36DB47}"/>
            </a:ext>
          </a:extLst>
        </xdr:cNvPr>
        <xdr:cNvSpPr/>
      </xdr:nvSpPr>
      <xdr:spPr bwMode="auto">
        <a:xfrm>
          <a:off x="4791075" y="6340254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183</xdr:row>
      <xdr:rowOff>42241</xdr:rowOff>
    </xdr:from>
    <xdr:ext cx="666750" cy="236468"/>
    <xdr:sp macro="" textlink="">
      <xdr:nvSpPr>
        <xdr:cNvPr id="180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88F4CC6A-AE57-4919-9101-6A805766A445}"/>
            </a:ext>
          </a:extLst>
        </xdr:cNvPr>
        <xdr:cNvSpPr/>
      </xdr:nvSpPr>
      <xdr:spPr bwMode="auto">
        <a:xfrm>
          <a:off x="5077653" y="6340254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183</xdr:row>
      <xdr:rowOff>42241</xdr:rowOff>
    </xdr:from>
    <xdr:ext cx="666750" cy="236468"/>
    <xdr:sp macro="" textlink="">
      <xdr:nvSpPr>
        <xdr:cNvPr id="181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BE3B545C-4DC6-45BE-915D-6364FA2EEDF3}"/>
            </a:ext>
          </a:extLst>
        </xdr:cNvPr>
        <xdr:cNvSpPr/>
      </xdr:nvSpPr>
      <xdr:spPr bwMode="auto">
        <a:xfrm>
          <a:off x="4791075" y="6340254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183</xdr:row>
      <xdr:rowOff>42241</xdr:rowOff>
    </xdr:from>
    <xdr:ext cx="666750" cy="236468"/>
    <xdr:sp macro="" textlink="">
      <xdr:nvSpPr>
        <xdr:cNvPr id="182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E944482E-C58C-409C-B0C8-F6D14A1583DE}"/>
            </a:ext>
          </a:extLst>
        </xdr:cNvPr>
        <xdr:cNvSpPr/>
      </xdr:nvSpPr>
      <xdr:spPr bwMode="auto">
        <a:xfrm>
          <a:off x="5077653" y="6340254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112644</xdr:colOff>
      <xdr:row>183</xdr:row>
      <xdr:rowOff>18636</xdr:rowOff>
    </xdr:from>
    <xdr:ext cx="676275" cy="236468"/>
    <xdr:sp macro="" textlink="">
      <xdr:nvSpPr>
        <xdr:cNvPr id="183" name="Check Box 177" hidden="1">
          <a:extLst>
            <a:ext uri="{63B3BB69-23CF-44E3-9099-C40C66FF867C}">
              <a14:compatExt xmlns:a14="http://schemas.microsoft.com/office/drawing/2010/main" spid="_x0000_s21681"/>
            </a:ext>
            <a:ext uri="{FF2B5EF4-FFF2-40B4-BE49-F238E27FC236}">
              <a16:creationId xmlns:a16="http://schemas.microsoft.com/office/drawing/2014/main" id="{2A82FDEF-9BC6-4D85-B7A2-05AF0F579CFF}"/>
            </a:ext>
          </a:extLst>
        </xdr:cNvPr>
        <xdr:cNvSpPr/>
      </xdr:nvSpPr>
      <xdr:spPr bwMode="auto">
        <a:xfrm>
          <a:off x="4903719" y="63378936"/>
          <a:ext cx="676275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예</a:t>
          </a:r>
        </a:p>
      </xdr:txBody>
    </xdr:sp>
    <xdr:clientData/>
  </xdr:oneCellAnchor>
  <xdr:oneCellAnchor>
    <xdr:from>
      <xdr:col>7</xdr:col>
      <xdr:colOff>1420053</xdr:colOff>
      <xdr:row>183</xdr:row>
      <xdr:rowOff>42241</xdr:rowOff>
    </xdr:from>
    <xdr:ext cx="666750" cy="236468"/>
    <xdr:sp macro="" textlink="">
      <xdr:nvSpPr>
        <xdr:cNvPr id="184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46C33A2B-B85C-4585-9CD3-CADCBE458221}"/>
            </a:ext>
          </a:extLst>
        </xdr:cNvPr>
        <xdr:cNvSpPr/>
      </xdr:nvSpPr>
      <xdr:spPr bwMode="auto">
        <a:xfrm>
          <a:off x="5077653" y="6340254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188</xdr:row>
      <xdr:rowOff>42241</xdr:rowOff>
    </xdr:from>
    <xdr:ext cx="666750" cy="236468"/>
    <xdr:sp macro="" textlink="">
      <xdr:nvSpPr>
        <xdr:cNvPr id="185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8DB0A6E4-B7A4-4C1F-8564-1FD23BA8F2D4}"/>
            </a:ext>
          </a:extLst>
        </xdr:cNvPr>
        <xdr:cNvSpPr/>
      </xdr:nvSpPr>
      <xdr:spPr bwMode="auto">
        <a:xfrm>
          <a:off x="4791075" y="6497416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188</xdr:row>
      <xdr:rowOff>42241</xdr:rowOff>
    </xdr:from>
    <xdr:ext cx="666750" cy="236468"/>
    <xdr:sp macro="" textlink="">
      <xdr:nvSpPr>
        <xdr:cNvPr id="186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64CF63C1-5E62-453C-BCDA-6CB82F0C1660}"/>
            </a:ext>
          </a:extLst>
        </xdr:cNvPr>
        <xdr:cNvSpPr/>
      </xdr:nvSpPr>
      <xdr:spPr bwMode="auto">
        <a:xfrm>
          <a:off x="5077653" y="6497416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188</xdr:row>
      <xdr:rowOff>42241</xdr:rowOff>
    </xdr:from>
    <xdr:ext cx="666750" cy="236468"/>
    <xdr:sp macro="" textlink="">
      <xdr:nvSpPr>
        <xdr:cNvPr id="187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674B6319-CB62-4049-B429-DE1FB76D1125}"/>
            </a:ext>
          </a:extLst>
        </xdr:cNvPr>
        <xdr:cNvSpPr/>
      </xdr:nvSpPr>
      <xdr:spPr bwMode="auto">
        <a:xfrm>
          <a:off x="4791075" y="6497416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188</xdr:row>
      <xdr:rowOff>42241</xdr:rowOff>
    </xdr:from>
    <xdr:ext cx="666750" cy="236468"/>
    <xdr:sp macro="" textlink="">
      <xdr:nvSpPr>
        <xdr:cNvPr id="188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59E7803D-1456-47D2-848A-4C0B72A6F9B4}"/>
            </a:ext>
          </a:extLst>
        </xdr:cNvPr>
        <xdr:cNvSpPr/>
      </xdr:nvSpPr>
      <xdr:spPr bwMode="auto">
        <a:xfrm>
          <a:off x="5077653" y="6497416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112644</xdr:colOff>
      <xdr:row>188</xdr:row>
      <xdr:rowOff>18636</xdr:rowOff>
    </xdr:from>
    <xdr:ext cx="676275" cy="236468"/>
    <xdr:sp macro="" textlink="">
      <xdr:nvSpPr>
        <xdr:cNvPr id="189" name="Check Box 177" hidden="1">
          <a:extLst>
            <a:ext uri="{63B3BB69-23CF-44E3-9099-C40C66FF867C}">
              <a14:compatExt xmlns:a14="http://schemas.microsoft.com/office/drawing/2010/main" spid="_x0000_s21681"/>
            </a:ext>
            <a:ext uri="{FF2B5EF4-FFF2-40B4-BE49-F238E27FC236}">
              <a16:creationId xmlns:a16="http://schemas.microsoft.com/office/drawing/2014/main" id="{830C5141-9E4F-420B-AAD9-258D4F953AA7}"/>
            </a:ext>
          </a:extLst>
        </xdr:cNvPr>
        <xdr:cNvSpPr/>
      </xdr:nvSpPr>
      <xdr:spPr bwMode="auto">
        <a:xfrm>
          <a:off x="4903719" y="64950561"/>
          <a:ext cx="676275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예</a:t>
          </a:r>
        </a:p>
      </xdr:txBody>
    </xdr:sp>
    <xdr:clientData/>
  </xdr:oneCellAnchor>
  <xdr:oneCellAnchor>
    <xdr:from>
      <xdr:col>7</xdr:col>
      <xdr:colOff>1420053</xdr:colOff>
      <xdr:row>188</xdr:row>
      <xdr:rowOff>42241</xdr:rowOff>
    </xdr:from>
    <xdr:ext cx="666750" cy="236468"/>
    <xdr:sp macro="" textlink="">
      <xdr:nvSpPr>
        <xdr:cNvPr id="190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A710ECAF-0B96-4DC5-B52D-874835311022}"/>
            </a:ext>
          </a:extLst>
        </xdr:cNvPr>
        <xdr:cNvSpPr/>
      </xdr:nvSpPr>
      <xdr:spPr bwMode="auto">
        <a:xfrm>
          <a:off x="5077653" y="6497416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195</xdr:row>
      <xdr:rowOff>42241</xdr:rowOff>
    </xdr:from>
    <xdr:ext cx="666750" cy="236468"/>
    <xdr:sp macro="" textlink="">
      <xdr:nvSpPr>
        <xdr:cNvPr id="191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7BE27392-69C9-424C-83AA-49CCADBB5305}"/>
            </a:ext>
          </a:extLst>
        </xdr:cNvPr>
        <xdr:cNvSpPr/>
      </xdr:nvSpPr>
      <xdr:spPr bwMode="auto">
        <a:xfrm>
          <a:off x="4791075" y="6697441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195</xdr:row>
      <xdr:rowOff>42241</xdr:rowOff>
    </xdr:from>
    <xdr:ext cx="666750" cy="236468"/>
    <xdr:sp macro="" textlink="">
      <xdr:nvSpPr>
        <xdr:cNvPr id="192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215DDAE9-1FC9-4690-A4C1-C2136817B3B5}"/>
            </a:ext>
          </a:extLst>
        </xdr:cNvPr>
        <xdr:cNvSpPr/>
      </xdr:nvSpPr>
      <xdr:spPr bwMode="auto">
        <a:xfrm>
          <a:off x="5077653" y="6697441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195</xdr:row>
      <xdr:rowOff>42241</xdr:rowOff>
    </xdr:from>
    <xdr:ext cx="666750" cy="236468"/>
    <xdr:sp macro="" textlink="">
      <xdr:nvSpPr>
        <xdr:cNvPr id="193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7C1AECD8-90B8-4FAB-A69D-CB650C090008}"/>
            </a:ext>
          </a:extLst>
        </xdr:cNvPr>
        <xdr:cNvSpPr/>
      </xdr:nvSpPr>
      <xdr:spPr bwMode="auto">
        <a:xfrm>
          <a:off x="4791075" y="6697441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195</xdr:row>
      <xdr:rowOff>42241</xdr:rowOff>
    </xdr:from>
    <xdr:ext cx="666750" cy="236468"/>
    <xdr:sp macro="" textlink="">
      <xdr:nvSpPr>
        <xdr:cNvPr id="194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E8E39117-601F-45ED-A735-AB10C3DF78D9}"/>
            </a:ext>
          </a:extLst>
        </xdr:cNvPr>
        <xdr:cNvSpPr/>
      </xdr:nvSpPr>
      <xdr:spPr bwMode="auto">
        <a:xfrm>
          <a:off x="5077653" y="6697441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112644</xdr:colOff>
      <xdr:row>195</xdr:row>
      <xdr:rowOff>18636</xdr:rowOff>
    </xdr:from>
    <xdr:ext cx="676275" cy="236468"/>
    <xdr:sp macro="" textlink="">
      <xdr:nvSpPr>
        <xdr:cNvPr id="195" name="Check Box 177" hidden="1">
          <a:extLst>
            <a:ext uri="{63B3BB69-23CF-44E3-9099-C40C66FF867C}">
              <a14:compatExt xmlns:a14="http://schemas.microsoft.com/office/drawing/2010/main" spid="_x0000_s21681"/>
            </a:ext>
            <a:ext uri="{FF2B5EF4-FFF2-40B4-BE49-F238E27FC236}">
              <a16:creationId xmlns:a16="http://schemas.microsoft.com/office/drawing/2014/main" id="{A970B52B-DBA1-4C59-93B9-F6EEA5591B47}"/>
            </a:ext>
          </a:extLst>
        </xdr:cNvPr>
        <xdr:cNvSpPr/>
      </xdr:nvSpPr>
      <xdr:spPr bwMode="auto">
        <a:xfrm>
          <a:off x="4903719" y="66950811"/>
          <a:ext cx="676275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예</a:t>
          </a:r>
        </a:p>
      </xdr:txBody>
    </xdr:sp>
    <xdr:clientData/>
  </xdr:oneCellAnchor>
  <xdr:oneCellAnchor>
    <xdr:from>
      <xdr:col>7</xdr:col>
      <xdr:colOff>1420053</xdr:colOff>
      <xdr:row>195</xdr:row>
      <xdr:rowOff>42241</xdr:rowOff>
    </xdr:from>
    <xdr:ext cx="666750" cy="236468"/>
    <xdr:sp macro="" textlink="">
      <xdr:nvSpPr>
        <xdr:cNvPr id="196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20238A87-73C4-47DF-B33F-C17DB65AFF30}"/>
            </a:ext>
          </a:extLst>
        </xdr:cNvPr>
        <xdr:cNvSpPr/>
      </xdr:nvSpPr>
      <xdr:spPr bwMode="auto">
        <a:xfrm>
          <a:off x="5077653" y="6697441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196</xdr:row>
      <xdr:rowOff>42241</xdr:rowOff>
    </xdr:from>
    <xdr:ext cx="666750" cy="236468"/>
    <xdr:sp macro="" textlink="">
      <xdr:nvSpPr>
        <xdr:cNvPr id="197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7895E058-E12E-41A2-B5CB-CC323CF80D8F}"/>
            </a:ext>
          </a:extLst>
        </xdr:cNvPr>
        <xdr:cNvSpPr/>
      </xdr:nvSpPr>
      <xdr:spPr bwMode="auto">
        <a:xfrm>
          <a:off x="4791075" y="6743161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196</xdr:row>
      <xdr:rowOff>42241</xdr:rowOff>
    </xdr:from>
    <xdr:ext cx="666750" cy="236468"/>
    <xdr:sp macro="" textlink="">
      <xdr:nvSpPr>
        <xdr:cNvPr id="198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22AF38F8-A04C-4499-91B0-9803F83E266B}"/>
            </a:ext>
          </a:extLst>
        </xdr:cNvPr>
        <xdr:cNvSpPr/>
      </xdr:nvSpPr>
      <xdr:spPr bwMode="auto">
        <a:xfrm>
          <a:off x="5077653" y="6743161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196</xdr:row>
      <xdr:rowOff>42241</xdr:rowOff>
    </xdr:from>
    <xdr:ext cx="666750" cy="236468"/>
    <xdr:sp macro="" textlink="">
      <xdr:nvSpPr>
        <xdr:cNvPr id="199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FEADFEC2-B76E-422F-9161-351BE2351AF9}"/>
            </a:ext>
          </a:extLst>
        </xdr:cNvPr>
        <xdr:cNvSpPr/>
      </xdr:nvSpPr>
      <xdr:spPr bwMode="auto">
        <a:xfrm>
          <a:off x="4791075" y="6743161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196</xdr:row>
      <xdr:rowOff>42241</xdr:rowOff>
    </xdr:from>
    <xdr:ext cx="666750" cy="236468"/>
    <xdr:sp macro="" textlink="">
      <xdr:nvSpPr>
        <xdr:cNvPr id="200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EBDA1C70-9B4A-4882-BF18-D923A8D45F78}"/>
            </a:ext>
          </a:extLst>
        </xdr:cNvPr>
        <xdr:cNvSpPr/>
      </xdr:nvSpPr>
      <xdr:spPr bwMode="auto">
        <a:xfrm>
          <a:off x="5077653" y="6743161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112644</xdr:colOff>
      <xdr:row>196</xdr:row>
      <xdr:rowOff>18636</xdr:rowOff>
    </xdr:from>
    <xdr:ext cx="676275" cy="236468"/>
    <xdr:sp macro="" textlink="">
      <xdr:nvSpPr>
        <xdr:cNvPr id="201" name="Check Box 177" hidden="1">
          <a:extLst>
            <a:ext uri="{63B3BB69-23CF-44E3-9099-C40C66FF867C}">
              <a14:compatExt xmlns:a14="http://schemas.microsoft.com/office/drawing/2010/main" spid="_x0000_s21681"/>
            </a:ext>
            <a:ext uri="{FF2B5EF4-FFF2-40B4-BE49-F238E27FC236}">
              <a16:creationId xmlns:a16="http://schemas.microsoft.com/office/drawing/2014/main" id="{E7417788-6E79-42F5-A9B7-830B20D5068C}"/>
            </a:ext>
          </a:extLst>
        </xdr:cNvPr>
        <xdr:cNvSpPr/>
      </xdr:nvSpPr>
      <xdr:spPr bwMode="auto">
        <a:xfrm>
          <a:off x="4903719" y="67408011"/>
          <a:ext cx="676275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예</a:t>
          </a:r>
        </a:p>
      </xdr:txBody>
    </xdr:sp>
    <xdr:clientData/>
  </xdr:oneCellAnchor>
  <xdr:oneCellAnchor>
    <xdr:from>
      <xdr:col>7</xdr:col>
      <xdr:colOff>1420053</xdr:colOff>
      <xdr:row>196</xdr:row>
      <xdr:rowOff>42241</xdr:rowOff>
    </xdr:from>
    <xdr:ext cx="666750" cy="236468"/>
    <xdr:sp macro="" textlink="">
      <xdr:nvSpPr>
        <xdr:cNvPr id="202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8B4AFF70-1CEA-49FF-A54B-2D1137EACB65}"/>
            </a:ext>
          </a:extLst>
        </xdr:cNvPr>
        <xdr:cNvSpPr/>
      </xdr:nvSpPr>
      <xdr:spPr bwMode="auto">
        <a:xfrm>
          <a:off x="5077653" y="6743161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208</xdr:row>
      <xdr:rowOff>42241</xdr:rowOff>
    </xdr:from>
    <xdr:ext cx="666750" cy="236468"/>
    <xdr:sp macro="" textlink="">
      <xdr:nvSpPr>
        <xdr:cNvPr id="203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EF672352-B47A-4FCB-BCAE-497207A34D3E}"/>
            </a:ext>
          </a:extLst>
        </xdr:cNvPr>
        <xdr:cNvSpPr/>
      </xdr:nvSpPr>
      <xdr:spPr bwMode="auto">
        <a:xfrm>
          <a:off x="4791075" y="7172739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208</xdr:row>
      <xdr:rowOff>42241</xdr:rowOff>
    </xdr:from>
    <xdr:ext cx="666750" cy="236468"/>
    <xdr:sp macro="" textlink="">
      <xdr:nvSpPr>
        <xdr:cNvPr id="204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97CFEFA0-EA0B-4126-8F50-1F11D1E71439}"/>
            </a:ext>
          </a:extLst>
        </xdr:cNvPr>
        <xdr:cNvSpPr/>
      </xdr:nvSpPr>
      <xdr:spPr bwMode="auto">
        <a:xfrm>
          <a:off x="5077653" y="7172739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208</xdr:row>
      <xdr:rowOff>42241</xdr:rowOff>
    </xdr:from>
    <xdr:ext cx="666750" cy="236468"/>
    <xdr:sp macro="" textlink="">
      <xdr:nvSpPr>
        <xdr:cNvPr id="205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AE578E0F-6D12-4A99-89CD-317DFABE3ABF}"/>
            </a:ext>
          </a:extLst>
        </xdr:cNvPr>
        <xdr:cNvSpPr/>
      </xdr:nvSpPr>
      <xdr:spPr bwMode="auto">
        <a:xfrm>
          <a:off x="4791075" y="7172739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208</xdr:row>
      <xdr:rowOff>42241</xdr:rowOff>
    </xdr:from>
    <xdr:ext cx="666750" cy="236468"/>
    <xdr:sp macro="" textlink="">
      <xdr:nvSpPr>
        <xdr:cNvPr id="206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B0980937-095C-4B5B-BDB1-CEF411D127BA}"/>
            </a:ext>
          </a:extLst>
        </xdr:cNvPr>
        <xdr:cNvSpPr/>
      </xdr:nvSpPr>
      <xdr:spPr bwMode="auto">
        <a:xfrm>
          <a:off x="5077653" y="7172739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112644</xdr:colOff>
      <xdr:row>208</xdr:row>
      <xdr:rowOff>18636</xdr:rowOff>
    </xdr:from>
    <xdr:ext cx="676275" cy="236468"/>
    <xdr:sp macro="" textlink="">
      <xdr:nvSpPr>
        <xdr:cNvPr id="207" name="Check Box 177" hidden="1">
          <a:extLst>
            <a:ext uri="{63B3BB69-23CF-44E3-9099-C40C66FF867C}">
              <a14:compatExt xmlns:a14="http://schemas.microsoft.com/office/drawing/2010/main" spid="_x0000_s21681"/>
            </a:ext>
            <a:ext uri="{FF2B5EF4-FFF2-40B4-BE49-F238E27FC236}">
              <a16:creationId xmlns:a16="http://schemas.microsoft.com/office/drawing/2014/main" id="{813BDD86-4BAD-449F-9D4A-4F556BAD548F}"/>
            </a:ext>
          </a:extLst>
        </xdr:cNvPr>
        <xdr:cNvSpPr/>
      </xdr:nvSpPr>
      <xdr:spPr bwMode="auto">
        <a:xfrm>
          <a:off x="4903719" y="71703786"/>
          <a:ext cx="676275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예</a:t>
          </a:r>
        </a:p>
      </xdr:txBody>
    </xdr:sp>
    <xdr:clientData/>
  </xdr:oneCellAnchor>
  <xdr:oneCellAnchor>
    <xdr:from>
      <xdr:col>7</xdr:col>
      <xdr:colOff>1420053</xdr:colOff>
      <xdr:row>208</xdr:row>
      <xdr:rowOff>42241</xdr:rowOff>
    </xdr:from>
    <xdr:ext cx="666750" cy="236468"/>
    <xdr:sp macro="" textlink="">
      <xdr:nvSpPr>
        <xdr:cNvPr id="208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B4564E06-94FD-4E7C-BD4C-18F4197382ED}"/>
            </a:ext>
          </a:extLst>
        </xdr:cNvPr>
        <xdr:cNvSpPr/>
      </xdr:nvSpPr>
      <xdr:spPr bwMode="auto">
        <a:xfrm>
          <a:off x="5077653" y="7172739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209</xdr:row>
      <xdr:rowOff>42241</xdr:rowOff>
    </xdr:from>
    <xdr:ext cx="666750" cy="236468"/>
    <xdr:sp macro="" textlink="">
      <xdr:nvSpPr>
        <xdr:cNvPr id="209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90350683-1EB6-4033-BF12-BB8C271D06D2}"/>
            </a:ext>
          </a:extLst>
        </xdr:cNvPr>
        <xdr:cNvSpPr/>
      </xdr:nvSpPr>
      <xdr:spPr bwMode="auto">
        <a:xfrm>
          <a:off x="4791075" y="7220364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209</xdr:row>
      <xdr:rowOff>42241</xdr:rowOff>
    </xdr:from>
    <xdr:ext cx="666750" cy="236468"/>
    <xdr:sp macro="" textlink="">
      <xdr:nvSpPr>
        <xdr:cNvPr id="210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DAF0DB81-84A8-4F3A-B231-3CB0A4327F9D}"/>
            </a:ext>
          </a:extLst>
        </xdr:cNvPr>
        <xdr:cNvSpPr/>
      </xdr:nvSpPr>
      <xdr:spPr bwMode="auto">
        <a:xfrm>
          <a:off x="5077653" y="7220364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209</xdr:row>
      <xdr:rowOff>42241</xdr:rowOff>
    </xdr:from>
    <xdr:ext cx="666750" cy="236468"/>
    <xdr:sp macro="" textlink="">
      <xdr:nvSpPr>
        <xdr:cNvPr id="211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7CE239A8-5E7E-48D3-BD16-6FB5BF3FB812}"/>
            </a:ext>
          </a:extLst>
        </xdr:cNvPr>
        <xdr:cNvSpPr/>
      </xdr:nvSpPr>
      <xdr:spPr bwMode="auto">
        <a:xfrm>
          <a:off x="4791075" y="7220364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209</xdr:row>
      <xdr:rowOff>42241</xdr:rowOff>
    </xdr:from>
    <xdr:ext cx="666750" cy="236468"/>
    <xdr:sp macro="" textlink="">
      <xdr:nvSpPr>
        <xdr:cNvPr id="212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3FD90CB6-AACC-45C6-89E5-E61753D40BB1}"/>
            </a:ext>
          </a:extLst>
        </xdr:cNvPr>
        <xdr:cNvSpPr/>
      </xdr:nvSpPr>
      <xdr:spPr bwMode="auto">
        <a:xfrm>
          <a:off x="5077653" y="7220364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112644</xdr:colOff>
      <xdr:row>209</xdr:row>
      <xdr:rowOff>18636</xdr:rowOff>
    </xdr:from>
    <xdr:ext cx="676275" cy="236468"/>
    <xdr:sp macro="" textlink="">
      <xdr:nvSpPr>
        <xdr:cNvPr id="213" name="Check Box 177" hidden="1">
          <a:extLst>
            <a:ext uri="{63B3BB69-23CF-44E3-9099-C40C66FF867C}">
              <a14:compatExt xmlns:a14="http://schemas.microsoft.com/office/drawing/2010/main" spid="_x0000_s21681"/>
            </a:ext>
            <a:ext uri="{FF2B5EF4-FFF2-40B4-BE49-F238E27FC236}">
              <a16:creationId xmlns:a16="http://schemas.microsoft.com/office/drawing/2014/main" id="{9B23C4EA-2EB3-4DF7-AD0D-BA532C81F677}"/>
            </a:ext>
          </a:extLst>
        </xdr:cNvPr>
        <xdr:cNvSpPr/>
      </xdr:nvSpPr>
      <xdr:spPr bwMode="auto">
        <a:xfrm>
          <a:off x="4903719" y="72180036"/>
          <a:ext cx="676275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예</a:t>
          </a:r>
        </a:p>
      </xdr:txBody>
    </xdr:sp>
    <xdr:clientData/>
  </xdr:oneCellAnchor>
  <xdr:oneCellAnchor>
    <xdr:from>
      <xdr:col>7</xdr:col>
      <xdr:colOff>1420053</xdr:colOff>
      <xdr:row>209</xdr:row>
      <xdr:rowOff>42241</xdr:rowOff>
    </xdr:from>
    <xdr:ext cx="666750" cy="236468"/>
    <xdr:sp macro="" textlink="">
      <xdr:nvSpPr>
        <xdr:cNvPr id="214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D7A67D26-C9C7-4E5D-9F33-FAD3CC3A030D}"/>
            </a:ext>
          </a:extLst>
        </xdr:cNvPr>
        <xdr:cNvSpPr/>
      </xdr:nvSpPr>
      <xdr:spPr bwMode="auto">
        <a:xfrm>
          <a:off x="5077653" y="7220364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210</xdr:row>
      <xdr:rowOff>42241</xdr:rowOff>
    </xdr:from>
    <xdr:ext cx="666750" cy="236468"/>
    <xdr:sp macro="" textlink="">
      <xdr:nvSpPr>
        <xdr:cNvPr id="215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F0B07B9B-2A49-4821-9AF8-1E1A934EAA31}"/>
            </a:ext>
          </a:extLst>
        </xdr:cNvPr>
        <xdr:cNvSpPr/>
      </xdr:nvSpPr>
      <xdr:spPr bwMode="auto">
        <a:xfrm>
          <a:off x="4791075" y="7263226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210</xdr:row>
      <xdr:rowOff>42241</xdr:rowOff>
    </xdr:from>
    <xdr:ext cx="666750" cy="236468"/>
    <xdr:sp macro="" textlink="">
      <xdr:nvSpPr>
        <xdr:cNvPr id="216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FD4496E6-5A52-491C-857D-183EE3825D3E}"/>
            </a:ext>
          </a:extLst>
        </xdr:cNvPr>
        <xdr:cNvSpPr/>
      </xdr:nvSpPr>
      <xdr:spPr bwMode="auto">
        <a:xfrm>
          <a:off x="5077653" y="7263226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210</xdr:row>
      <xdr:rowOff>42241</xdr:rowOff>
    </xdr:from>
    <xdr:ext cx="666750" cy="236468"/>
    <xdr:sp macro="" textlink="">
      <xdr:nvSpPr>
        <xdr:cNvPr id="217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8F9816EB-295A-4A30-9401-C72BA4CF7048}"/>
            </a:ext>
          </a:extLst>
        </xdr:cNvPr>
        <xdr:cNvSpPr/>
      </xdr:nvSpPr>
      <xdr:spPr bwMode="auto">
        <a:xfrm>
          <a:off x="4791075" y="7263226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210</xdr:row>
      <xdr:rowOff>42241</xdr:rowOff>
    </xdr:from>
    <xdr:ext cx="666750" cy="236468"/>
    <xdr:sp macro="" textlink="">
      <xdr:nvSpPr>
        <xdr:cNvPr id="218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4C27A505-4D37-421F-851D-41EE970A2E5C}"/>
            </a:ext>
          </a:extLst>
        </xdr:cNvPr>
        <xdr:cNvSpPr/>
      </xdr:nvSpPr>
      <xdr:spPr bwMode="auto">
        <a:xfrm>
          <a:off x="5077653" y="7263226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112644</xdr:colOff>
      <xdr:row>210</xdr:row>
      <xdr:rowOff>18636</xdr:rowOff>
    </xdr:from>
    <xdr:ext cx="676275" cy="236468"/>
    <xdr:sp macro="" textlink="">
      <xdr:nvSpPr>
        <xdr:cNvPr id="219" name="Check Box 177" hidden="1">
          <a:extLst>
            <a:ext uri="{63B3BB69-23CF-44E3-9099-C40C66FF867C}">
              <a14:compatExt xmlns:a14="http://schemas.microsoft.com/office/drawing/2010/main" spid="_x0000_s21681"/>
            </a:ext>
            <a:ext uri="{FF2B5EF4-FFF2-40B4-BE49-F238E27FC236}">
              <a16:creationId xmlns:a16="http://schemas.microsoft.com/office/drawing/2014/main" id="{9EEA1715-4609-4C1C-BE50-43E616FD3FF8}"/>
            </a:ext>
          </a:extLst>
        </xdr:cNvPr>
        <xdr:cNvSpPr/>
      </xdr:nvSpPr>
      <xdr:spPr bwMode="auto">
        <a:xfrm>
          <a:off x="4903719" y="72608661"/>
          <a:ext cx="676275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예</a:t>
          </a:r>
        </a:p>
      </xdr:txBody>
    </xdr:sp>
    <xdr:clientData/>
  </xdr:oneCellAnchor>
  <xdr:oneCellAnchor>
    <xdr:from>
      <xdr:col>7</xdr:col>
      <xdr:colOff>1420053</xdr:colOff>
      <xdr:row>210</xdr:row>
      <xdr:rowOff>42241</xdr:rowOff>
    </xdr:from>
    <xdr:ext cx="666750" cy="236468"/>
    <xdr:sp macro="" textlink="">
      <xdr:nvSpPr>
        <xdr:cNvPr id="220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FDC350B9-BA5B-4FF1-988F-16A014767943}"/>
            </a:ext>
          </a:extLst>
        </xdr:cNvPr>
        <xdr:cNvSpPr/>
      </xdr:nvSpPr>
      <xdr:spPr bwMode="auto">
        <a:xfrm>
          <a:off x="5077653" y="7263226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211</xdr:row>
      <xdr:rowOff>42241</xdr:rowOff>
    </xdr:from>
    <xdr:ext cx="666750" cy="236468"/>
    <xdr:sp macro="" textlink="">
      <xdr:nvSpPr>
        <xdr:cNvPr id="221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DB04AA2C-40DA-4C78-B3F9-4A94A38AC699}"/>
            </a:ext>
          </a:extLst>
        </xdr:cNvPr>
        <xdr:cNvSpPr/>
      </xdr:nvSpPr>
      <xdr:spPr bwMode="auto">
        <a:xfrm>
          <a:off x="4791075" y="7322281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211</xdr:row>
      <xdr:rowOff>42241</xdr:rowOff>
    </xdr:from>
    <xdr:ext cx="666750" cy="236468"/>
    <xdr:sp macro="" textlink="">
      <xdr:nvSpPr>
        <xdr:cNvPr id="222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440769DD-0315-4E3F-8C04-28C9F969812D}"/>
            </a:ext>
          </a:extLst>
        </xdr:cNvPr>
        <xdr:cNvSpPr/>
      </xdr:nvSpPr>
      <xdr:spPr bwMode="auto">
        <a:xfrm>
          <a:off x="5077653" y="7322281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211</xdr:row>
      <xdr:rowOff>42241</xdr:rowOff>
    </xdr:from>
    <xdr:ext cx="666750" cy="236468"/>
    <xdr:sp macro="" textlink="">
      <xdr:nvSpPr>
        <xdr:cNvPr id="223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B47C9137-3369-4B78-AE4F-9B492DBDEBDD}"/>
            </a:ext>
          </a:extLst>
        </xdr:cNvPr>
        <xdr:cNvSpPr/>
      </xdr:nvSpPr>
      <xdr:spPr bwMode="auto">
        <a:xfrm>
          <a:off x="4791075" y="7322281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211</xdr:row>
      <xdr:rowOff>42241</xdr:rowOff>
    </xdr:from>
    <xdr:ext cx="666750" cy="236468"/>
    <xdr:sp macro="" textlink="">
      <xdr:nvSpPr>
        <xdr:cNvPr id="224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341CC5A4-CD63-4BCE-9061-B5C91FAEF121}"/>
            </a:ext>
          </a:extLst>
        </xdr:cNvPr>
        <xdr:cNvSpPr/>
      </xdr:nvSpPr>
      <xdr:spPr bwMode="auto">
        <a:xfrm>
          <a:off x="5077653" y="7322281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112644</xdr:colOff>
      <xdr:row>211</xdr:row>
      <xdr:rowOff>18636</xdr:rowOff>
    </xdr:from>
    <xdr:ext cx="676275" cy="236468"/>
    <xdr:sp macro="" textlink="">
      <xdr:nvSpPr>
        <xdr:cNvPr id="225" name="Check Box 177" hidden="1">
          <a:extLst>
            <a:ext uri="{63B3BB69-23CF-44E3-9099-C40C66FF867C}">
              <a14:compatExt xmlns:a14="http://schemas.microsoft.com/office/drawing/2010/main" spid="_x0000_s21681"/>
            </a:ext>
            <a:ext uri="{FF2B5EF4-FFF2-40B4-BE49-F238E27FC236}">
              <a16:creationId xmlns:a16="http://schemas.microsoft.com/office/drawing/2014/main" id="{ED974E98-4354-4ACE-AE77-C8223BF85C35}"/>
            </a:ext>
          </a:extLst>
        </xdr:cNvPr>
        <xdr:cNvSpPr/>
      </xdr:nvSpPr>
      <xdr:spPr bwMode="auto">
        <a:xfrm>
          <a:off x="4903719" y="73199211"/>
          <a:ext cx="676275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예</a:t>
          </a:r>
        </a:p>
      </xdr:txBody>
    </xdr:sp>
    <xdr:clientData/>
  </xdr:oneCellAnchor>
  <xdr:oneCellAnchor>
    <xdr:from>
      <xdr:col>7</xdr:col>
      <xdr:colOff>1420053</xdr:colOff>
      <xdr:row>211</xdr:row>
      <xdr:rowOff>42241</xdr:rowOff>
    </xdr:from>
    <xdr:ext cx="666750" cy="236468"/>
    <xdr:sp macro="" textlink="">
      <xdr:nvSpPr>
        <xdr:cNvPr id="226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25A1B9E2-C559-4D51-B642-C6D993A731C0}"/>
            </a:ext>
          </a:extLst>
        </xdr:cNvPr>
        <xdr:cNvSpPr/>
      </xdr:nvSpPr>
      <xdr:spPr bwMode="auto">
        <a:xfrm>
          <a:off x="5077653" y="7322281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214</xdr:row>
      <xdr:rowOff>42241</xdr:rowOff>
    </xdr:from>
    <xdr:ext cx="666750" cy="236468"/>
    <xdr:sp macro="" textlink="">
      <xdr:nvSpPr>
        <xdr:cNvPr id="227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84AD7E20-8076-45B0-B5F8-2183BB02798F}"/>
            </a:ext>
          </a:extLst>
        </xdr:cNvPr>
        <xdr:cNvSpPr/>
      </xdr:nvSpPr>
      <xdr:spPr bwMode="auto">
        <a:xfrm>
          <a:off x="4791075" y="7446106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214</xdr:row>
      <xdr:rowOff>42241</xdr:rowOff>
    </xdr:from>
    <xdr:ext cx="666750" cy="236468"/>
    <xdr:sp macro="" textlink="">
      <xdr:nvSpPr>
        <xdr:cNvPr id="228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BC3D1387-29E3-4F13-A2FF-5E86F64E3E57}"/>
            </a:ext>
          </a:extLst>
        </xdr:cNvPr>
        <xdr:cNvSpPr/>
      </xdr:nvSpPr>
      <xdr:spPr bwMode="auto">
        <a:xfrm>
          <a:off x="5077653" y="7446106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214</xdr:row>
      <xdr:rowOff>42241</xdr:rowOff>
    </xdr:from>
    <xdr:ext cx="666750" cy="236468"/>
    <xdr:sp macro="" textlink="">
      <xdr:nvSpPr>
        <xdr:cNvPr id="229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99B7F840-FD0A-4D4F-A808-1DBA7F16200F}"/>
            </a:ext>
          </a:extLst>
        </xdr:cNvPr>
        <xdr:cNvSpPr/>
      </xdr:nvSpPr>
      <xdr:spPr bwMode="auto">
        <a:xfrm>
          <a:off x="4791075" y="7446106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214</xdr:row>
      <xdr:rowOff>42241</xdr:rowOff>
    </xdr:from>
    <xdr:ext cx="666750" cy="236468"/>
    <xdr:sp macro="" textlink="">
      <xdr:nvSpPr>
        <xdr:cNvPr id="230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F0282AE2-E3F4-471F-9207-EA3C237741C8}"/>
            </a:ext>
          </a:extLst>
        </xdr:cNvPr>
        <xdr:cNvSpPr/>
      </xdr:nvSpPr>
      <xdr:spPr bwMode="auto">
        <a:xfrm>
          <a:off x="5077653" y="7446106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112644</xdr:colOff>
      <xdr:row>214</xdr:row>
      <xdr:rowOff>18636</xdr:rowOff>
    </xdr:from>
    <xdr:ext cx="676275" cy="236468"/>
    <xdr:sp macro="" textlink="">
      <xdr:nvSpPr>
        <xdr:cNvPr id="231" name="Check Box 177" hidden="1">
          <a:extLst>
            <a:ext uri="{63B3BB69-23CF-44E3-9099-C40C66FF867C}">
              <a14:compatExt xmlns:a14="http://schemas.microsoft.com/office/drawing/2010/main" spid="_x0000_s21681"/>
            </a:ext>
            <a:ext uri="{FF2B5EF4-FFF2-40B4-BE49-F238E27FC236}">
              <a16:creationId xmlns:a16="http://schemas.microsoft.com/office/drawing/2014/main" id="{612B9127-98A0-4A51-AE2F-5742EA60C9AD}"/>
            </a:ext>
          </a:extLst>
        </xdr:cNvPr>
        <xdr:cNvSpPr/>
      </xdr:nvSpPr>
      <xdr:spPr bwMode="auto">
        <a:xfrm>
          <a:off x="4903719" y="74437461"/>
          <a:ext cx="676275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예</a:t>
          </a:r>
        </a:p>
      </xdr:txBody>
    </xdr:sp>
    <xdr:clientData/>
  </xdr:oneCellAnchor>
  <xdr:oneCellAnchor>
    <xdr:from>
      <xdr:col>7</xdr:col>
      <xdr:colOff>1420053</xdr:colOff>
      <xdr:row>214</xdr:row>
      <xdr:rowOff>42241</xdr:rowOff>
    </xdr:from>
    <xdr:ext cx="666750" cy="236468"/>
    <xdr:sp macro="" textlink="">
      <xdr:nvSpPr>
        <xdr:cNvPr id="232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CBE68C64-23CA-4BC4-BE76-B5F9FE9887D0}"/>
            </a:ext>
          </a:extLst>
        </xdr:cNvPr>
        <xdr:cNvSpPr/>
      </xdr:nvSpPr>
      <xdr:spPr bwMode="auto">
        <a:xfrm>
          <a:off x="5077653" y="7446106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214</xdr:row>
      <xdr:rowOff>42241</xdr:rowOff>
    </xdr:from>
    <xdr:ext cx="666750" cy="236468"/>
    <xdr:sp macro="" textlink="">
      <xdr:nvSpPr>
        <xdr:cNvPr id="233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80F1517F-3F3F-4006-9B3D-3B947DB57B60}"/>
            </a:ext>
          </a:extLst>
        </xdr:cNvPr>
        <xdr:cNvSpPr/>
      </xdr:nvSpPr>
      <xdr:spPr bwMode="auto">
        <a:xfrm>
          <a:off x="4791075" y="7446106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214</xdr:row>
      <xdr:rowOff>42241</xdr:rowOff>
    </xdr:from>
    <xdr:ext cx="666750" cy="236468"/>
    <xdr:sp macro="" textlink="">
      <xdr:nvSpPr>
        <xdr:cNvPr id="234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38812BA4-CBF1-4B54-8E50-1B00682AC5AF}"/>
            </a:ext>
          </a:extLst>
        </xdr:cNvPr>
        <xdr:cNvSpPr/>
      </xdr:nvSpPr>
      <xdr:spPr bwMode="auto">
        <a:xfrm>
          <a:off x="5077653" y="7446106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214</xdr:row>
      <xdr:rowOff>42241</xdr:rowOff>
    </xdr:from>
    <xdr:ext cx="666750" cy="236468"/>
    <xdr:sp macro="" textlink="">
      <xdr:nvSpPr>
        <xdr:cNvPr id="235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464CF89C-2A7E-453A-B470-07BF61CFBBE9}"/>
            </a:ext>
          </a:extLst>
        </xdr:cNvPr>
        <xdr:cNvSpPr/>
      </xdr:nvSpPr>
      <xdr:spPr bwMode="auto">
        <a:xfrm>
          <a:off x="4791075" y="7446106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214</xdr:row>
      <xdr:rowOff>42241</xdr:rowOff>
    </xdr:from>
    <xdr:ext cx="666750" cy="236468"/>
    <xdr:sp macro="" textlink="">
      <xdr:nvSpPr>
        <xdr:cNvPr id="236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29701059-EC9E-4E0B-8AB0-892E1D9F5836}"/>
            </a:ext>
          </a:extLst>
        </xdr:cNvPr>
        <xdr:cNvSpPr/>
      </xdr:nvSpPr>
      <xdr:spPr bwMode="auto">
        <a:xfrm>
          <a:off x="5077653" y="7446106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112644</xdr:colOff>
      <xdr:row>214</xdr:row>
      <xdr:rowOff>18636</xdr:rowOff>
    </xdr:from>
    <xdr:ext cx="676275" cy="236468"/>
    <xdr:sp macro="" textlink="">
      <xdr:nvSpPr>
        <xdr:cNvPr id="237" name="Check Box 177" hidden="1">
          <a:extLst>
            <a:ext uri="{63B3BB69-23CF-44E3-9099-C40C66FF867C}">
              <a14:compatExt xmlns:a14="http://schemas.microsoft.com/office/drawing/2010/main" spid="_x0000_s21681"/>
            </a:ext>
            <a:ext uri="{FF2B5EF4-FFF2-40B4-BE49-F238E27FC236}">
              <a16:creationId xmlns:a16="http://schemas.microsoft.com/office/drawing/2014/main" id="{C319B92D-010A-4063-94E2-BE0BC8529D53}"/>
            </a:ext>
          </a:extLst>
        </xdr:cNvPr>
        <xdr:cNvSpPr/>
      </xdr:nvSpPr>
      <xdr:spPr bwMode="auto">
        <a:xfrm>
          <a:off x="4903719" y="74437461"/>
          <a:ext cx="676275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예</a:t>
          </a:r>
        </a:p>
      </xdr:txBody>
    </xdr:sp>
    <xdr:clientData/>
  </xdr:oneCellAnchor>
  <xdr:oneCellAnchor>
    <xdr:from>
      <xdr:col>7</xdr:col>
      <xdr:colOff>1420053</xdr:colOff>
      <xdr:row>214</xdr:row>
      <xdr:rowOff>42241</xdr:rowOff>
    </xdr:from>
    <xdr:ext cx="666750" cy="236468"/>
    <xdr:sp macro="" textlink="">
      <xdr:nvSpPr>
        <xdr:cNvPr id="238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60B66001-FBDA-4960-84D4-04DCF874B721}"/>
            </a:ext>
          </a:extLst>
        </xdr:cNvPr>
        <xdr:cNvSpPr/>
      </xdr:nvSpPr>
      <xdr:spPr bwMode="auto">
        <a:xfrm>
          <a:off x="5077653" y="7446106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215</xdr:row>
      <xdr:rowOff>42241</xdr:rowOff>
    </xdr:from>
    <xdr:ext cx="666750" cy="236468"/>
    <xdr:sp macro="" textlink="">
      <xdr:nvSpPr>
        <xdr:cNvPr id="239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A972D3AB-CED9-4AAB-BD65-EEE230E3F180}"/>
            </a:ext>
          </a:extLst>
        </xdr:cNvPr>
        <xdr:cNvSpPr/>
      </xdr:nvSpPr>
      <xdr:spPr bwMode="auto">
        <a:xfrm>
          <a:off x="4791075" y="7495636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215</xdr:row>
      <xdr:rowOff>42241</xdr:rowOff>
    </xdr:from>
    <xdr:ext cx="666750" cy="236468"/>
    <xdr:sp macro="" textlink="">
      <xdr:nvSpPr>
        <xdr:cNvPr id="240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86A469AE-401E-4A7E-8E52-BB8F49F0B7F4}"/>
            </a:ext>
          </a:extLst>
        </xdr:cNvPr>
        <xdr:cNvSpPr/>
      </xdr:nvSpPr>
      <xdr:spPr bwMode="auto">
        <a:xfrm>
          <a:off x="5077653" y="7495636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215</xdr:row>
      <xdr:rowOff>42241</xdr:rowOff>
    </xdr:from>
    <xdr:ext cx="666750" cy="236468"/>
    <xdr:sp macro="" textlink="">
      <xdr:nvSpPr>
        <xdr:cNvPr id="241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E8929DE6-BF54-4A65-BDD4-5A543E8EDA50}"/>
            </a:ext>
          </a:extLst>
        </xdr:cNvPr>
        <xdr:cNvSpPr/>
      </xdr:nvSpPr>
      <xdr:spPr bwMode="auto">
        <a:xfrm>
          <a:off x="4791075" y="7495636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215</xdr:row>
      <xdr:rowOff>42241</xdr:rowOff>
    </xdr:from>
    <xdr:ext cx="666750" cy="236468"/>
    <xdr:sp macro="" textlink="">
      <xdr:nvSpPr>
        <xdr:cNvPr id="242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8042156D-EF2B-4D33-8530-4034ED30BD9D}"/>
            </a:ext>
          </a:extLst>
        </xdr:cNvPr>
        <xdr:cNvSpPr/>
      </xdr:nvSpPr>
      <xdr:spPr bwMode="auto">
        <a:xfrm>
          <a:off x="5077653" y="7495636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112644</xdr:colOff>
      <xdr:row>215</xdr:row>
      <xdr:rowOff>18636</xdr:rowOff>
    </xdr:from>
    <xdr:ext cx="676275" cy="236468"/>
    <xdr:sp macro="" textlink="">
      <xdr:nvSpPr>
        <xdr:cNvPr id="243" name="Check Box 177" hidden="1">
          <a:extLst>
            <a:ext uri="{63B3BB69-23CF-44E3-9099-C40C66FF867C}">
              <a14:compatExt xmlns:a14="http://schemas.microsoft.com/office/drawing/2010/main" spid="_x0000_s21681"/>
            </a:ext>
            <a:ext uri="{FF2B5EF4-FFF2-40B4-BE49-F238E27FC236}">
              <a16:creationId xmlns:a16="http://schemas.microsoft.com/office/drawing/2014/main" id="{B1817FD3-53AF-4830-A71B-ADEDE829EF9B}"/>
            </a:ext>
          </a:extLst>
        </xdr:cNvPr>
        <xdr:cNvSpPr/>
      </xdr:nvSpPr>
      <xdr:spPr bwMode="auto">
        <a:xfrm>
          <a:off x="4903719" y="74932761"/>
          <a:ext cx="676275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예</a:t>
          </a:r>
        </a:p>
      </xdr:txBody>
    </xdr:sp>
    <xdr:clientData/>
  </xdr:oneCellAnchor>
  <xdr:oneCellAnchor>
    <xdr:from>
      <xdr:col>7</xdr:col>
      <xdr:colOff>1420053</xdr:colOff>
      <xdr:row>215</xdr:row>
      <xdr:rowOff>42241</xdr:rowOff>
    </xdr:from>
    <xdr:ext cx="666750" cy="236468"/>
    <xdr:sp macro="" textlink="">
      <xdr:nvSpPr>
        <xdr:cNvPr id="244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81327617-19AD-4AC2-BD31-E91758B3F46E}"/>
            </a:ext>
          </a:extLst>
        </xdr:cNvPr>
        <xdr:cNvSpPr/>
      </xdr:nvSpPr>
      <xdr:spPr bwMode="auto">
        <a:xfrm>
          <a:off x="5077653" y="7495636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20</xdr:row>
      <xdr:rowOff>42241</xdr:rowOff>
    </xdr:from>
    <xdr:ext cx="666750" cy="236468"/>
    <xdr:sp macro="" textlink="">
      <xdr:nvSpPr>
        <xdr:cNvPr id="245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31FD834E-0A97-4769-B1DD-4B705C9C9AEA}"/>
            </a:ext>
          </a:extLst>
        </xdr:cNvPr>
        <xdr:cNvSpPr/>
      </xdr:nvSpPr>
      <xdr:spPr bwMode="auto">
        <a:xfrm>
          <a:off x="4791075" y="676689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20</xdr:row>
      <xdr:rowOff>42241</xdr:rowOff>
    </xdr:from>
    <xdr:ext cx="666750" cy="236468"/>
    <xdr:sp macro="" textlink="">
      <xdr:nvSpPr>
        <xdr:cNvPr id="246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962B1C73-7943-4B20-8FFC-12C37A9B28C3}"/>
            </a:ext>
          </a:extLst>
        </xdr:cNvPr>
        <xdr:cNvSpPr/>
      </xdr:nvSpPr>
      <xdr:spPr bwMode="auto">
        <a:xfrm>
          <a:off x="5077653" y="676689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20</xdr:row>
      <xdr:rowOff>42241</xdr:rowOff>
    </xdr:from>
    <xdr:ext cx="666750" cy="236468"/>
    <xdr:sp macro="" textlink="">
      <xdr:nvSpPr>
        <xdr:cNvPr id="247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ADDDCFBE-6B0F-45DC-A49A-79E583743EF7}"/>
            </a:ext>
          </a:extLst>
        </xdr:cNvPr>
        <xdr:cNvSpPr/>
      </xdr:nvSpPr>
      <xdr:spPr bwMode="auto">
        <a:xfrm>
          <a:off x="4791075" y="676689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20</xdr:row>
      <xdr:rowOff>42241</xdr:rowOff>
    </xdr:from>
    <xdr:ext cx="666750" cy="236468"/>
    <xdr:sp macro="" textlink="">
      <xdr:nvSpPr>
        <xdr:cNvPr id="248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98030E0B-DD08-4F48-B088-679F99FC9A0F}"/>
            </a:ext>
          </a:extLst>
        </xdr:cNvPr>
        <xdr:cNvSpPr/>
      </xdr:nvSpPr>
      <xdr:spPr bwMode="auto">
        <a:xfrm>
          <a:off x="5077653" y="676689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112644</xdr:colOff>
      <xdr:row>20</xdr:row>
      <xdr:rowOff>18636</xdr:rowOff>
    </xdr:from>
    <xdr:ext cx="676275" cy="236468"/>
    <xdr:sp macro="" textlink="">
      <xdr:nvSpPr>
        <xdr:cNvPr id="249" name="Check Box 177" hidden="1">
          <a:extLst>
            <a:ext uri="{63B3BB69-23CF-44E3-9099-C40C66FF867C}">
              <a14:compatExt xmlns:a14="http://schemas.microsoft.com/office/drawing/2010/main" spid="_x0000_s21681"/>
            </a:ext>
            <a:ext uri="{FF2B5EF4-FFF2-40B4-BE49-F238E27FC236}">
              <a16:creationId xmlns:a16="http://schemas.microsoft.com/office/drawing/2014/main" id="{601510D2-8951-48C9-8052-3AE11ABB1FA4}"/>
            </a:ext>
          </a:extLst>
        </xdr:cNvPr>
        <xdr:cNvSpPr/>
      </xdr:nvSpPr>
      <xdr:spPr bwMode="auto">
        <a:xfrm>
          <a:off x="4903719" y="6743286"/>
          <a:ext cx="676275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예</a:t>
          </a:r>
        </a:p>
      </xdr:txBody>
    </xdr:sp>
    <xdr:clientData/>
  </xdr:oneCellAnchor>
  <xdr:oneCellAnchor>
    <xdr:from>
      <xdr:col>7</xdr:col>
      <xdr:colOff>1420053</xdr:colOff>
      <xdr:row>20</xdr:row>
      <xdr:rowOff>42241</xdr:rowOff>
    </xdr:from>
    <xdr:ext cx="666750" cy="236468"/>
    <xdr:sp macro="" textlink="">
      <xdr:nvSpPr>
        <xdr:cNvPr id="250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A314F094-D94D-4035-8E0E-8EDCC9043327}"/>
            </a:ext>
          </a:extLst>
        </xdr:cNvPr>
        <xdr:cNvSpPr/>
      </xdr:nvSpPr>
      <xdr:spPr bwMode="auto">
        <a:xfrm>
          <a:off x="5077653" y="676689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34</xdr:row>
      <xdr:rowOff>42241</xdr:rowOff>
    </xdr:from>
    <xdr:ext cx="666750" cy="236468"/>
    <xdr:sp macro="" textlink="">
      <xdr:nvSpPr>
        <xdr:cNvPr id="251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96013A33-008B-438E-A2DE-8A1F7AA88CC9}"/>
            </a:ext>
          </a:extLst>
        </xdr:cNvPr>
        <xdr:cNvSpPr/>
      </xdr:nvSpPr>
      <xdr:spPr bwMode="auto">
        <a:xfrm>
          <a:off x="4791075" y="1242474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34</xdr:row>
      <xdr:rowOff>42241</xdr:rowOff>
    </xdr:from>
    <xdr:ext cx="666750" cy="236468"/>
    <xdr:sp macro="" textlink="">
      <xdr:nvSpPr>
        <xdr:cNvPr id="252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414E7CAD-3BF2-42CD-840F-0976C00358AA}"/>
            </a:ext>
          </a:extLst>
        </xdr:cNvPr>
        <xdr:cNvSpPr/>
      </xdr:nvSpPr>
      <xdr:spPr bwMode="auto">
        <a:xfrm>
          <a:off x="5077653" y="1242474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34</xdr:row>
      <xdr:rowOff>42241</xdr:rowOff>
    </xdr:from>
    <xdr:ext cx="666750" cy="236468"/>
    <xdr:sp macro="" textlink="">
      <xdr:nvSpPr>
        <xdr:cNvPr id="253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BB4545CC-EF1E-4285-8087-6472375D5AD6}"/>
            </a:ext>
          </a:extLst>
        </xdr:cNvPr>
        <xdr:cNvSpPr/>
      </xdr:nvSpPr>
      <xdr:spPr bwMode="auto">
        <a:xfrm>
          <a:off x="4791075" y="1242474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34</xdr:row>
      <xdr:rowOff>42241</xdr:rowOff>
    </xdr:from>
    <xdr:ext cx="666750" cy="236468"/>
    <xdr:sp macro="" textlink="">
      <xdr:nvSpPr>
        <xdr:cNvPr id="254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B4A37610-4383-4FD7-9020-B5990CF3D68C}"/>
            </a:ext>
          </a:extLst>
        </xdr:cNvPr>
        <xdr:cNvSpPr/>
      </xdr:nvSpPr>
      <xdr:spPr bwMode="auto">
        <a:xfrm>
          <a:off x="5077653" y="1242474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34</xdr:row>
      <xdr:rowOff>42241</xdr:rowOff>
    </xdr:from>
    <xdr:ext cx="666750" cy="236468"/>
    <xdr:sp macro="" textlink="">
      <xdr:nvSpPr>
        <xdr:cNvPr id="255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71E5A30E-0609-488A-9FD6-12D18EDF795A}"/>
            </a:ext>
          </a:extLst>
        </xdr:cNvPr>
        <xdr:cNvSpPr/>
      </xdr:nvSpPr>
      <xdr:spPr bwMode="auto">
        <a:xfrm>
          <a:off x="4791075" y="1242474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34</xdr:row>
      <xdr:rowOff>42241</xdr:rowOff>
    </xdr:from>
    <xdr:ext cx="666750" cy="236468"/>
    <xdr:sp macro="" textlink="">
      <xdr:nvSpPr>
        <xdr:cNvPr id="256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57A4B5EF-57F7-4A52-9AD2-19A301A896A8}"/>
            </a:ext>
          </a:extLst>
        </xdr:cNvPr>
        <xdr:cNvSpPr/>
      </xdr:nvSpPr>
      <xdr:spPr bwMode="auto">
        <a:xfrm>
          <a:off x="5077653" y="1242474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34</xdr:row>
      <xdr:rowOff>42241</xdr:rowOff>
    </xdr:from>
    <xdr:ext cx="666750" cy="236468"/>
    <xdr:sp macro="" textlink="">
      <xdr:nvSpPr>
        <xdr:cNvPr id="257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7A3CD951-8A3A-488C-9627-804A12FD121A}"/>
            </a:ext>
          </a:extLst>
        </xdr:cNvPr>
        <xdr:cNvSpPr/>
      </xdr:nvSpPr>
      <xdr:spPr bwMode="auto">
        <a:xfrm>
          <a:off x="4791075" y="1242474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34</xdr:row>
      <xdr:rowOff>42241</xdr:rowOff>
    </xdr:from>
    <xdr:ext cx="666750" cy="236468"/>
    <xdr:sp macro="" textlink="">
      <xdr:nvSpPr>
        <xdr:cNvPr id="258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7EB49A38-2E44-4913-8035-80AF3D8D7D5D}"/>
            </a:ext>
          </a:extLst>
        </xdr:cNvPr>
        <xdr:cNvSpPr/>
      </xdr:nvSpPr>
      <xdr:spPr bwMode="auto">
        <a:xfrm>
          <a:off x="5077653" y="1242474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112644</xdr:colOff>
      <xdr:row>34</xdr:row>
      <xdr:rowOff>18636</xdr:rowOff>
    </xdr:from>
    <xdr:ext cx="676275" cy="236468"/>
    <xdr:sp macro="" textlink="">
      <xdr:nvSpPr>
        <xdr:cNvPr id="259" name="Check Box 177" hidden="1">
          <a:extLst>
            <a:ext uri="{63B3BB69-23CF-44E3-9099-C40C66FF867C}">
              <a14:compatExt xmlns:a14="http://schemas.microsoft.com/office/drawing/2010/main" spid="_x0000_s21681"/>
            </a:ext>
            <a:ext uri="{FF2B5EF4-FFF2-40B4-BE49-F238E27FC236}">
              <a16:creationId xmlns:a16="http://schemas.microsoft.com/office/drawing/2014/main" id="{0B1CF121-E953-4EDE-9D7F-6CD38182BB98}"/>
            </a:ext>
          </a:extLst>
        </xdr:cNvPr>
        <xdr:cNvSpPr/>
      </xdr:nvSpPr>
      <xdr:spPr bwMode="auto">
        <a:xfrm>
          <a:off x="4903719" y="12401136"/>
          <a:ext cx="676275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예</a:t>
          </a:r>
        </a:p>
      </xdr:txBody>
    </xdr:sp>
    <xdr:clientData/>
  </xdr:oneCellAnchor>
  <xdr:oneCellAnchor>
    <xdr:from>
      <xdr:col>7</xdr:col>
      <xdr:colOff>1420053</xdr:colOff>
      <xdr:row>34</xdr:row>
      <xdr:rowOff>42241</xdr:rowOff>
    </xdr:from>
    <xdr:ext cx="666750" cy="236468"/>
    <xdr:sp macro="" textlink="">
      <xdr:nvSpPr>
        <xdr:cNvPr id="260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821E414F-146F-4683-9E2C-8BD161610A55}"/>
            </a:ext>
          </a:extLst>
        </xdr:cNvPr>
        <xdr:cNvSpPr/>
      </xdr:nvSpPr>
      <xdr:spPr bwMode="auto">
        <a:xfrm>
          <a:off x="5077653" y="1242474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37</xdr:row>
      <xdr:rowOff>42241</xdr:rowOff>
    </xdr:from>
    <xdr:ext cx="666750" cy="236468"/>
    <xdr:sp macro="" textlink="">
      <xdr:nvSpPr>
        <xdr:cNvPr id="261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F422E055-1242-4D62-A81D-7F81338C6644}"/>
            </a:ext>
          </a:extLst>
        </xdr:cNvPr>
        <xdr:cNvSpPr/>
      </xdr:nvSpPr>
      <xdr:spPr bwMode="auto">
        <a:xfrm>
          <a:off x="4791075" y="1406304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37</xdr:row>
      <xdr:rowOff>42241</xdr:rowOff>
    </xdr:from>
    <xdr:ext cx="666750" cy="236468"/>
    <xdr:sp macro="" textlink="">
      <xdr:nvSpPr>
        <xdr:cNvPr id="262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78BF758F-386D-4B46-832E-B5B5FB6D3460}"/>
            </a:ext>
          </a:extLst>
        </xdr:cNvPr>
        <xdr:cNvSpPr/>
      </xdr:nvSpPr>
      <xdr:spPr bwMode="auto">
        <a:xfrm>
          <a:off x="5077653" y="1406304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37</xdr:row>
      <xdr:rowOff>42241</xdr:rowOff>
    </xdr:from>
    <xdr:ext cx="666750" cy="236468"/>
    <xdr:sp macro="" textlink="">
      <xdr:nvSpPr>
        <xdr:cNvPr id="263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AFFD9632-88CA-45FD-8419-DE9E10CA395A}"/>
            </a:ext>
          </a:extLst>
        </xdr:cNvPr>
        <xdr:cNvSpPr/>
      </xdr:nvSpPr>
      <xdr:spPr bwMode="auto">
        <a:xfrm>
          <a:off x="4791075" y="1406304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37</xdr:row>
      <xdr:rowOff>42241</xdr:rowOff>
    </xdr:from>
    <xdr:ext cx="666750" cy="236468"/>
    <xdr:sp macro="" textlink="">
      <xdr:nvSpPr>
        <xdr:cNvPr id="264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FB1C6A10-FF1A-42FA-8013-4AC4951AB7C7}"/>
            </a:ext>
          </a:extLst>
        </xdr:cNvPr>
        <xdr:cNvSpPr/>
      </xdr:nvSpPr>
      <xdr:spPr bwMode="auto">
        <a:xfrm>
          <a:off x="5077653" y="1406304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37</xdr:row>
      <xdr:rowOff>42241</xdr:rowOff>
    </xdr:from>
    <xdr:ext cx="666750" cy="236468"/>
    <xdr:sp macro="" textlink="">
      <xdr:nvSpPr>
        <xdr:cNvPr id="265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D4AD4300-C382-4E51-8A67-8C89E5D1A719}"/>
            </a:ext>
          </a:extLst>
        </xdr:cNvPr>
        <xdr:cNvSpPr/>
      </xdr:nvSpPr>
      <xdr:spPr bwMode="auto">
        <a:xfrm>
          <a:off x="4791075" y="1406304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37</xdr:row>
      <xdr:rowOff>42241</xdr:rowOff>
    </xdr:from>
    <xdr:ext cx="666750" cy="236468"/>
    <xdr:sp macro="" textlink="">
      <xdr:nvSpPr>
        <xdr:cNvPr id="266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93C43671-4E35-45FE-A8B1-B7612C827219}"/>
            </a:ext>
          </a:extLst>
        </xdr:cNvPr>
        <xdr:cNvSpPr/>
      </xdr:nvSpPr>
      <xdr:spPr bwMode="auto">
        <a:xfrm>
          <a:off x="5077653" y="1406304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37</xdr:row>
      <xdr:rowOff>42241</xdr:rowOff>
    </xdr:from>
    <xdr:ext cx="666750" cy="236468"/>
    <xdr:sp macro="" textlink="">
      <xdr:nvSpPr>
        <xdr:cNvPr id="267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22B0AF85-FD74-43E7-B0E3-43DCDF5A2E10}"/>
            </a:ext>
          </a:extLst>
        </xdr:cNvPr>
        <xdr:cNvSpPr/>
      </xdr:nvSpPr>
      <xdr:spPr bwMode="auto">
        <a:xfrm>
          <a:off x="4791075" y="1406304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37</xdr:row>
      <xdr:rowOff>42241</xdr:rowOff>
    </xdr:from>
    <xdr:ext cx="666750" cy="236468"/>
    <xdr:sp macro="" textlink="">
      <xdr:nvSpPr>
        <xdr:cNvPr id="268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ADD10E52-DCED-4A74-8886-12F8CB85C03D}"/>
            </a:ext>
          </a:extLst>
        </xdr:cNvPr>
        <xdr:cNvSpPr/>
      </xdr:nvSpPr>
      <xdr:spPr bwMode="auto">
        <a:xfrm>
          <a:off x="5077653" y="1406304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112644</xdr:colOff>
      <xdr:row>37</xdr:row>
      <xdr:rowOff>18636</xdr:rowOff>
    </xdr:from>
    <xdr:ext cx="676275" cy="236468"/>
    <xdr:sp macro="" textlink="">
      <xdr:nvSpPr>
        <xdr:cNvPr id="269" name="Check Box 177" hidden="1">
          <a:extLst>
            <a:ext uri="{63B3BB69-23CF-44E3-9099-C40C66FF867C}">
              <a14:compatExt xmlns:a14="http://schemas.microsoft.com/office/drawing/2010/main" spid="_x0000_s21681"/>
            </a:ext>
            <a:ext uri="{FF2B5EF4-FFF2-40B4-BE49-F238E27FC236}">
              <a16:creationId xmlns:a16="http://schemas.microsoft.com/office/drawing/2014/main" id="{F1AC2492-A4C0-4150-BE56-54DAEBB17A1B}"/>
            </a:ext>
          </a:extLst>
        </xdr:cNvPr>
        <xdr:cNvSpPr/>
      </xdr:nvSpPr>
      <xdr:spPr bwMode="auto">
        <a:xfrm>
          <a:off x="4903719" y="14039436"/>
          <a:ext cx="676275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예</a:t>
          </a:r>
        </a:p>
      </xdr:txBody>
    </xdr:sp>
    <xdr:clientData/>
  </xdr:oneCellAnchor>
  <xdr:oneCellAnchor>
    <xdr:from>
      <xdr:col>7</xdr:col>
      <xdr:colOff>1420053</xdr:colOff>
      <xdr:row>37</xdr:row>
      <xdr:rowOff>42241</xdr:rowOff>
    </xdr:from>
    <xdr:ext cx="666750" cy="236468"/>
    <xdr:sp macro="" textlink="">
      <xdr:nvSpPr>
        <xdr:cNvPr id="270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74923FBA-B043-4A4B-9365-FC3DD129C87D}"/>
            </a:ext>
          </a:extLst>
        </xdr:cNvPr>
        <xdr:cNvSpPr/>
      </xdr:nvSpPr>
      <xdr:spPr bwMode="auto">
        <a:xfrm>
          <a:off x="5077653" y="1406304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38</xdr:row>
      <xdr:rowOff>42241</xdr:rowOff>
    </xdr:from>
    <xdr:ext cx="666750" cy="236468"/>
    <xdr:sp macro="" textlink="">
      <xdr:nvSpPr>
        <xdr:cNvPr id="271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B252306-2E57-4287-AF92-43B173BE0F4A}"/>
            </a:ext>
          </a:extLst>
        </xdr:cNvPr>
        <xdr:cNvSpPr/>
      </xdr:nvSpPr>
      <xdr:spPr bwMode="auto">
        <a:xfrm>
          <a:off x="4791075" y="1431069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38</xdr:row>
      <xdr:rowOff>42241</xdr:rowOff>
    </xdr:from>
    <xdr:ext cx="666750" cy="236468"/>
    <xdr:sp macro="" textlink="">
      <xdr:nvSpPr>
        <xdr:cNvPr id="272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9EFE58C4-8A41-442F-8B08-7051DBD6B784}"/>
            </a:ext>
          </a:extLst>
        </xdr:cNvPr>
        <xdr:cNvSpPr/>
      </xdr:nvSpPr>
      <xdr:spPr bwMode="auto">
        <a:xfrm>
          <a:off x="5077653" y="1431069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38</xdr:row>
      <xdr:rowOff>42241</xdr:rowOff>
    </xdr:from>
    <xdr:ext cx="666750" cy="236468"/>
    <xdr:sp macro="" textlink="">
      <xdr:nvSpPr>
        <xdr:cNvPr id="273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8A580CC2-CFD2-4933-9BD8-850D151BCC17}"/>
            </a:ext>
          </a:extLst>
        </xdr:cNvPr>
        <xdr:cNvSpPr/>
      </xdr:nvSpPr>
      <xdr:spPr bwMode="auto">
        <a:xfrm>
          <a:off x="4791075" y="1431069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38</xdr:row>
      <xdr:rowOff>42241</xdr:rowOff>
    </xdr:from>
    <xdr:ext cx="666750" cy="236468"/>
    <xdr:sp macro="" textlink="">
      <xdr:nvSpPr>
        <xdr:cNvPr id="274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4392978D-1F44-40F0-88F3-8DDB4CF50564}"/>
            </a:ext>
          </a:extLst>
        </xdr:cNvPr>
        <xdr:cNvSpPr/>
      </xdr:nvSpPr>
      <xdr:spPr bwMode="auto">
        <a:xfrm>
          <a:off x="5077653" y="1431069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38</xdr:row>
      <xdr:rowOff>42241</xdr:rowOff>
    </xdr:from>
    <xdr:ext cx="666750" cy="236468"/>
    <xdr:sp macro="" textlink="">
      <xdr:nvSpPr>
        <xdr:cNvPr id="275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B45D3328-1627-45BC-958F-9C696A8B8794}"/>
            </a:ext>
          </a:extLst>
        </xdr:cNvPr>
        <xdr:cNvSpPr/>
      </xdr:nvSpPr>
      <xdr:spPr bwMode="auto">
        <a:xfrm>
          <a:off x="4791075" y="1431069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38</xdr:row>
      <xdr:rowOff>42241</xdr:rowOff>
    </xdr:from>
    <xdr:ext cx="666750" cy="236468"/>
    <xdr:sp macro="" textlink="">
      <xdr:nvSpPr>
        <xdr:cNvPr id="276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B577D14E-770D-425B-8E43-4A58462F079E}"/>
            </a:ext>
          </a:extLst>
        </xdr:cNvPr>
        <xdr:cNvSpPr/>
      </xdr:nvSpPr>
      <xdr:spPr bwMode="auto">
        <a:xfrm>
          <a:off x="5077653" y="1431069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38</xdr:row>
      <xdr:rowOff>42241</xdr:rowOff>
    </xdr:from>
    <xdr:ext cx="666750" cy="236468"/>
    <xdr:sp macro="" textlink="">
      <xdr:nvSpPr>
        <xdr:cNvPr id="277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8CAB93FB-0483-4503-9E6D-85F536BA7067}"/>
            </a:ext>
          </a:extLst>
        </xdr:cNvPr>
        <xdr:cNvSpPr/>
      </xdr:nvSpPr>
      <xdr:spPr bwMode="auto">
        <a:xfrm>
          <a:off x="4791075" y="1431069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38</xdr:row>
      <xdr:rowOff>42241</xdr:rowOff>
    </xdr:from>
    <xdr:ext cx="666750" cy="236468"/>
    <xdr:sp macro="" textlink="">
      <xdr:nvSpPr>
        <xdr:cNvPr id="278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C6FD2218-EEC2-422A-9BD4-15AD4B82DE50}"/>
            </a:ext>
          </a:extLst>
        </xdr:cNvPr>
        <xdr:cNvSpPr/>
      </xdr:nvSpPr>
      <xdr:spPr bwMode="auto">
        <a:xfrm>
          <a:off x="5077653" y="1431069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112644</xdr:colOff>
      <xdr:row>38</xdr:row>
      <xdr:rowOff>18636</xdr:rowOff>
    </xdr:from>
    <xdr:ext cx="676275" cy="236468"/>
    <xdr:sp macro="" textlink="">
      <xdr:nvSpPr>
        <xdr:cNvPr id="279" name="Check Box 177" hidden="1">
          <a:extLst>
            <a:ext uri="{63B3BB69-23CF-44E3-9099-C40C66FF867C}">
              <a14:compatExt xmlns:a14="http://schemas.microsoft.com/office/drawing/2010/main" spid="_x0000_s21681"/>
            </a:ext>
            <a:ext uri="{FF2B5EF4-FFF2-40B4-BE49-F238E27FC236}">
              <a16:creationId xmlns:a16="http://schemas.microsoft.com/office/drawing/2014/main" id="{7886D467-422B-4FA9-A85F-A1A9CE573755}"/>
            </a:ext>
          </a:extLst>
        </xdr:cNvPr>
        <xdr:cNvSpPr/>
      </xdr:nvSpPr>
      <xdr:spPr bwMode="auto">
        <a:xfrm>
          <a:off x="4903719" y="14287086"/>
          <a:ext cx="676275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예</a:t>
          </a:r>
        </a:p>
      </xdr:txBody>
    </xdr:sp>
    <xdr:clientData/>
  </xdr:oneCellAnchor>
  <xdr:oneCellAnchor>
    <xdr:from>
      <xdr:col>7</xdr:col>
      <xdr:colOff>1420053</xdr:colOff>
      <xdr:row>38</xdr:row>
      <xdr:rowOff>42241</xdr:rowOff>
    </xdr:from>
    <xdr:ext cx="666750" cy="236468"/>
    <xdr:sp macro="" textlink="">
      <xdr:nvSpPr>
        <xdr:cNvPr id="280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EE671DC2-A8AC-4CEB-A070-F202780B02C2}"/>
            </a:ext>
          </a:extLst>
        </xdr:cNvPr>
        <xdr:cNvSpPr/>
      </xdr:nvSpPr>
      <xdr:spPr bwMode="auto">
        <a:xfrm>
          <a:off x="5077653" y="1431069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39</xdr:row>
      <xdr:rowOff>42241</xdr:rowOff>
    </xdr:from>
    <xdr:ext cx="666750" cy="236468"/>
    <xdr:sp macro="" textlink="">
      <xdr:nvSpPr>
        <xdr:cNvPr id="281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EE945190-A41B-4F2F-A434-00577F5C4F43}"/>
            </a:ext>
          </a:extLst>
        </xdr:cNvPr>
        <xdr:cNvSpPr/>
      </xdr:nvSpPr>
      <xdr:spPr bwMode="auto">
        <a:xfrm>
          <a:off x="4791075" y="1455834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39</xdr:row>
      <xdr:rowOff>42241</xdr:rowOff>
    </xdr:from>
    <xdr:ext cx="666750" cy="236468"/>
    <xdr:sp macro="" textlink="">
      <xdr:nvSpPr>
        <xdr:cNvPr id="282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C97B2A22-C1CC-4C50-925A-687FC752BCA9}"/>
            </a:ext>
          </a:extLst>
        </xdr:cNvPr>
        <xdr:cNvSpPr/>
      </xdr:nvSpPr>
      <xdr:spPr bwMode="auto">
        <a:xfrm>
          <a:off x="5077653" y="1455834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39</xdr:row>
      <xdr:rowOff>42241</xdr:rowOff>
    </xdr:from>
    <xdr:ext cx="666750" cy="236468"/>
    <xdr:sp macro="" textlink="">
      <xdr:nvSpPr>
        <xdr:cNvPr id="283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446A990E-740C-499C-98C6-D7C54AA63387}"/>
            </a:ext>
          </a:extLst>
        </xdr:cNvPr>
        <xdr:cNvSpPr/>
      </xdr:nvSpPr>
      <xdr:spPr bwMode="auto">
        <a:xfrm>
          <a:off x="4791075" y="1455834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39</xdr:row>
      <xdr:rowOff>42241</xdr:rowOff>
    </xdr:from>
    <xdr:ext cx="666750" cy="236468"/>
    <xdr:sp macro="" textlink="">
      <xdr:nvSpPr>
        <xdr:cNvPr id="284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89FB6ACE-87F8-4A9A-9DC9-1EC4D961A22F}"/>
            </a:ext>
          </a:extLst>
        </xdr:cNvPr>
        <xdr:cNvSpPr/>
      </xdr:nvSpPr>
      <xdr:spPr bwMode="auto">
        <a:xfrm>
          <a:off x="5077653" y="1455834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39</xdr:row>
      <xdr:rowOff>42241</xdr:rowOff>
    </xdr:from>
    <xdr:ext cx="666750" cy="236468"/>
    <xdr:sp macro="" textlink="">
      <xdr:nvSpPr>
        <xdr:cNvPr id="285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D82E2126-E6ED-4992-957C-432D85D6E578}"/>
            </a:ext>
          </a:extLst>
        </xdr:cNvPr>
        <xdr:cNvSpPr/>
      </xdr:nvSpPr>
      <xdr:spPr bwMode="auto">
        <a:xfrm>
          <a:off x="4791075" y="1455834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39</xdr:row>
      <xdr:rowOff>42241</xdr:rowOff>
    </xdr:from>
    <xdr:ext cx="666750" cy="236468"/>
    <xdr:sp macro="" textlink="">
      <xdr:nvSpPr>
        <xdr:cNvPr id="286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4192D573-017C-4303-A875-E6259A1EA9AC}"/>
            </a:ext>
          </a:extLst>
        </xdr:cNvPr>
        <xdr:cNvSpPr/>
      </xdr:nvSpPr>
      <xdr:spPr bwMode="auto">
        <a:xfrm>
          <a:off x="5077653" y="1455834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39</xdr:row>
      <xdr:rowOff>42241</xdr:rowOff>
    </xdr:from>
    <xdr:ext cx="666750" cy="236468"/>
    <xdr:sp macro="" textlink="">
      <xdr:nvSpPr>
        <xdr:cNvPr id="287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6B864175-6624-409E-A546-9C9B39BCDA63}"/>
            </a:ext>
          </a:extLst>
        </xdr:cNvPr>
        <xdr:cNvSpPr/>
      </xdr:nvSpPr>
      <xdr:spPr bwMode="auto">
        <a:xfrm>
          <a:off x="4791075" y="1455834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39</xdr:row>
      <xdr:rowOff>42241</xdr:rowOff>
    </xdr:from>
    <xdr:ext cx="666750" cy="236468"/>
    <xdr:sp macro="" textlink="">
      <xdr:nvSpPr>
        <xdr:cNvPr id="288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3DF10A0C-94B0-426C-8445-D668073D48C9}"/>
            </a:ext>
          </a:extLst>
        </xdr:cNvPr>
        <xdr:cNvSpPr/>
      </xdr:nvSpPr>
      <xdr:spPr bwMode="auto">
        <a:xfrm>
          <a:off x="5077653" y="1455834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112644</xdr:colOff>
      <xdr:row>39</xdr:row>
      <xdr:rowOff>18636</xdr:rowOff>
    </xdr:from>
    <xdr:ext cx="676275" cy="236468"/>
    <xdr:sp macro="" textlink="">
      <xdr:nvSpPr>
        <xdr:cNvPr id="289" name="Check Box 177" hidden="1">
          <a:extLst>
            <a:ext uri="{63B3BB69-23CF-44E3-9099-C40C66FF867C}">
              <a14:compatExt xmlns:a14="http://schemas.microsoft.com/office/drawing/2010/main" spid="_x0000_s21681"/>
            </a:ext>
            <a:ext uri="{FF2B5EF4-FFF2-40B4-BE49-F238E27FC236}">
              <a16:creationId xmlns:a16="http://schemas.microsoft.com/office/drawing/2014/main" id="{48686E3A-9DC8-4056-81F6-D64B1C9633AC}"/>
            </a:ext>
          </a:extLst>
        </xdr:cNvPr>
        <xdr:cNvSpPr/>
      </xdr:nvSpPr>
      <xdr:spPr bwMode="auto">
        <a:xfrm>
          <a:off x="4903719" y="14534736"/>
          <a:ext cx="676275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예</a:t>
          </a:r>
        </a:p>
      </xdr:txBody>
    </xdr:sp>
    <xdr:clientData/>
  </xdr:oneCellAnchor>
  <xdr:oneCellAnchor>
    <xdr:from>
      <xdr:col>7</xdr:col>
      <xdr:colOff>1420053</xdr:colOff>
      <xdr:row>39</xdr:row>
      <xdr:rowOff>42241</xdr:rowOff>
    </xdr:from>
    <xdr:ext cx="666750" cy="236468"/>
    <xdr:sp macro="" textlink="">
      <xdr:nvSpPr>
        <xdr:cNvPr id="290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CD724CEE-9405-433A-9957-1DBBF4953BE9}"/>
            </a:ext>
          </a:extLst>
        </xdr:cNvPr>
        <xdr:cNvSpPr/>
      </xdr:nvSpPr>
      <xdr:spPr bwMode="auto">
        <a:xfrm>
          <a:off x="5077653" y="1455834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39</xdr:row>
      <xdr:rowOff>42241</xdr:rowOff>
    </xdr:from>
    <xdr:ext cx="666750" cy="236468"/>
    <xdr:sp macro="" textlink="">
      <xdr:nvSpPr>
        <xdr:cNvPr id="291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1255CC18-8DC4-4142-97CA-5BB4FDA09F54}"/>
            </a:ext>
          </a:extLst>
        </xdr:cNvPr>
        <xdr:cNvSpPr/>
      </xdr:nvSpPr>
      <xdr:spPr bwMode="auto">
        <a:xfrm>
          <a:off x="4791075" y="1455834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39</xdr:row>
      <xdr:rowOff>42241</xdr:rowOff>
    </xdr:from>
    <xdr:ext cx="666750" cy="236468"/>
    <xdr:sp macro="" textlink="">
      <xdr:nvSpPr>
        <xdr:cNvPr id="292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EB5F5EE8-7D35-440D-ACAE-497D8F46D492}"/>
            </a:ext>
          </a:extLst>
        </xdr:cNvPr>
        <xdr:cNvSpPr/>
      </xdr:nvSpPr>
      <xdr:spPr bwMode="auto">
        <a:xfrm>
          <a:off x="5077653" y="1455834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39</xdr:row>
      <xdr:rowOff>42241</xdr:rowOff>
    </xdr:from>
    <xdr:ext cx="666750" cy="236468"/>
    <xdr:sp macro="" textlink="">
      <xdr:nvSpPr>
        <xdr:cNvPr id="293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8554E086-B7CD-4D60-BE9A-F56B1EAF42B3}"/>
            </a:ext>
          </a:extLst>
        </xdr:cNvPr>
        <xdr:cNvSpPr/>
      </xdr:nvSpPr>
      <xdr:spPr bwMode="auto">
        <a:xfrm>
          <a:off x="4791075" y="1455834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39</xdr:row>
      <xdr:rowOff>42241</xdr:rowOff>
    </xdr:from>
    <xdr:ext cx="666750" cy="236468"/>
    <xdr:sp macro="" textlink="">
      <xdr:nvSpPr>
        <xdr:cNvPr id="294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3D28B4BC-B7F6-40F7-BC58-DEBA247AC1D3}"/>
            </a:ext>
          </a:extLst>
        </xdr:cNvPr>
        <xdr:cNvSpPr/>
      </xdr:nvSpPr>
      <xdr:spPr bwMode="auto">
        <a:xfrm>
          <a:off x="5077653" y="1455834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39</xdr:row>
      <xdr:rowOff>42241</xdr:rowOff>
    </xdr:from>
    <xdr:ext cx="666750" cy="236468"/>
    <xdr:sp macro="" textlink="">
      <xdr:nvSpPr>
        <xdr:cNvPr id="295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59955D0E-8537-49C3-A665-413B68D8EDAE}"/>
            </a:ext>
          </a:extLst>
        </xdr:cNvPr>
        <xdr:cNvSpPr/>
      </xdr:nvSpPr>
      <xdr:spPr bwMode="auto">
        <a:xfrm>
          <a:off x="4791075" y="1455834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39</xdr:row>
      <xdr:rowOff>42241</xdr:rowOff>
    </xdr:from>
    <xdr:ext cx="666750" cy="236468"/>
    <xdr:sp macro="" textlink="">
      <xdr:nvSpPr>
        <xdr:cNvPr id="296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3713D14B-2079-4896-9246-6F1FFC3C8452}"/>
            </a:ext>
          </a:extLst>
        </xdr:cNvPr>
        <xdr:cNvSpPr/>
      </xdr:nvSpPr>
      <xdr:spPr bwMode="auto">
        <a:xfrm>
          <a:off x="5077653" y="1455834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39</xdr:row>
      <xdr:rowOff>42241</xdr:rowOff>
    </xdr:from>
    <xdr:ext cx="666750" cy="236468"/>
    <xdr:sp macro="" textlink="">
      <xdr:nvSpPr>
        <xdr:cNvPr id="297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7C57617B-F761-47D6-81E3-38926C3DA480}"/>
            </a:ext>
          </a:extLst>
        </xdr:cNvPr>
        <xdr:cNvSpPr/>
      </xdr:nvSpPr>
      <xdr:spPr bwMode="auto">
        <a:xfrm>
          <a:off x="4791075" y="1455834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39</xdr:row>
      <xdr:rowOff>42241</xdr:rowOff>
    </xdr:from>
    <xdr:ext cx="666750" cy="236468"/>
    <xdr:sp macro="" textlink="">
      <xdr:nvSpPr>
        <xdr:cNvPr id="298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57700CEA-0BBF-4605-9135-6010DF914B71}"/>
            </a:ext>
          </a:extLst>
        </xdr:cNvPr>
        <xdr:cNvSpPr/>
      </xdr:nvSpPr>
      <xdr:spPr bwMode="auto">
        <a:xfrm>
          <a:off x="5077653" y="1455834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112644</xdr:colOff>
      <xdr:row>39</xdr:row>
      <xdr:rowOff>18636</xdr:rowOff>
    </xdr:from>
    <xdr:ext cx="676275" cy="236468"/>
    <xdr:sp macro="" textlink="">
      <xdr:nvSpPr>
        <xdr:cNvPr id="299" name="Check Box 177" hidden="1">
          <a:extLst>
            <a:ext uri="{63B3BB69-23CF-44E3-9099-C40C66FF867C}">
              <a14:compatExt xmlns:a14="http://schemas.microsoft.com/office/drawing/2010/main" spid="_x0000_s21681"/>
            </a:ext>
            <a:ext uri="{FF2B5EF4-FFF2-40B4-BE49-F238E27FC236}">
              <a16:creationId xmlns:a16="http://schemas.microsoft.com/office/drawing/2014/main" id="{73DDCB91-D29B-4AD6-A6B8-55D1CA3521FC}"/>
            </a:ext>
          </a:extLst>
        </xdr:cNvPr>
        <xdr:cNvSpPr/>
      </xdr:nvSpPr>
      <xdr:spPr bwMode="auto">
        <a:xfrm>
          <a:off x="4903719" y="14534736"/>
          <a:ext cx="676275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예</a:t>
          </a:r>
        </a:p>
      </xdr:txBody>
    </xdr:sp>
    <xdr:clientData/>
  </xdr:oneCellAnchor>
  <xdr:oneCellAnchor>
    <xdr:from>
      <xdr:col>7</xdr:col>
      <xdr:colOff>1420053</xdr:colOff>
      <xdr:row>39</xdr:row>
      <xdr:rowOff>42241</xdr:rowOff>
    </xdr:from>
    <xdr:ext cx="666750" cy="236468"/>
    <xdr:sp macro="" textlink="">
      <xdr:nvSpPr>
        <xdr:cNvPr id="300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C7B0EF2E-A382-40F3-9D21-303FB502034D}"/>
            </a:ext>
          </a:extLst>
        </xdr:cNvPr>
        <xdr:cNvSpPr/>
      </xdr:nvSpPr>
      <xdr:spPr bwMode="auto">
        <a:xfrm>
          <a:off x="5077653" y="1455834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40</xdr:row>
      <xdr:rowOff>42241</xdr:rowOff>
    </xdr:from>
    <xdr:ext cx="666750" cy="236468"/>
    <xdr:sp macro="" textlink="">
      <xdr:nvSpPr>
        <xdr:cNvPr id="301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5AF8B0AC-306E-4EDA-AAD8-5FE1329070E6}"/>
            </a:ext>
          </a:extLst>
        </xdr:cNvPr>
        <xdr:cNvSpPr/>
      </xdr:nvSpPr>
      <xdr:spPr bwMode="auto">
        <a:xfrm>
          <a:off x="4791075" y="1480599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40</xdr:row>
      <xdr:rowOff>42241</xdr:rowOff>
    </xdr:from>
    <xdr:ext cx="666750" cy="236468"/>
    <xdr:sp macro="" textlink="">
      <xdr:nvSpPr>
        <xdr:cNvPr id="302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AC3300FD-35F5-41EA-A13B-FCA621E4B2DC}"/>
            </a:ext>
          </a:extLst>
        </xdr:cNvPr>
        <xdr:cNvSpPr/>
      </xdr:nvSpPr>
      <xdr:spPr bwMode="auto">
        <a:xfrm>
          <a:off x="5077653" y="1480599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40</xdr:row>
      <xdr:rowOff>42241</xdr:rowOff>
    </xdr:from>
    <xdr:ext cx="666750" cy="236468"/>
    <xdr:sp macro="" textlink="">
      <xdr:nvSpPr>
        <xdr:cNvPr id="303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17C4E9AC-D098-4577-89D5-9D0FFE2CDE4B}"/>
            </a:ext>
          </a:extLst>
        </xdr:cNvPr>
        <xdr:cNvSpPr/>
      </xdr:nvSpPr>
      <xdr:spPr bwMode="auto">
        <a:xfrm>
          <a:off x="4791075" y="1480599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40</xdr:row>
      <xdr:rowOff>42241</xdr:rowOff>
    </xdr:from>
    <xdr:ext cx="666750" cy="236468"/>
    <xdr:sp macro="" textlink="">
      <xdr:nvSpPr>
        <xdr:cNvPr id="304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86A7BA77-BBED-485E-8D92-E3E957517EE4}"/>
            </a:ext>
          </a:extLst>
        </xdr:cNvPr>
        <xdr:cNvSpPr/>
      </xdr:nvSpPr>
      <xdr:spPr bwMode="auto">
        <a:xfrm>
          <a:off x="5077653" y="1480599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40</xdr:row>
      <xdr:rowOff>42241</xdr:rowOff>
    </xdr:from>
    <xdr:ext cx="666750" cy="236468"/>
    <xdr:sp macro="" textlink="">
      <xdr:nvSpPr>
        <xdr:cNvPr id="305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4B968656-E3AA-4D57-8FD5-EC3E1669D021}"/>
            </a:ext>
          </a:extLst>
        </xdr:cNvPr>
        <xdr:cNvSpPr/>
      </xdr:nvSpPr>
      <xdr:spPr bwMode="auto">
        <a:xfrm>
          <a:off x="4791075" y="1480599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40</xdr:row>
      <xdr:rowOff>42241</xdr:rowOff>
    </xdr:from>
    <xdr:ext cx="666750" cy="236468"/>
    <xdr:sp macro="" textlink="">
      <xdr:nvSpPr>
        <xdr:cNvPr id="306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E51E0473-BCF1-4838-BD7A-0F6DCC25AA5A}"/>
            </a:ext>
          </a:extLst>
        </xdr:cNvPr>
        <xdr:cNvSpPr/>
      </xdr:nvSpPr>
      <xdr:spPr bwMode="auto">
        <a:xfrm>
          <a:off x="5077653" y="1480599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40</xdr:row>
      <xdr:rowOff>42241</xdr:rowOff>
    </xdr:from>
    <xdr:ext cx="666750" cy="236468"/>
    <xdr:sp macro="" textlink="">
      <xdr:nvSpPr>
        <xdr:cNvPr id="307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C9BA4CDE-1BD8-4EAA-9C05-1CC3A5FC7762}"/>
            </a:ext>
          </a:extLst>
        </xdr:cNvPr>
        <xdr:cNvSpPr/>
      </xdr:nvSpPr>
      <xdr:spPr bwMode="auto">
        <a:xfrm>
          <a:off x="4791075" y="1480599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40</xdr:row>
      <xdr:rowOff>42241</xdr:rowOff>
    </xdr:from>
    <xdr:ext cx="666750" cy="236468"/>
    <xdr:sp macro="" textlink="">
      <xdr:nvSpPr>
        <xdr:cNvPr id="308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2470DE07-BEDB-4924-9858-F93CF1B7BF2F}"/>
            </a:ext>
          </a:extLst>
        </xdr:cNvPr>
        <xdr:cNvSpPr/>
      </xdr:nvSpPr>
      <xdr:spPr bwMode="auto">
        <a:xfrm>
          <a:off x="5077653" y="1480599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112644</xdr:colOff>
      <xdr:row>40</xdr:row>
      <xdr:rowOff>18636</xdr:rowOff>
    </xdr:from>
    <xdr:ext cx="676275" cy="236468"/>
    <xdr:sp macro="" textlink="">
      <xdr:nvSpPr>
        <xdr:cNvPr id="309" name="Check Box 177" hidden="1">
          <a:extLst>
            <a:ext uri="{63B3BB69-23CF-44E3-9099-C40C66FF867C}">
              <a14:compatExt xmlns:a14="http://schemas.microsoft.com/office/drawing/2010/main" spid="_x0000_s21681"/>
            </a:ext>
            <a:ext uri="{FF2B5EF4-FFF2-40B4-BE49-F238E27FC236}">
              <a16:creationId xmlns:a16="http://schemas.microsoft.com/office/drawing/2014/main" id="{E564D64A-BA4D-42AD-8EB5-2D4CA93F69E3}"/>
            </a:ext>
          </a:extLst>
        </xdr:cNvPr>
        <xdr:cNvSpPr/>
      </xdr:nvSpPr>
      <xdr:spPr bwMode="auto">
        <a:xfrm>
          <a:off x="4903719" y="14782386"/>
          <a:ext cx="676275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예</a:t>
          </a:r>
        </a:p>
      </xdr:txBody>
    </xdr:sp>
    <xdr:clientData/>
  </xdr:oneCellAnchor>
  <xdr:oneCellAnchor>
    <xdr:from>
      <xdr:col>7</xdr:col>
      <xdr:colOff>1420053</xdr:colOff>
      <xdr:row>40</xdr:row>
      <xdr:rowOff>42241</xdr:rowOff>
    </xdr:from>
    <xdr:ext cx="666750" cy="236468"/>
    <xdr:sp macro="" textlink="">
      <xdr:nvSpPr>
        <xdr:cNvPr id="310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CFE39DB4-4511-4BEC-8A91-99E1D4A27759}"/>
            </a:ext>
          </a:extLst>
        </xdr:cNvPr>
        <xdr:cNvSpPr/>
      </xdr:nvSpPr>
      <xdr:spPr bwMode="auto">
        <a:xfrm>
          <a:off x="5077653" y="1480599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40</xdr:row>
      <xdr:rowOff>42241</xdr:rowOff>
    </xdr:from>
    <xdr:ext cx="666750" cy="236468"/>
    <xdr:sp macro="" textlink="">
      <xdr:nvSpPr>
        <xdr:cNvPr id="311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700FE1FE-F87D-4FC7-ADC2-F6924A4B3123}"/>
            </a:ext>
          </a:extLst>
        </xdr:cNvPr>
        <xdr:cNvSpPr/>
      </xdr:nvSpPr>
      <xdr:spPr bwMode="auto">
        <a:xfrm>
          <a:off x="4791075" y="1480599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40</xdr:row>
      <xdr:rowOff>42241</xdr:rowOff>
    </xdr:from>
    <xdr:ext cx="666750" cy="236468"/>
    <xdr:sp macro="" textlink="">
      <xdr:nvSpPr>
        <xdr:cNvPr id="312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59B8F188-CDFB-4BAC-8494-484FBC2B560B}"/>
            </a:ext>
          </a:extLst>
        </xdr:cNvPr>
        <xdr:cNvSpPr/>
      </xdr:nvSpPr>
      <xdr:spPr bwMode="auto">
        <a:xfrm>
          <a:off x="5077653" y="1480599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40</xdr:row>
      <xdr:rowOff>42241</xdr:rowOff>
    </xdr:from>
    <xdr:ext cx="666750" cy="236468"/>
    <xdr:sp macro="" textlink="">
      <xdr:nvSpPr>
        <xdr:cNvPr id="313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879BF547-F82C-4019-AFA7-9D6C574E6DDA}"/>
            </a:ext>
          </a:extLst>
        </xdr:cNvPr>
        <xdr:cNvSpPr/>
      </xdr:nvSpPr>
      <xdr:spPr bwMode="auto">
        <a:xfrm>
          <a:off x="4791075" y="1480599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40</xdr:row>
      <xdr:rowOff>42241</xdr:rowOff>
    </xdr:from>
    <xdr:ext cx="666750" cy="236468"/>
    <xdr:sp macro="" textlink="">
      <xdr:nvSpPr>
        <xdr:cNvPr id="314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95839BDC-6579-4FA3-80ED-D4EDF16637E2}"/>
            </a:ext>
          </a:extLst>
        </xdr:cNvPr>
        <xdr:cNvSpPr/>
      </xdr:nvSpPr>
      <xdr:spPr bwMode="auto">
        <a:xfrm>
          <a:off x="5077653" y="1480599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40</xdr:row>
      <xdr:rowOff>42241</xdr:rowOff>
    </xdr:from>
    <xdr:ext cx="666750" cy="236468"/>
    <xdr:sp macro="" textlink="">
      <xdr:nvSpPr>
        <xdr:cNvPr id="315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1ABA7F7-85AE-4201-8449-FBA94166CB94}"/>
            </a:ext>
          </a:extLst>
        </xdr:cNvPr>
        <xdr:cNvSpPr/>
      </xdr:nvSpPr>
      <xdr:spPr bwMode="auto">
        <a:xfrm>
          <a:off x="4791075" y="1480599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40</xdr:row>
      <xdr:rowOff>42241</xdr:rowOff>
    </xdr:from>
    <xdr:ext cx="666750" cy="236468"/>
    <xdr:sp macro="" textlink="">
      <xdr:nvSpPr>
        <xdr:cNvPr id="316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DFAB9DBF-1DD4-4E54-8AF5-1C1573AF351E}"/>
            </a:ext>
          </a:extLst>
        </xdr:cNvPr>
        <xdr:cNvSpPr/>
      </xdr:nvSpPr>
      <xdr:spPr bwMode="auto">
        <a:xfrm>
          <a:off x="5077653" y="1480599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40</xdr:row>
      <xdr:rowOff>42241</xdr:rowOff>
    </xdr:from>
    <xdr:ext cx="666750" cy="236468"/>
    <xdr:sp macro="" textlink="">
      <xdr:nvSpPr>
        <xdr:cNvPr id="317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E15F30C7-4AD3-4BFC-BD66-C7CD430F5102}"/>
            </a:ext>
          </a:extLst>
        </xdr:cNvPr>
        <xdr:cNvSpPr/>
      </xdr:nvSpPr>
      <xdr:spPr bwMode="auto">
        <a:xfrm>
          <a:off x="4791075" y="1480599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40</xdr:row>
      <xdr:rowOff>42241</xdr:rowOff>
    </xdr:from>
    <xdr:ext cx="666750" cy="236468"/>
    <xdr:sp macro="" textlink="">
      <xdr:nvSpPr>
        <xdr:cNvPr id="318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A3ADC847-0FEF-464B-9EB1-8D6A93873F7E}"/>
            </a:ext>
          </a:extLst>
        </xdr:cNvPr>
        <xdr:cNvSpPr/>
      </xdr:nvSpPr>
      <xdr:spPr bwMode="auto">
        <a:xfrm>
          <a:off x="5077653" y="1480599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112644</xdr:colOff>
      <xdr:row>40</xdr:row>
      <xdr:rowOff>18636</xdr:rowOff>
    </xdr:from>
    <xdr:ext cx="676275" cy="236468"/>
    <xdr:sp macro="" textlink="">
      <xdr:nvSpPr>
        <xdr:cNvPr id="319" name="Check Box 177" hidden="1">
          <a:extLst>
            <a:ext uri="{63B3BB69-23CF-44E3-9099-C40C66FF867C}">
              <a14:compatExt xmlns:a14="http://schemas.microsoft.com/office/drawing/2010/main" spid="_x0000_s21681"/>
            </a:ext>
            <a:ext uri="{FF2B5EF4-FFF2-40B4-BE49-F238E27FC236}">
              <a16:creationId xmlns:a16="http://schemas.microsoft.com/office/drawing/2014/main" id="{951A877F-B5E3-4F28-A9DA-4AA045030433}"/>
            </a:ext>
          </a:extLst>
        </xdr:cNvPr>
        <xdr:cNvSpPr/>
      </xdr:nvSpPr>
      <xdr:spPr bwMode="auto">
        <a:xfrm>
          <a:off x="4903719" y="14782386"/>
          <a:ext cx="676275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예</a:t>
          </a:r>
        </a:p>
      </xdr:txBody>
    </xdr:sp>
    <xdr:clientData/>
  </xdr:oneCellAnchor>
  <xdr:oneCellAnchor>
    <xdr:from>
      <xdr:col>7</xdr:col>
      <xdr:colOff>1420053</xdr:colOff>
      <xdr:row>40</xdr:row>
      <xdr:rowOff>42241</xdr:rowOff>
    </xdr:from>
    <xdr:ext cx="666750" cy="236468"/>
    <xdr:sp macro="" textlink="">
      <xdr:nvSpPr>
        <xdr:cNvPr id="320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D6F38612-E450-43C7-8A1E-E3DF01A8B2E0}"/>
            </a:ext>
          </a:extLst>
        </xdr:cNvPr>
        <xdr:cNvSpPr/>
      </xdr:nvSpPr>
      <xdr:spPr bwMode="auto">
        <a:xfrm>
          <a:off x="5077653" y="1480599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41</xdr:row>
      <xdr:rowOff>42241</xdr:rowOff>
    </xdr:from>
    <xdr:ext cx="666750" cy="236468"/>
    <xdr:sp macro="" textlink="">
      <xdr:nvSpPr>
        <xdr:cNvPr id="321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D15B261E-6B63-4A88-A771-6A690B0812D6}"/>
            </a:ext>
          </a:extLst>
        </xdr:cNvPr>
        <xdr:cNvSpPr/>
      </xdr:nvSpPr>
      <xdr:spPr bwMode="auto">
        <a:xfrm>
          <a:off x="4791075" y="1505364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41</xdr:row>
      <xdr:rowOff>42241</xdr:rowOff>
    </xdr:from>
    <xdr:ext cx="666750" cy="236468"/>
    <xdr:sp macro="" textlink="">
      <xdr:nvSpPr>
        <xdr:cNvPr id="322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E0608ADD-0841-4AE9-A243-B03448C1182D}"/>
            </a:ext>
          </a:extLst>
        </xdr:cNvPr>
        <xdr:cNvSpPr/>
      </xdr:nvSpPr>
      <xdr:spPr bwMode="auto">
        <a:xfrm>
          <a:off x="5077653" y="1505364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41</xdr:row>
      <xdr:rowOff>42241</xdr:rowOff>
    </xdr:from>
    <xdr:ext cx="666750" cy="236468"/>
    <xdr:sp macro="" textlink="">
      <xdr:nvSpPr>
        <xdr:cNvPr id="323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C1EC0BD6-1CA3-4049-BB53-3552B77B91FA}"/>
            </a:ext>
          </a:extLst>
        </xdr:cNvPr>
        <xdr:cNvSpPr/>
      </xdr:nvSpPr>
      <xdr:spPr bwMode="auto">
        <a:xfrm>
          <a:off x="4791075" y="1505364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41</xdr:row>
      <xdr:rowOff>42241</xdr:rowOff>
    </xdr:from>
    <xdr:ext cx="666750" cy="236468"/>
    <xdr:sp macro="" textlink="">
      <xdr:nvSpPr>
        <xdr:cNvPr id="324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978D871B-9CDF-4B46-8414-CDEFE9EF5776}"/>
            </a:ext>
          </a:extLst>
        </xdr:cNvPr>
        <xdr:cNvSpPr/>
      </xdr:nvSpPr>
      <xdr:spPr bwMode="auto">
        <a:xfrm>
          <a:off x="5077653" y="1505364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41</xdr:row>
      <xdr:rowOff>42241</xdr:rowOff>
    </xdr:from>
    <xdr:ext cx="666750" cy="236468"/>
    <xdr:sp macro="" textlink="">
      <xdr:nvSpPr>
        <xdr:cNvPr id="325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75D74FF4-4709-46D9-9EE8-118BF85E8715}"/>
            </a:ext>
          </a:extLst>
        </xdr:cNvPr>
        <xdr:cNvSpPr/>
      </xdr:nvSpPr>
      <xdr:spPr bwMode="auto">
        <a:xfrm>
          <a:off x="4791075" y="1505364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41</xdr:row>
      <xdr:rowOff>42241</xdr:rowOff>
    </xdr:from>
    <xdr:ext cx="666750" cy="236468"/>
    <xdr:sp macro="" textlink="">
      <xdr:nvSpPr>
        <xdr:cNvPr id="326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317E297E-961B-4DF8-9028-4FA88A283406}"/>
            </a:ext>
          </a:extLst>
        </xdr:cNvPr>
        <xdr:cNvSpPr/>
      </xdr:nvSpPr>
      <xdr:spPr bwMode="auto">
        <a:xfrm>
          <a:off x="5077653" y="1505364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41</xdr:row>
      <xdr:rowOff>42241</xdr:rowOff>
    </xdr:from>
    <xdr:ext cx="666750" cy="236468"/>
    <xdr:sp macro="" textlink="">
      <xdr:nvSpPr>
        <xdr:cNvPr id="327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255CCA8E-CC5F-4D59-AA55-3C5F23559209}"/>
            </a:ext>
          </a:extLst>
        </xdr:cNvPr>
        <xdr:cNvSpPr/>
      </xdr:nvSpPr>
      <xdr:spPr bwMode="auto">
        <a:xfrm>
          <a:off x="4791075" y="1505364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41</xdr:row>
      <xdr:rowOff>42241</xdr:rowOff>
    </xdr:from>
    <xdr:ext cx="666750" cy="236468"/>
    <xdr:sp macro="" textlink="">
      <xdr:nvSpPr>
        <xdr:cNvPr id="328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55B63F17-D7E5-449F-A235-72B460DE40CD}"/>
            </a:ext>
          </a:extLst>
        </xdr:cNvPr>
        <xdr:cNvSpPr/>
      </xdr:nvSpPr>
      <xdr:spPr bwMode="auto">
        <a:xfrm>
          <a:off x="5077653" y="1505364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112644</xdr:colOff>
      <xdr:row>41</xdr:row>
      <xdr:rowOff>18636</xdr:rowOff>
    </xdr:from>
    <xdr:ext cx="676275" cy="236468"/>
    <xdr:sp macro="" textlink="">
      <xdr:nvSpPr>
        <xdr:cNvPr id="329" name="Check Box 177" hidden="1">
          <a:extLst>
            <a:ext uri="{63B3BB69-23CF-44E3-9099-C40C66FF867C}">
              <a14:compatExt xmlns:a14="http://schemas.microsoft.com/office/drawing/2010/main" spid="_x0000_s21681"/>
            </a:ext>
            <a:ext uri="{FF2B5EF4-FFF2-40B4-BE49-F238E27FC236}">
              <a16:creationId xmlns:a16="http://schemas.microsoft.com/office/drawing/2014/main" id="{9628136B-D618-4423-83EE-E43F2A4FDF6F}"/>
            </a:ext>
          </a:extLst>
        </xdr:cNvPr>
        <xdr:cNvSpPr/>
      </xdr:nvSpPr>
      <xdr:spPr bwMode="auto">
        <a:xfrm>
          <a:off x="4903719" y="15030036"/>
          <a:ext cx="676275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예</a:t>
          </a:r>
        </a:p>
      </xdr:txBody>
    </xdr:sp>
    <xdr:clientData/>
  </xdr:oneCellAnchor>
  <xdr:oneCellAnchor>
    <xdr:from>
      <xdr:col>7</xdr:col>
      <xdr:colOff>1420053</xdr:colOff>
      <xdr:row>41</xdr:row>
      <xdr:rowOff>42241</xdr:rowOff>
    </xdr:from>
    <xdr:ext cx="666750" cy="236468"/>
    <xdr:sp macro="" textlink="">
      <xdr:nvSpPr>
        <xdr:cNvPr id="330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5015AB32-F72C-4DC7-8BA8-54FC472BD933}"/>
            </a:ext>
          </a:extLst>
        </xdr:cNvPr>
        <xdr:cNvSpPr/>
      </xdr:nvSpPr>
      <xdr:spPr bwMode="auto">
        <a:xfrm>
          <a:off x="5077653" y="1505364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41</xdr:row>
      <xdr:rowOff>42241</xdr:rowOff>
    </xdr:from>
    <xdr:ext cx="666750" cy="236468"/>
    <xdr:sp macro="" textlink="">
      <xdr:nvSpPr>
        <xdr:cNvPr id="331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2A082138-C133-43C0-BAFC-96056B01B82E}"/>
            </a:ext>
          </a:extLst>
        </xdr:cNvPr>
        <xdr:cNvSpPr/>
      </xdr:nvSpPr>
      <xdr:spPr bwMode="auto">
        <a:xfrm>
          <a:off x="4791075" y="1505364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41</xdr:row>
      <xdr:rowOff>42241</xdr:rowOff>
    </xdr:from>
    <xdr:ext cx="666750" cy="236468"/>
    <xdr:sp macro="" textlink="">
      <xdr:nvSpPr>
        <xdr:cNvPr id="332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94AD10F2-AA77-4292-99F0-145992613B1D}"/>
            </a:ext>
          </a:extLst>
        </xdr:cNvPr>
        <xdr:cNvSpPr/>
      </xdr:nvSpPr>
      <xdr:spPr bwMode="auto">
        <a:xfrm>
          <a:off x="5077653" y="1505364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41</xdr:row>
      <xdr:rowOff>42241</xdr:rowOff>
    </xdr:from>
    <xdr:ext cx="666750" cy="236468"/>
    <xdr:sp macro="" textlink="">
      <xdr:nvSpPr>
        <xdr:cNvPr id="333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441C53D5-246B-487F-B9AD-53D084C40559}"/>
            </a:ext>
          </a:extLst>
        </xdr:cNvPr>
        <xdr:cNvSpPr/>
      </xdr:nvSpPr>
      <xdr:spPr bwMode="auto">
        <a:xfrm>
          <a:off x="4791075" y="1505364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41</xdr:row>
      <xdr:rowOff>42241</xdr:rowOff>
    </xdr:from>
    <xdr:ext cx="666750" cy="236468"/>
    <xdr:sp macro="" textlink="">
      <xdr:nvSpPr>
        <xdr:cNvPr id="334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AD955FB3-3D21-4CFB-ACFB-C2413E9D5E7D}"/>
            </a:ext>
          </a:extLst>
        </xdr:cNvPr>
        <xdr:cNvSpPr/>
      </xdr:nvSpPr>
      <xdr:spPr bwMode="auto">
        <a:xfrm>
          <a:off x="5077653" y="1505364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41</xdr:row>
      <xdr:rowOff>42241</xdr:rowOff>
    </xdr:from>
    <xdr:ext cx="666750" cy="236468"/>
    <xdr:sp macro="" textlink="">
      <xdr:nvSpPr>
        <xdr:cNvPr id="335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62C1E3F3-B773-4EA2-894F-9E44F8EE9C10}"/>
            </a:ext>
          </a:extLst>
        </xdr:cNvPr>
        <xdr:cNvSpPr/>
      </xdr:nvSpPr>
      <xdr:spPr bwMode="auto">
        <a:xfrm>
          <a:off x="4791075" y="1505364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41</xdr:row>
      <xdr:rowOff>42241</xdr:rowOff>
    </xdr:from>
    <xdr:ext cx="666750" cy="236468"/>
    <xdr:sp macro="" textlink="">
      <xdr:nvSpPr>
        <xdr:cNvPr id="336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1FCFACF4-78C0-48AC-BD18-CD1B39C710B9}"/>
            </a:ext>
          </a:extLst>
        </xdr:cNvPr>
        <xdr:cNvSpPr/>
      </xdr:nvSpPr>
      <xdr:spPr bwMode="auto">
        <a:xfrm>
          <a:off x="5077653" y="1505364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41</xdr:row>
      <xdr:rowOff>42241</xdr:rowOff>
    </xdr:from>
    <xdr:ext cx="666750" cy="236468"/>
    <xdr:sp macro="" textlink="">
      <xdr:nvSpPr>
        <xdr:cNvPr id="337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FA58E021-F1E3-4B42-BC2D-AA6D49DA8402}"/>
            </a:ext>
          </a:extLst>
        </xdr:cNvPr>
        <xdr:cNvSpPr/>
      </xdr:nvSpPr>
      <xdr:spPr bwMode="auto">
        <a:xfrm>
          <a:off x="4791075" y="1505364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41</xdr:row>
      <xdr:rowOff>42241</xdr:rowOff>
    </xdr:from>
    <xdr:ext cx="666750" cy="236468"/>
    <xdr:sp macro="" textlink="">
      <xdr:nvSpPr>
        <xdr:cNvPr id="338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615E58FC-AF24-4AD0-9301-1804B7784A1D}"/>
            </a:ext>
          </a:extLst>
        </xdr:cNvPr>
        <xdr:cNvSpPr/>
      </xdr:nvSpPr>
      <xdr:spPr bwMode="auto">
        <a:xfrm>
          <a:off x="5077653" y="1505364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112644</xdr:colOff>
      <xdr:row>41</xdr:row>
      <xdr:rowOff>18636</xdr:rowOff>
    </xdr:from>
    <xdr:ext cx="676275" cy="236468"/>
    <xdr:sp macro="" textlink="">
      <xdr:nvSpPr>
        <xdr:cNvPr id="339" name="Check Box 177" hidden="1">
          <a:extLst>
            <a:ext uri="{63B3BB69-23CF-44E3-9099-C40C66FF867C}">
              <a14:compatExt xmlns:a14="http://schemas.microsoft.com/office/drawing/2010/main" spid="_x0000_s21681"/>
            </a:ext>
            <a:ext uri="{FF2B5EF4-FFF2-40B4-BE49-F238E27FC236}">
              <a16:creationId xmlns:a16="http://schemas.microsoft.com/office/drawing/2014/main" id="{204356D2-0F79-4A5D-8823-01D5D3CE12C2}"/>
            </a:ext>
          </a:extLst>
        </xdr:cNvPr>
        <xdr:cNvSpPr/>
      </xdr:nvSpPr>
      <xdr:spPr bwMode="auto">
        <a:xfrm>
          <a:off x="4903719" y="15030036"/>
          <a:ext cx="676275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예</a:t>
          </a:r>
        </a:p>
      </xdr:txBody>
    </xdr:sp>
    <xdr:clientData/>
  </xdr:oneCellAnchor>
  <xdr:oneCellAnchor>
    <xdr:from>
      <xdr:col>7</xdr:col>
      <xdr:colOff>1420053</xdr:colOff>
      <xdr:row>41</xdr:row>
      <xdr:rowOff>42241</xdr:rowOff>
    </xdr:from>
    <xdr:ext cx="666750" cy="236468"/>
    <xdr:sp macro="" textlink="">
      <xdr:nvSpPr>
        <xdr:cNvPr id="340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25EB4041-232E-4CC2-B123-0660D2877E67}"/>
            </a:ext>
          </a:extLst>
        </xdr:cNvPr>
        <xdr:cNvSpPr/>
      </xdr:nvSpPr>
      <xdr:spPr bwMode="auto">
        <a:xfrm>
          <a:off x="5077653" y="1505364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41</xdr:row>
      <xdr:rowOff>42241</xdr:rowOff>
    </xdr:from>
    <xdr:ext cx="666750" cy="236468"/>
    <xdr:sp macro="" textlink="">
      <xdr:nvSpPr>
        <xdr:cNvPr id="341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654B4429-845D-48D2-972A-41148B873EB2}"/>
            </a:ext>
          </a:extLst>
        </xdr:cNvPr>
        <xdr:cNvSpPr/>
      </xdr:nvSpPr>
      <xdr:spPr bwMode="auto">
        <a:xfrm>
          <a:off x="4791075" y="1505364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41</xdr:row>
      <xdr:rowOff>42241</xdr:rowOff>
    </xdr:from>
    <xdr:ext cx="666750" cy="236468"/>
    <xdr:sp macro="" textlink="">
      <xdr:nvSpPr>
        <xdr:cNvPr id="342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1AF61488-592A-4FF5-8F21-5A63AB8B3B15}"/>
            </a:ext>
          </a:extLst>
        </xdr:cNvPr>
        <xdr:cNvSpPr/>
      </xdr:nvSpPr>
      <xdr:spPr bwMode="auto">
        <a:xfrm>
          <a:off x="5077653" y="1505364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41</xdr:row>
      <xdr:rowOff>42241</xdr:rowOff>
    </xdr:from>
    <xdr:ext cx="666750" cy="236468"/>
    <xdr:sp macro="" textlink="">
      <xdr:nvSpPr>
        <xdr:cNvPr id="343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F8BE55BD-833B-408D-87D6-954D583F96F9}"/>
            </a:ext>
          </a:extLst>
        </xdr:cNvPr>
        <xdr:cNvSpPr/>
      </xdr:nvSpPr>
      <xdr:spPr bwMode="auto">
        <a:xfrm>
          <a:off x="4791075" y="1505364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41</xdr:row>
      <xdr:rowOff>42241</xdr:rowOff>
    </xdr:from>
    <xdr:ext cx="666750" cy="236468"/>
    <xdr:sp macro="" textlink="">
      <xdr:nvSpPr>
        <xdr:cNvPr id="344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B2CA516C-5CE6-47FC-82CE-7E5DDBD13445}"/>
            </a:ext>
          </a:extLst>
        </xdr:cNvPr>
        <xdr:cNvSpPr/>
      </xdr:nvSpPr>
      <xdr:spPr bwMode="auto">
        <a:xfrm>
          <a:off x="5077653" y="1505364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41</xdr:row>
      <xdr:rowOff>42241</xdr:rowOff>
    </xdr:from>
    <xdr:ext cx="666750" cy="236468"/>
    <xdr:sp macro="" textlink="">
      <xdr:nvSpPr>
        <xdr:cNvPr id="345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73977AA1-4899-4AFF-B5F5-2B0B312BE6B8}"/>
            </a:ext>
          </a:extLst>
        </xdr:cNvPr>
        <xdr:cNvSpPr/>
      </xdr:nvSpPr>
      <xdr:spPr bwMode="auto">
        <a:xfrm>
          <a:off x="4791075" y="1505364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41</xdr:row>
      <xdr:rowOff>42241</xdr:rowOff>
    </xdr:from>
    <xdr:ext cx="666750" cy="236468"/>
    <xdr:sp macro="" textlink="">
      <xdr:nvSpPr>
        <xdr:cNvPr id="346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844B63F0-7509-4D8A-A94E-6B80BFB030D5}"/>
            </a:ext>
          </a:extLst>
        </xdr:cNvPr>
        <xdr:cNvSpPr/>
      </xdr:nvSpPr>
      <xdr:spPr bwMode="auto">
        <a:xfrm>
          <a:off x="5077653" y="1505364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41</xdr:row>
      <xdr:rowOff>42241</xdr:rowOff>
    </xdr:from>
    <xdr:ext cx="666750" cy="236468"/>
    <xdr:sp macro="" textlink="">
      <xdr:nvSpPr>
        <xdr:cNvPr id="347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C199187B-8BEB-4FA9-8E3F-FDE97A322A8B}"/>
            </a:ext>
          </a:extLst>
        </xdr:cNvPr>
        <xdr:cNvSpPr/>
      </xdr:nvSpPr>
      <xdr:spPr bwMode="auto">
        <a:xfrm>
          <a:off x="4791075" y="1505364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41</xdr:row>
      <xdr:rowOff>42241</xdr:rowOff>
    </xdr:from>
    <xdr:ext cx="666750" cy="236468"/>
    <xdr:sp macro="" textlink="">
      <xdr:nvSpPr>
        <xdr:cNvPr id="348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9B7B5830-66D0-4789-8A07-35C0210ABB5E}"/>
            </a:ext>
          </a:extLst>
        </xdr:cNvPr>
        <xdr:cNvSpPr/>
      </xdr:nvSpPr>
      <xdr:spPr bwMode="auto">
        <a:xfrm>
          <a:off x="5077653" y="1505364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112644</xdr:colOff>
      <xdr:row>41</xdr:row>
      <xdr:rowOff>18636</xdr:rowOff>
    </xdr:from>
    <xdr:ext cx="676275" cy="236468"/>
    <xdr:sp macro="" textlink="">
      <xdr:nvSpPr>
        <xdr:cNvPr id="349" name="Check Box 177" hidden="1">
          <a:extLst>
            <a:ext uri="{63B3BB69-23CF-44E3-9099-C40C66FF867C}">
              <a14:compatExt xmlns:a14="http://schemas.microsoft.com/office/drawing/2010/main" spid="_x0000_s21681"/>
            </a:ext>
            <a:ext uri="{FF2B5EF4-FFF2-40B4-BE49-F238E27FC236}">
              <a16:creationId xmlns:a16="http://schemas.microsoft.com/office/drawing/2014/main" id="{E9DA9EEE-0563-4D70-9543-A490785F70D5}"/>
            </a:ext>
          </a:extLst>
        </xdr:cNvPr>
        <xdr:cNvSpPr/>
      </xdr:nvSpPr>
      <xdr:spPr bwMode="auto">
        <a:xfrm>
          <a:off x="4903719" y="15030036"/>
          <a:ext cx="676275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예</a:t>
          </a:r>
        </a:p>
      </xdr:txBody>
    </xdr:sp>
    <xdr:clientData/>
  </xdr:oneCellAnchor>
  <xdr:oneCellAnchor>
    <xdr:from>
      <xdr:col>7</xdr:col>
      <xdr:colOff>1420053</xdr:colOff>
      <xdr:row>41</xdr:row>
      <xdr:rowOff>42241</xdr:rowOff>
    </xdr:from>
    <xdr:ext cx="666750" cy="236468"/>
    <xdr:sp macro="" textlink="">
      <xdr:nvSpPr>
        <xdr:cNvPr id="350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73CCD014-75A8-4CB9-8FB7-86D77C43E8A7}"/>
            </a:ext>
          </a:extLst>
        </xdr:cNvPr>
        <xdr:cNvSpPr/>
      </xdr:nvSpPr>
      <xdr:spPr bwMode="auto">
        <a:xfrm>
          <a:off x="5077653" y="1505364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42</xdr:row>
      <xdr:rowOff>42241</xdr:rowOff>
    </xdr:from>
    <xdr:ext cx="666750" cy="236468"/>
    <xdr:sp macro="" textlink="">
      <xdr:nvSpPr>
        <xdr:cNvPr id="351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CF12D16C-E116-4E64-B2CD-57DB789B0BFD}"/>
            </a:ext>
          </a:extLst>
        </xdr:cNvPr>
        <xdr:cNvSpPr/>
      </xdr:nvSpPr>
      <xdr:spPr bwMode="auto">
        <a:xfrm>
          <a:off x="4791075" y="1530129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42</xdr:row>
      <xdr:rowOff>42241</xdr:rowOff>
    </xdr:from>
    <xdr:ext cx="666750" cy="236468"/>
    <xdr:sp macro="" textlink="">
      <xdr:nvSpPr>
        <xdr:cNvPr id="352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9CB7B543-8D65-4A09-A9A3-20687D65AAC3}"/>
            </a:ext>
          </a:extLst>
        </xdr:cNvPr>
        <xdr:cNvSpPr/>
      </xdr:nvSpPr>
      <xdr:spPr bwMode="auto">
        <a:xfrm>
          <a:off x="5077653" y="1530129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42</xdr:row>
      <xdr:rowOff>42241</xdr:rowOff>
    </xdr:from>
    <xdr:ext cx="666750" cy="236468"/>
    <xdr:sp macro="" textlink="">
      <xdr:nvSpPr>
        <xdr:cNvPr id="353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4E87443E-906A-42BC-9C07-29BB8AA6E0E2}"/>
            </a:ext>
          </a:extLst>
        </xdr:cNvPr>
        <xdr:cNvSpPr/>
      </xdr:nvSpPr>
      <xdr:spPr bwMode="auto">
        <a:xfrm>
          <a:off x="4791075" y="1530129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42</xdr:row>
      <xdr:rowOff>42241</xdr:rowOff>
    </xdr:from>
    <xdr:ext cx="666750" cy="236468"/>
    <xdr:sp macro="" textlink="">
      <xdr:nvSpPr>
        <xdr:cNvPr id="354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C864A709-D1FE-4F7A-A567-9EF431BE3D85}"/>
            </a:ext>
          </a:extLst>
        </xdr:cNvPr>
        <xdr:cNvSpPr/>
      </xdr:nvSpPr>
      <xdr:spPr bwMode="auto">
        <a:xfrm>
          <a:off x="5077653" y="1530129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42</xdr:row>
      <xdr:rowOff>42241</xdr:rowOff>
    </xdr:from>
    <xdr:ext cx="666750" cy="236468"/>
    <xdr:sp macro="" textlink="">
      <xdr:nvSpPr>
        <xdr:cNvPr id="355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9944C13D-C3B2-42E5-A119-F7D7F8CA6F54}"/>
            </a:ext>
          </a:extLst>
        </xdr:cNvPr>
        <xdr:cNvSpPr/>
      </xdr:nvSpPr>
      <xdr:spPr bwMode="auto">
        <a:xfrm>
          <a:off x="4791075" y="1530129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42</xdr:row>
      <xdr:rowOff>42241</xdr:rowOff>
    </xdr:from>
    <xdr:ext cx="666750" cy="236468"/>
    <xdr:sp macro="" textlink="">
      <xdr:nvSpPr>
        <xdr:cNvPr id="356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ADDAC251-E647-4F10-8CFB-13B32D41A336}"/>
            </a:ext>
          </a:extLst>
        </xdr:cNvPr>
        <xdr:cNvSpPr/>
      </xdr:nvSpPr>
      <xdr:spPr bwMode="auto">
        <a:xfrm>
          <a:off x="5077653" y="1530129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42</xdr:row>
      <xdr:rowOff>42241</xdr:rowOff>
    </xdr:from>
    <xdr:ext cx="666750" cy="236468"/>
    <xdr:sp macro="" textlink="">
      <xdr:nvSpPr>
        <xdr:cNvPr id="357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B5F94B8E-1C9F-4D2C-8752-203FCDAD3E7A}"/>
            </a:ext>
          </a:extLst>
        </xdr:cNvPr>
        <xdr:cNvSpPr/>
      </xdr:nvSpPr>
      <xdr:spPr bwMode="auto">
        <a:xfrm>
          <a:off x="4791075" y="1530129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42</xdr:row>
      <xdr:rowOff>42241</xdr:rowOff>
    </xdr:from>
    <xdr:ext cx="666750" cy="236468"/>
    <xdr:sp macro="" textlink="">
      <xdr:nvSpPr>
        <xdr:cNvPr id="358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3E6A4AB8-64A8-4C47-8680-F0AA2F4DE09B}"/>
            </a:ext>
          </a:extLst>
        </xdr:cNvPr>
        <xdr:cNvSpPr/>
      </xdr:nvSpPr>
      <xdr:spPr bwMode="auto">
        <a:xfrm>
          <a:off x="5077653" y="1530129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112644</xdr:colOff>
      <xdr:row>42</xdr:row>
      <xdr:rowOff>18636</xdr:rowOff>
    </xdr:from>
    <xdr:ext cx="676275" cy="236468"/>
    <xdr:sp macro="" textlink="">
      <xdr:nvSpPr>
        <xdr:cNvPr id="359" name="Check Box 177" hidden="1">
          <a:extLst>
            <a:ext uri="{63B3BB69-23CF-44E3-9099-C40C66FF867C}">
              <a14:compatExt xmlns:a14="http://schemas.microsoft.com/office/drawing/2010/main" spid="_x0000_s21681"/>
            </a:ext>
            <a:ext uri="{FF2B5EF4-FFF2-40B4-BE49-F238E27FC236}">
              <a16:creationId xmlns:a16="http://schemas.microsoft.com/office/drawing/2014/main" id="{86B4B668-457C-4FFD-AE29-2EAB58A9FD33}"/>
            </a:ext>
          </a:extLst>
        </xdr:cNvPr>
        <xdr:cNvSpPr/>
      </xdr:nvSpPr>
      <xdr:spPr bwMode="auto">
        <a:xfrm>
          <a:off x="4903719" y="15277686"/>
          <a:ext cx="676275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예</a:t>
          </a:r>
        </a:p>
      </xdr:txBody>
    </xdr:sp>
    <xdr:clientData/>
  </xdr:oneCellAnchor>
  <xdr:oneCellAnchor>
    <xdr:from>
      <xdr:col>7</xdr:col>
      <xdr:colOff>1420053</xdr:colOff>
      <xdr:row>42</xdr:row>
      <xdr:rowOff>42241</xdr:rowOff>
    </xdr:from>
    <xdr:ext cx="666750" cy="236468"/>
    <xdr:sp macro="" textlink="">
      <xdr:nvSpPr>
        <xdr:cNvPr id="360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9CE7559A-66A6-41D7-A699-7CF364F15E28}"/>
            </a:ext>
          </a:extLst>
        </xdr:cNvPr>
        <xdr:cNvSpPr/>
      </xdr:nvSpPr>
      <xdr:spPr bwMode="auto">
        <a:xfrm>
          <a:off x="5077653" y="1530129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42</xdr:row>
      <xdr:rowOff>42241</xdr:rowOff>
    </xdr:from>
    <xdr:ext cx="666750" cy="236468"/>
    <xdr:sp macro="" textlink="">
      <xdr:nvSpPr>
        <xdr:cNvPr id="361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53C82803-F29E-4236-9A8D-BB8AC655FB57}"/>
            </a:ext>
          </a:extLst>
        </xdr:cNvPr>
        <xdr:cNvSpPr/>
      </xdr:nvSpPr>
      <xdr:spPr bwMode="auto">
        <a:xfrm>
          <a:off x="4791075" y="1530129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42</xdr:row>
      <xdr:rowOff>42241</xdr:rowOff>
    </xdr:from>
    <xdr:ext cx="666750" cy="236468"/>
    <xdr:sp macro="" textlink="">
      <xdr:nvSpPr>
        <xdr:cNvPr id="362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F627EB56-5FF2-459D-BAA9-4F085DE48F6B}"/>
            </a:ext>
          </a:extLst>
        </xdr:cNvPr>
        <xdr:cNvSpPr/>
      </xdr:nvSpPr>
      <xdr:spPr bwMode="auto">
        <a:xfrm>
          <a:off x="5077653" y="1530129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42</xdr:row>
      <xdr:rowOff>42241</xdr:rowOff>
    </xdr:from>
    <xdr:ext cx="666750" cy="236468"/>
    <xdr:sp macro="" textlink="">
      <xdr:nvSpPr>
        <xdr:cNvPr id="363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D6FE0E1A-C796-4FF5-AD2E-4005E45C8C85}"/>
            </a:ext>
          </a:extLst>
        </xdr:cNvPr>
        <xdr:cNvSpPr/>
      </xdr:nvSpPr>
      <xdr:spPr bwMode="auto">
        <a:xfrm>
          <a:off x="4791075" y="1530129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42</xdr:row>
      <xdr:rowOff>42241</xdr:rowOff>
    </xdr:from>
    <xdr:ext cx="666750" cy="236468"/>
    <xdr:sp macro="" textlink="">
      <xdr:nvSpPr>
        <xdr:cNvPr id="364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799A2F0E-2716-4086-9E47-FD1ADC31682A}"/>
            </a:ext>
          </a:extLst>
        </xdr:cNvPr>
        <xdr:cNvSpPr/>
      </xdr:nvSpPr>
      <xdr:spPr bwMode="auto">
        <a:xfrm>
          <a:off x="5077653" y="1530129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42</xdr:row>
      <xdr:rowOff>42241</xdr:rowOff>
    </xdr:from>
    <xdr:ext cx="666750" cy="236468"/>
    <xdr:sp macro="" textlink="">
      <xdr:nvSpPr>
        <xdr:cNvPr id="365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392D041D-37D8-4148-A0D5-AF9F8F2FE8D3}"/>
            </a:ext>
          </a:extLst>
        </xdr:cNvPr>
        <xdr:cNvSpPr/>
      </xdr:nvSpPr>
      <xdr:spPr bwMode="auto">
        <a:xfrm>
          <a:off x="4791075" y="1530129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42</xdr:row>
      <xdr:rowOff>42241</xdr:rowOff>
    </xdr:from>
    <xdr:ext cx="666750" cy="236468"/>
    <xdr:sp macro="" textlink="">
      <xdr:nvSpPr>
        <xdr:cNvPr id="366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F942B38A-5B5A-4E7D-92E5-0E64B2BD9B8D}"/>
            </a:ext>
          </a:extLst>
        </xdr:cNvPr>
        <xdr:cNvSpPr/>
      </xdr:nvSpPr>
      <xdr:spPr bwMode="auto">
        <a:xfrm>
          <a:off x="5077653" y="1530129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42</xdr:row>
      <xdr:rowOff>42241</xdr:rowOff>
    </xdr:from>
    <xdr:ext cx="666750" cy="236468"/>
    <xdr:sp macro="" textlink="">
      <xdr:nvSpPr>
        <xdr:cNvPr id="367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90998C13-DF28-4F1E-AC63-551108D5A818}"/>
            </a:ext>
          </a:extLst>
        </xdr:cNvPr>
        <xdr:cNvSpPr/>
      </xdr:nvSpPr>
      <xdr:spPr bwMode="auto">
        <a:xfrm>
          <a:off x="4791075" y="1530129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42</xdr:row>
      <xdr:rowOff>42241</xdr:rowOff>
    </xdr:from>
    <xdr:ext cx="666750" cy="236468"/>
    <xdr:sp macro="" textlink="">
      <xdr:nvSpPr>
        <xdr:cNvPr id="368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EE2DD127-251A-4545-9048-D6082C666787}"/>
            </a:ext>
          </a:extLst>
        </xdr:cNvPr>
        <xdr:cNvSpPr/>
      </xdr:nvSpPr>
      <xdr:spPr bwMode="auto">
        <a:xfrm>
          <a:off x="5077653" y="1530129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112644</xdr:colOff>
      <xdr:row>42</xdr:row>
      <xdr:rowOff>18636</xdr:rowOff>
    </xdr:from>
    <xdr:ext cx="676275" cy="236468"/>
    <xdr:sp macro="" textlink="">
      <xdr:nvSpPr>
        <xdr:cNvPr id="369" name="Check Box 177" hidden="1">
          <a:extLst>
            <a:ext uri="{63B3BB69-23CF-44E3-9099-C40C66FF867C}">
              <a14:compatExt xmlns:a14="http://schemas.microsoft.com/office/drawing/2010/main" spid="_x0000_s21681"/>
            </a:ext>
            <a:ext uri="{FF2B5EF4-FFF2-40B4-BE49-F238E27FC236}">
              <a16:creationId xmlns:a16="http://schemas.microsoft.com/office/drawing/2014/main" id="{3848B6F5-F160-4D6F-93F5-0CD359DEEAB0}"/>
            </a:ext>
          </a:extLst>
        </xdr:cNvPr>
        <xdr:cNvSpPr/>
      </xdr:nvSpPr>
      <xdr:spPr bwMode="auto">
        <a:xfrm>
          <a:off x="4903719" y="15277686"/>
          <a:ext cx="676275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예</a:t>
          </a:r>
        </a:p>
      </xdr:txBody>
    </xdr:sp>
    <xdr:clientData/>
  </xdr:oneCellAnchor>
  <xdr:oneCellAnchor>
    <xdr:from>
      <xdr:col>7</xdr:col>
      <xdr:colOff>1420053</xdr:colOff>
      <xdr:row>42</xdr:row>
      <xdr:rowOff>42241</xdr:rowOff>
    </xdr:from>
    <xdr:ext cx="666750" cy="236468"/>
    <xdr:sp macro="" textlink="">
      <xdr:nvSpPr>
        <xdr:cNvPr id="370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CB31B156-1ED5-4F01-9FBC-DBDD51C51466}"/>
            </a:ext>
          </a:extLst>
        </xdr:cNvPr>
        <xdr:cNvSpPr/>
      </xdr:nvSpPr>
      <xdr:spPr bwMode="auto">
        <a:xfrm>
          <a:off x="5077653" y="1530129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42</xdr:row>
      <xdr:rowOff>42241</xdr:rowOff>
    </xdr:from>
    <xdr:ext cx="666750" cy="236468"/>
    <xdr:sp macro="" textlink="">
      <xdr:nvSpPr>
        <xdr:cNvPr id="371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E544C7D7-33D8-41C0-87B6-943AD488B015}"/>
            </a:ext>
          </a:extLst>
        </xdr:cNvPr>
        <xdr:cNvSpPr/>
      </xdr:nvSpPr>
      <xdr:spPr bwMode="auto">
        <a:xfrm>
          <a:off x="4791075" y="1530129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42</xdr:row>
      <xdr:rowOff>42241</xdr:rowOff>
    </xdr:from>
    <xdr:ext cx="666750" cy="236468"/>
    <xdr:sp macro="" textlink="">
      <xdr:nvSpPr>
        <xdr:cNvPr id="372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827EC40A-C10D-46F1-8474-A999369F475C}"/>
            </a:ext>
          </a:extLst>
        </xdr:cNvPr>
        <xdr:cNvSpPr/>
      </xdr:nvSpPr>
      <xdr:spPr bwMode="auto">
        <a:xfrm>
          <a:off x="5077653" y="1530129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42</xdr:row>
      <xdr:rowOff>42241</xdr:rowOff>
    </xdr:from>
    <xdr:ext cx="666750" cy="236468"/>
    <xdr:sp macro="" textlink="">
      <xdr:nvSpPr>
        <xdr:cNvPr id="373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32EF865A-6411-41AE-BDA4-287B94B0AA06}"/>
            </a:ext>
          </a:extLst>
        </xdr:cNvPr>
        <xdr:cNvSpPr/>
      </xdr:nvSpPr>
      <xdr:spPr bwMode="auto">
        <a:xfrm>
          <a:off x="4791075" y="1530129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42</xdr:row>
      <xdr:rowOff>42241</xdr:rowOff>
    </xdr:from>
    <xdr:ext cx="666750" cy="236468"/>
    <xdr:sp macro="" textlink="">
      <xdr:nvSpPr>
        <xdr:cNvPr id="374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464DA3A-709F-4E5F-AF9D-7091F34F9F38}"/>
            </a:ext>
          </a:extLst>
        </xdr:cNvPr>
        <xdr:cNvSpPr/>
      </xdr:nvSpPr>
      <xdr:spPr bwMode="auto">
        <a:xfrm>
          <a:off x="5077653" y="1530129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42</xdr:row>
      <xdr:rowOff>42241</xdr:rowOff>
    </xdr:from>
    <xdr:ext cx="666750" cy="236468"/>
    <xdr:sp macro="" textlink="">
      <xdr:nvSpPr>
        <xdr:cNvPr id="375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5D8DD1B6-287F-4F30-9A6C-5A23777067F4}"/>
            </a:ext>
          </a:extLst>
        </xdr:cNvPr>
        <xdr:cNvSpPr/>
      </xdr:nvSpPr>
      <xdr:spPr bwMode="auto">
        <a:xfrm>
          <a:off x="4791075" y="1530129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42</xdr:row>
      <xdr:rowOff>42241</xdr:rowOff>
    </xdr:from>
    <xdr:ext cx="666750" cy="236468"/>
    <xdr:sp macro="" textlink="">
      <xdr:nvSpPr>
        <xdr:cNvPr id="376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82912FBE-9E6D-46D0-BD57-4B11D57B0473}"/>
            </a:ext>
          </a:extLst>
        </xdr:cNvPr>
        <xdr:cNvSpPr/>
      </xdr:nvSpPr>
      <xdr:spPr bwMode="auto">
        <a:xfrm>
          <a:off x="5077653" y="1530129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42</xdr:row>
      <xdr:rowOff>42241</xdr:rowOff>
    </xdr:from>
    <xdr:ext cx="666750" cy="236468"/>
    <xdr:sp macro="" textlink="">
      <xdr:nvSpPr>
        <xdr:cNvPr id="377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6464A77B-2AC9-4771-B058-2A49EB679AEA}"/>
            </a:ext>
          </a:extLst>
        </xdr:cNvPr>
        <xdr:cNvSpPr/>
      </xdr:nvSpPr>
      <xdr:spPr bwMode="auto">
        <a:xfrm>
          <a:off x="4791075" y="1530129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42</xdr:row>
      <xdr:rowOff>42241</xdr:rowOff>
    </xdr:from>
    <xdr:ext cx="666750" cy="236468"/>
    <xdr:sp macro="" textlink="">
      <xdr:nvSpPr>
        <xdr:cNvPr id="378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3F3D7101-3F5B-4A51-BCC9-04CB3871758B}"/>
            </a:ext>
          </a:extLst>
        </xdr:cNvPr>
        <xdr:cNvSpPr/>
      </xdr:nvSpPr>
      <xdr:spPr bwMode="auto">
        <a:xfrm>
          <a:off x="5077653" y="1530129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112644</xdr:colOff>
      <xdr:row>42</xdr:row>
      <xdr:rowOff>18636</xdr:rowOff>
    </xdr:from>
    <xdr:ext cx="676275" cy="236468"/>
    <xdr:sp macro="" textlink="">
      <xdr:nvSpPr>
        <xdr:cNvPr id="379" name="Check Box 177" hidden="1">
          <a:extLst>
            <a:ext uri="{63B3BB69-23CF-44E3-9099-C40C66FF867C}">
              <a14:compatExt xmlns:a14="http://schemas.microsoft.com/office/drawing/2010/main" spid="_x0000_s21681"/>
            </a:ext>
            <a:ext uri="{FF2B5EF4-FFF2-40B4-BE49-F238E27FC236}">
              <a16:creationId xmlns:a16="http://schemas.microsoft.com/office/drawing/2014/main" id="{7CB656D2-888A-47A9-9A68-D6B150F911FD}"/>
            </a:ext>
          </a:extLst>
        </xdr:cNvPr>
        <xdr:cNvSpPr/>
      </xdr:nvSpPr>
      <xdr:spPr bwMode="auto">
        <a:xfrm>
          <a:off x="4903719" y="15277686"/>
          <a:ext cx="676275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예</a:t>
          </a:r>
        </a:p>
      </xdr:txBody>
    </xdr:sp>
    <xdr:clientData/>
  </xdr:oneCellAnchor>
  <xdr:oneCellAnchor>
    <xdr:from>
      <xdr:col>7</xdr:col>
      <xdr:colOff>1420053</xdr:colOff>
      <xdr:row>42</xdr:row>
      <xdr:rowOff>42241</xdr:rowOff>
    </xdr:from>
    <xdr:ext cx="666750" cy="236468"/>
    <xdr:sp macro="" textlink="">
      <xdr:nvSpPr>
        <xdr:cNvPr id="380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EEE9AC08-0A7F-4952-87CC-8E34CBD75C84}"/>
            </a:ext>
          </a:extLst>
        </xdr:cNvPr>
        <xdr:cNvSpPr/>
      </xdr:nvSpPr>
      <xdr:spPr bwMode="auto">
        <a:xfrm>
          <a:off x="5077653" y="1530129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43</xdr:row>
      <xdr:rowOff>42241</xdr:rowOff>
    </xdr:from>
    <xdr:ext cx="666750" cy="236468"/>
    <xdr:sp macro="" textlink="">
      <xdr:nvSpPr>
        <xdr:cNvPr id="381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28621E6-73EB-4652-A5B0-E6EC662BA577}"/>
            </a:ext>
          </a:extLst>
        </xdr:cNvPr>
        <xdr:cNvSpPr/>
      </xdr:nvSpPr>
      <xdr:spPr bwMode="auto">
        <a:xfrm>
          <a:off x="4791075" y="1572991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43</xdr:row>
      <xdr:rowOff>42241</xdr:rowOff>
    </xdr:from>
    <xdr:ext cx="666750" cy="236468"/>
    <xdr:sp macro="" textlink="">
      <xdr:nvSpPr>
        <xdr:cNvPr id="382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BF55E14E-B8FA-48B2-91EE-9CD3CDEDCA9C}"/>
            </a:ext>
          </a:extLst>
        </xdr:cNvPr>
        <xdr:cNvSpPr/>
      </xdr:nvSpPr>
      <xdr:spPr bwMode="auto">
        <a:xfrm>
          <a:off x="5077653" y="1572991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43</xdr:row>
      <xdr:rowOff>42241</xdr:rowOff>
    </xdr:from>
    <xdr:ext cx="666750" cy="236468"/>
    <xdr:sp macro="" textlink="">
      <xdr:nvSpPr>
        <xdr:cNvPr id="383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A30DBBCA-1541-4009-B4D8-F5E3A2C7C269}"/>
            </a:ext>
          </a:extLst>
        </xdr:cNvPr>
        <xdr:cNvSpPr/>
      </xdr:nvSpPr>
      <xdr:spPr bwMode="auto">
        <a:xfrm>
          <a:off x="4791075" y="1572991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43</xdr:row>
      <xdr:rowOff>42241</xdr:rowOff>
    </xdr:from>
    <xdr:ext cx="666750" cy="236468"/>
    <xdr:sp macro="" textlink="">
      <xdr:nvSpPr>
        <xdr:cNvPr id="384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6C77D28D-5A47-4A4D-9FEF-671AD276E442}"/>
            </a:ext>
          </a:extLst>
        </xdr:cNvPr>
        <xdr:cNvSpPr/>
      </xdr:nvSpPr>
      <xdr:spPr bwMode="auto">
        <a:xfrm>
          <a:off x="5077653" y="1572991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43</xdr:row>
      <xdr:rowOff>42241</xdr:rowOff>
    </xdr:from>
    <xdr:ext cx="666750" cy="236468"/>
    <xdr:sp macro="" textlink="">
      <xdr:nvSpPr>
        <xdr:cNvPr id="385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6621EC53-D4A7-4780-9552-5DC499554EB9}"/>
            </a:ext>
          </a:extLst>
        </xdr:cNvPr>
        <xdr:cNvSpPr/>
      </xdr:nvSpPr>
      <xdr:spPr bwMode="auto">
        <a:xfrm>
          <a:off x="4791075" y="1572991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43</xdr:row>
      <xdr:rowOff>42241</xdr:rowOff>
    </xdr:from>
    <xdr:ext cx="666750" cy="236468"/>
    <xdr:sp macro="" textlink="">
      <xdr:nvSpPr>
        <xdr:cNvPr id="386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3BCC02DB-4F06-4C59-84CE-967C9690D089}"/>
            </a:ext>
          </a:extLst>
        </xdr:cNvPr>
        <xdr:cNvSpPr/>
      </xdr:nvSpPr>
      <xdr:spPr bwMode="auto">
        <a:xfrm>
          <a:off x="5077653" y="1572991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43</xdr:row>
      <xdr:rowOff>42241</xdr:rowOff>
    </xdr:from>
    <xdr:ext cx="666750" cy="236468"/>
    <xdr:sp macro="" textlink="">
      <xdr:nvSpPr>
        <xdr:cNvPr id="387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6B5524F6-E7EC-4EE8-BA40-ECD41AE90C01}"/>
            </a:ext>
          </a:extLst>
        </xdr:cNvPr>
        <xdr:cNvSpPr/>
      </xdr:nvSpPr>
      <xdr:spPr bwMode="auto">
        <a:xfrm>
          <a:off x="4791075" y="1572991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43</xdr:row>
      <xdr:rowOff>42241</xdr:rowOff>
    </xdr:from>
    <xdr:ext cx="666750" cy="236468"/>
    <xdr:sp macro="" textlink="">
      <xdr:nvSpPr>
        <xdr:cNvPr id="388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2F06A0B6-02DA-4E58-A801-85679D3C131C}"/>
            </a:ext>
          </a:extLst>
        </xdr:cNvPr>
        <xdr:cNvSpPr/>
      </xdr:nvSpPr>
      <xdr:spPr bwMode="auto">
        <a:xfrm>
          <a:off x="5077653" y="1572991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112644</xdr:colOff>
      <xdr:row>43</xdr:row>
      <xdr:rowOff>18636</xdr:rowOff>
    </xdr:from>
    <xdr:ext cx="676275" cy="236468"/>
    <xdr:sp macro="" textlink="">
      <xdr:nvSpPr>
        <xdr:cNvPr id="389" name="Check Box 177" hidden="1">
          <a:extLst>
            <a:ext uri="{63B3BB69-23CF-44E3-9099-C40C66FF867C}">
              <a14:compatExt xmlns:a14="http://schemas.microsoft.com/office/drawing/2010/main" spid="_x0000_s21681"/>
            </a:ext>
            <a:ext uri="{FF2B5EF4-FFF2-40B4-BE49-F238E27FC236}">
              <a16:creationId xmlns:a16="http://schemas.microsoft.com/office/drawing/2014/main" id="{83808A1F-9ED7-41B8-B375-1F45F60A70BD}"/>
            </a:ext>
          </a:extLst>
        </xdr:cNvPr>
        <xdr:cNvSpPr/>
      </xdr:nvSpPr>
      <xdr:spPr bwMode="auto">
        <a:xfrm>
          <a:off x="4903719" y="15706311"/>
          <a:ext cx="676275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예</a:t>
          </a:r>
        </a:p>
      </xdr:txBody>
    </xdr:sp>
    <xdr:clientData/>
  </xdr:oneCellAnchor>
  <xdr:oneCellAnchor>
    <xdr:from>
      <xdr:col>7</xdr:col>
      <xdr:colOff>1420053</xdr:colOff>
      <xdr:row>43</xdr:row>
      <xdr:rowOff>42241</xdr:rowOff>
    </xdr:from>
    <xdr:ext cx="666750" cy="236468"/>
    <xdr:sp macro="" textlink="">
      <xdr:nvSpPr>
        <xdr:cNvPr id="390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35933812-0F6E-4295-B927-D8D460C4D0EE}"/>
            </a:ext>
          </a:extLst>
        </xdr:cNvPr>
        <xdr:cNvSpPr/>
      </xdr:nvSpPr>
      <xdr:spPr bwMode="auto">
        <a:xfrm>
          <a:off x="5077653" y="1572991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43</xdr:row>
      <xdr:rowOff>42241</xdr:rowOff>
    </xdr:from>
    <xdr:ext cx="666750" cy="236468"/>
    <xdr:sp macro="" textlink="">
      <xdr:nvSpPr>
        <xdr:cNvPr id="391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58E67938-5A71-442C-ACAC-AA5CDA03DE58}"/>
            </a:ext>
          </a:extLst>
        </xdr:cNvPr>
        <xdr:cNvSpPr/>
      </xdr:nvSpPr>
      <xdr:spPr bwMode="auto">
        <a:xfrm>
          <a:off x="4791075" y="1572991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43</xdr:row>
      <xdr:rowOff>42241</xdr:rowOff>
    </xdr:from>
    <xdr:ext cx="666750" cy="236468"/>
    <xdr:sp macro="" textlink="">
      <xdr:nvSpPr>
        <xdr:cNvPr id="392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5EB85A4E-1018-4701-9D5B-F389F244E031}"/>
            </a:ext>
          </a:extLst>
        </xdr:cNvPr>
        <xdr:cNvSpPr/>
      </xdr:nvSpPr>
      <xdr:spPr bwMode="auto">
        <a:xfrm>
          <a:off x="5077653" y="1572991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43</xdr:row>
      <xdr:rowOff>42241</xdr:rowOff>
    </xdr:from>
    <xdr:ext cx="666750" cy="236468"/>
    <xdr:sp macro="" textlink="">
      <xdr:nvSpPr>
        <xdr:cNvPr id="393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9A6D0E3C-001B-4D5E-8C97-EDCF09BD5705}"/>
            </a:ext>
          </a:extLst>
        </xdr:cNvPr>
        <xdr:cNvSpPr/>
      </xdr:nvSpPr>
      <xdr:spPr bwMode="auto">
        <a:xfrm>
          <a:off x="4791075" y="1572991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43</xdr:row>
      <xdr:rowOff>42241</xdr:rowOff>
    </xdr:from>
    <xdr:ext cx="666750" cy="236468"/>
    <xdr:sp macro="" textlink="">
      <xdr:nvSpPr>
        <xdr:cNvPr id="394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F59AE444-E19A-4198-850B-E55D0A0A0B9A}"/>
            </a:ext>
          </a:extLst>
        </xdr:cNvPr>
        <xdr:cNvSpPr/>
      </xdr:nvSpPr>
      <xdr:spPr bwMode="auto">
        <a:xfrm>
          <a:off x="5077653" y="1572991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43</xdr:row>
      <xdr:rowOff>42241</xdr:rowOff>
    </xdr:from>
    <xdr:ext cx="666750" cy="236468"/>
    <xdr:sp macro="" textlink="">
      <xdr:nvSpPr>
        <xdr:cNvPr id="395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F2BEA979-86FD-4600-A6BC-5E26F65F1DD0}"/>
            </a:ext>
          </a:extLst>
        </xdr:cNvPr>
        <xdr:cNvSpPr/>
      </xdr:nvSpPr>
      <xdr:spPr bwMode="auto">
        <a:xfrm>
          <a:off x="4791075" y="1572991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43</xdr:row>
      <xdr:rowOff>42241</xdr:rowOff>
    </xdr:from>
    <xdr:ext cx="666750" cy="236468"/>
    <xdr:sp macro="" textlink="">
      <xdr:nvSpPr>
        <xdr:cNvPr id="396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F41AC418-8CE4-4FDB-B229-006A861FA671}"/>
            </a:ext>
          </a:extLst>
        </xdr:cNvPr>
        <xdr:cNvSpPr/>
      </xdr:nvSpPr>
      <xdr:spPr bwMode="auto">
        <a:xfrm>
          <a:off x="5077653" y="1572991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43</xdr:row>
      <xdr:rowOff>42241</xdr:rowOff>
    </xdr:from>
    <xdr:ext cx="666750" cy="236468"/>
    <xdr:sp macro="" textlink="">
      <xdr:nvSpPr>
        <xdr:cNvPr id="397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E99F3FD9-13B9-41B5-A40C-C4478287CAFD}"/>
            </a:ext>
          </a:extLst>
        </xdr:cNvPr>
        <xdr:cNvSpPr/>
      </xdr:nvSpPr>
      <xdr:spPr bwMode="auto">
        <a:xfrm>
          <a:off x="4791075" y="1572991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43</xdr:row>
      <xdr:rowOff>42241</xdr:rowOff>
    </xdr:from>
    <xdr:ext cx="666750" cy="236468"/>
    <xdr:sp macro="" textlink="">
      <xdr:nvSpPr>
        <xdr:cNvPr id="398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FBBD9AC3-634A-4CDB-926A-F45ED474D812}"/>
            </a:ext>
          </a:extLst>
        </xdr:cNvPr>
        <xdr:cNvSpPr/>
      </xdr:nvSpPr>
      <xdr:spPr bwMode="auto">
        <a:xfrm>
          <a:off x="5077653" y="1572991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112644</xdr:colOff>
      <xdr:row>43</xdr:row>
      <xdr:rowOff>18636</xdr:rowOff>
    </xdr:from>
    <xdr:ext cx="676275" cy="236468"/>
    <xdr:sp macro="" textlink="">
      <xdr:nvSpPr>
        <xdr:cNvPr id="399" name="Check Box 177" hidden="1">
          <a:extLst>
            <a:ext uri="{63B3BB69-23CF-44E3-9099-C40C66FF867C}">
              <a14:compatExt xmlns:a14="http://schemas.microsoft.com/office/drawing/2010/main" spid="_x0000_s21681"/>
            </a:ext>
            <a:ext uri="{FF2B5EF4-FFF2-40B4-BE49-F238E27FC236}">
              <a16:creationId xmlns:a16="http://schemas.microsoft.com/office/drawing/2014/main" id="{B5DAE675-EC10-4983-838D-1269C9822D7D}"/>
            </a:ext>
          </a:extLst>
        </xdr:cNvPr>
        <xdr:cNvSpPr/>
      </xdr:nvSpPr>
      <xdr:spPr bwMode="auto">
        <a:xfrm>
          <a:off x="4903719" y="15706311"/>
          <a:ext cx="676275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예</a:t>
          </a:r>
        </a:p>
      </xdr:txBody>
    </xdr:sp>
    <xdr:clientData/>
  </xdr:oneCellAnchor>
  <xdr:oneCellAnchor>
    <xdr:from>
      <xdr:col>7</xdr:col>
      <xdr:colOff>1420053</xdr:colOff>
      <xdr:row>43</xdr:row>
      <xdr:rowOff>42241</xdr:rowOff>
    </xdr:from>
    <xdr:ext cx="666750" cy="236468"/>
    <xdr:sp macro="" textlink="">
      <xdr:nvSpPr>
        <xdr:cNvPr id="400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53CDD4FF-2508-4823-9B3E-DA156F872A28}"/>
            </a:ext>
          </a:extLst>
        </xdr:cNvPr>
        <xdr:cNvSpPr/>
      </xdr:nvSpPr>
      <xdr:spPr bwMode="auto">
        <a:xfrm>
          <a:off x="5077653" y="1572991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43</xdr:row>
      <xdr:rowOff>42241</xdr:rowOff>
    </xdr:from>
    <xdr:ext cx="666750" cy="236468"/>
    <xdr:sp macro="" textlink="">
      <xdr:nvSpPr>
        <xdr:cNvPr id="401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93281A90-3A35-4795-8637-E9038DBEA82C}"/>
            </a:ext>
          </a:extLst>
        </xdr:cNvPr>
        <xdr:cNvSpPr/>
      </xdr:nvSpPr>
      <xdr:spPr bwMode="auto">
        <a:xfrm>
          <a:off x="4791075" y="1572991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43</xdr:row>
      <xdr:rowOff>42241</xdr:rowOff>
    </xdr:from>
    <xdr:ext cx="666750" cy="236468"/>
    <xdr:sp macro="" textlink="">
      <xdr:nvSpPr>
        <xdr:cNvPr id="402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C4D3EBBA-9875-4E7B-8122-09AE7A8CAD9B}"/>
            </a:ext>
          </a:extLst>
        </xdr:cNvPr>
        <xdr:cNvSpPr/>
      </xdr:nvSpPr>
      <xdr:spPr bwMode="auto">
        <a:xfrm>
          <a:off x="5077653" y="1572991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43</xdr:row>
      <xdr:rowOff>42241</xdr:rowOff>
    </xdr:from>
    <xdr:ext cx="666750" cy="236468"/>
    <xdr:sp macro="" textlink="">
      <xdr:nvSpPr>
        <xdr:cNvPr id="403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D36FFB0E-E7CC-4EFC-BBAE-B0509230D2EA}"/>
            </a:ext>
          </a:extLst>
        </xdr:cNvPr>
        <xdr:cNvSpPr/>
      </xdr:nvSpPr>
      <xdr:spPr bwMode="auto">
        <a:xfrm>
          <a:off x="4791075" y="1572991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43</xdr:row>
      <xdr:rowOff>42241</xdr:rowOff>
    </xdr:from>
    <xdr:ext cx="666750" cy="236468"/>
    <xdr:sp macro="" textlink="">
      <xdr:nvSpPr>
        <xdr:cNvPr id="404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7F378989-33F9-4518-9994-6AD0CB59847F}"/>
            </a:ext>
          </a:extLst>
        </xdr:cNvPr>
        <xdr:cNvSpPr/>
      </xdr:nvSpPr>
      <xdr:spPr bwMode="auto">
        <a:xfrm>
          <a:off x="5077653" y="1572991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43</xdr:row>
      <xdr:rowOff>42241</xdr:rowOff>
    </xdr:from>
    <xdr:ext cx="666750" cy="236468"/>
    <xdr:sp macro="" textlink="">
      <xdr:nvSpPr>
        <xdr:cNvPr id="405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139E9FC9-764F-48A1-B549-7011D5C3BFB4}"/>
            </a:ext>
          </a:extLst>
        </xdr:cNvPr>
        <xdr:cNvSpPr/>
      </xdr:nvSpPr>
      <xdr:spPr bwMode="auto">
        <a:xfrm>
          <a:off x="4791075" y="1572991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43</xdr:row>
      <xdr:rowOff>42241</xdr:rowOff>
    </xdr:from>
    <xdr:ext cx="666750" cy="236468"/>
    <xdr:sp macro="" textlink="">
      <xdr:nvSpPr>
        <xdr:cNvPr id="406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43C4E2A0-CFA0-4E1D-9D75-466025174843}"/>
            </a:ext>
          </a:extLst>
        </xdr:cNvPr>
        <xdr:cNvSpPr/>
      </xdr:nvSpPr>
      <xdr:spPr bwMode="auto">
        <a:xfrm>
          <a:off x="5077653" y="1572991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43</xdr:row>
      <xdr:rowOff>42241</xdr:rowOff>
    </xdr:from>
    <xdr:ext cx="666750" cy="236468"/>
    <xdr:sp macro="" textlink="">
      <xdr:nvSpPr>
        <xdr:cNvPr id="407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E9EF9C15-3BEE-402D-88F0-63552EEA19EE}"/>
            </a:ext>
          </a:extLst>
        </xdr:cNvPr>
        <xdr:cNvSpPr/>
      </xdr:nvSpPr>
      <xdr:spPr bwMode="auto">
        <a:xfrm>
          <a:off x="4791075" y="1572991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43</xdr:row>
      <xdr:rowOff>42241</xdr:rowOff>
    </xdr:from>
    <xdr:ext cx="666750" cy="236468"/>
    <xdr:sp macro="" textlink="">
      <xdr:nvSpPr>
        <xdr:cNvPr id="408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DD7783F5-105D-42C2-AB99-5B6F0B5F1569}"/>
            </a:ext>
          </a:extLst>
        </xdr:cNvPr>
        <xdr:cNvSpPr/>
      </xdr:nvSpPr>
      <xdr:spPr bwMode="auto">
        <a:xfrm>
          <a:off x="5077653" y="1572991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112644</xdr:colOff>
      <xdr:row>43</xdr:row>
      <xdr:rowOff>18636</xdr:rowOff>
    </xdr:from>
    <xdr:ext cx="676275" cy="236468"/>
    <xdr:sp macro="" textlink="">
      <xdr:nvSpPr>
        <xdr:cNvPr id="409" name="Check Box 177" hidden="1">
          <a:extLst>
            <a:ext uri="{63B3BB69-23CF-44E3-9099-C40C66FF867C}">
              <a14:compatExt xmlns:a14="http://schemas.microsoft.com/office/drawing/2010/main" spid="_x0000_s21681"/>
            </a:ext>
            <a:ext uri="{FF2B5EF4-FFF2-40B4-BE49-F238E27FC236}">
              <a16:creationId xmlns:a16="http://schemas.microsoft.com/office/drawing/2014/main" id="{6A5D7E43-E462-46A4-93F4-D20FF9B6C066}"/>
            </a:ext>
          </a:extLst>
        </xdr:cNvPr>
        <xdr:cNvSpPr/>
      </xdr:nvSpPr>
      <xdr:spPr bwMode="auto">
        <a:xfrm>
          <a:off x="4903719" y="15706311"/>
          <a:ext cx="676275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예</a:t>
          </a:r>
        </a:p>
      </xdr:txBody>
    </xdr:sp>
    <xdr:clientData/>
  </xdr:oneCellAnchor>
  <xdr:oneCellAnchor>
    <xdr:from>
      <xdr:col>7</xdr:col>
      <xdr:colOff>1420053</xdr:colOff>
      <xdr:row>43</xdr:row>
      <xdr:rowOff>42241</xdr:rowOff>
    </xdr:from>
    <xdr:ext cx="666750" cy="236468"/>
    <xdr:sp macro="" textlink="">
      <xdr:nvSpPr>
        <xdr:cNvPr id="410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7A937ED9-A25F-4B1A-BC32-7E9D825CF5C1}"/>
            </a:ext>
          </a:extLst>
        </xdr:cNvPr>
        <xdr:cNvSpPr/>
      </xdr:nvSpPr>
      <xdr:spPr bwMode="auto">
        <a:xfrm>
          <a:off x="5077653" y="1572991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44</xdr:row>
      <xdr:rowOff>42241</xdr:rowOff>
    </xdr:from>
    <xdr:ext cx="666750" cy="236468"/>
    <xdr:sp macro="" textlink="">
      <xdr:nvSpPr>
        <xdr:cNvPr id="411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111AE717-92B0-4598-9A0C-C28BF5A7FD97}"/>
            </a:ext>
          </a:extLst>
        </xdr:cNvPr>
        <xdr:cNvSpPr/>
      </xdr:nvSpPr>
      <xdr:spPr bwMode="auto">
        <a:xfrm>
          <a:off x="4791075" y="1632046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44</xdr:row>
      <xdr:rowOff>42241</xdr:rowOff>
    </xdr:from>
    <xdr:ext cx="666750" cy="236468"/>
    <xdr:sp macro="" textlink="">
      <xdr:nvSpPr>
        <xdr:cNvPr id="412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34547F51-42A2-4914-9B47-0EA5EEF32E58}"/>
            </a:ext>
          </a:extLst>
        </xdr:cNvPr>
        <xdr:cNvSpPr/>
      </xdr:nvSpPr>
      <xdr:spPr bwMode="auto">
        <a:xfrm>
          <a:off x="5077653" y="1632046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44</xdr:row>
      <xdr:rowOff>42241</xdr:rowOff>
    </xdr:from>
    <xdr:ext cx="666750" cy="236468"/>
    <xdr:sp macro="" textlink="">
      <xdr:nvSpPr>
        <xdr:cNvPr id="413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EAB7B9DB-2710-4923-8ECC-275E34031A0A}"/>
            </a:ext>
          </a:extLst>
        </xdr:cNvPr>
        <xdr:cNvSpPr/>
      </xdr:nvSpPr>
      <xdr:spPr bwMode="auto">
        <a:xfrm>
          <a:off x="4791075" y="1632046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44</xdr:row>
      <xdr:rowOff>42241</xdr:rowOff>
    </xdr:from>
    <xdr:ext cx="666750" cy="236468"/>
    <xdr:sp macro="" textlink="">
      <xdr:nvSpPr>
        <xdr:cNvPr id="414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85AE407C-E9D1-4082-8830-CD806648E4B9}"/>
            </a:ext>
          </a:extLst>
        </xdr:cNvPr>
        <xdr:cNvSpPr/>
      </xdr:nvSpPr>
      <xdr:spPr bwMode="auto">
        <a:xfrm>
          <a:off x="5077653" y="1632046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44</xdr:row>
      <xdr:rowOff>42241</xdr:rowOff>
    </xdr:from>
    <xdr:ext cx="666750" cy="236468"/>
    <xdr:sp macro="" textlink="">
      <xdr:nvSpPr>
        <xdr:cNvPr id="415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CAF01D05-B276-4C66-8AF3-F54985196947}"/>
            </a:ext>
          </a:extLst>
        </xdr:cNvPr>
        <xdr:cNvSpPr/>
      </xdr:nvSpPr>
      <xdr:spPr bwMode="auto">
        <a:xfrm>
          <a:off x="4791075" y="1632046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44</xdr:row>
      <xdr:rowOff>42241</xdr:rowOff>
    </xdr:from>
    <xdr:ext cx="666750" cy="236468"/>
    <xdr:sp macro="" textlink="">
      <xdr:nvSpPr>
        <xdr:cNvPr id="416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8AE7FA4-B8B3-43CA-916A-E4A34E028686}"/>
            </a:ext>
          </a:extLst>
        </xdr:cNvPr>
        <xdr:cNvSpPr/>
      </xdr:nvSpPr>
      <xdr:spPr bwMode="auto">
        <a:xfrm>
          <a:off x="5077653" y="1632046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44</xdr:row>
      <xdr:rowOff>42241</xdr:rowOff>
    </xdr:from>
    <xdr:ext cx="666750" cy="236468"/>
    <xdr:sp macro="" textlink="">
      <xdr:nvSpPr>
        <xdr:cNvPr id="417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D5C79E6D-1C07-459F-9085-7217AE7F7D1C}"/>
            </a:ext>
          </a:extLst>
        </xdr:cNvPr>
        <xdr:cNvSpPr/>
      </xdr:nvSpPr>
      <xdr:spPr bwMode="auto">
        <a:xfrm>
          <a:off x="4791075" y="1632046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44</xdr:row>
      <xdr:rowOff>42241</xdr:rowOff>
    </xdr:from>
    <xdr:ext cx="666750" cy="236468"/>
    <xdr:sp macro="" textlink="">
      <xdr:nvSpPr>
        <xdr:cNvPr id="418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51517B69-72F0-4175-A4B2-92C46DBA7956}"/>
            </a:ext>
          </a:extLst>
        </xdr:cNvPr>
        <xdr:cNvSpPr/>
      </xdr:nvSpPr>
      <xdr:spPr bwMode="auto">
        <a:xfrm>
          <a:off x="5077653" y="1632046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112644</xdr:colOff>
      <xdr:row>44</xdr:row>
      <xdr:rowOff>18636</xdr:rowOff>
    </xdr:from>
    <xdr:ext cx="676275" cy="236468"/>
    <xdr:sp macro="" textlink="">
      <xdr:nvSpPr>
        <xdr:cNvPr id="419" name="Check Box 177" hidden="1">
          <a:extLst>
            <a:ext uri="{63B3BB69-23CF-44E3-9099-C40C66FF867C}">
              <a14:compatExt xmlns:a14="http://schemas.microsoft.com/office/drawing/2010/main" spid="_x0000_s21681"/>
            </a:ext>
            <a:ext uri="{FF2B5EF4-FFF2-40B4-BE49-F238E27FC236}">
              <a16:creationId xmlns:a16="http://schemas.microsoft.com/office/drawing/2014/main" id="{2D62F08D-C9D3-4BE9-90B7-985CEC3F2B76}"/>
            </a:ext>
          </a:extLst>
        </xdr:cNvPr>
        <xdr:cNvSpPr/>
      </xdr:nvSpPr>
      <xdr:spPr bwMode="auto">
        <a:xfrm>
          <a:off x="4903719" y="16296861"/>
          <a:ext cx="676275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예</a:t>
          </a:r>
        </a:p>
      </xdr:txBody>
    </xdr:sp>
    <xdr:clientData/>
  </xdr:oneCellAnchor>
  <xdr:oneCellAnchor>
    <xdr:from>
      <xdr:col>7</xdr:col>
      <xdr:colOff>1420053</xdr:colOff>
      <xdr:row>44</xdr:row>
      <xdr:rowOff>42241</xdr:rowOff>
    </xdr:from>
    <xdr:ext cx="666750" cy="236468"/>
    <xdr:sp macro="" textlink="">
      <xdr:nvSpPr>
        <xdr:cNvPr id="420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23E4BAF9-C45B-438C-8F2C-CE6F2637AC50}"/>
            </a:ext>
          </a:extLst>
        </xdr:cNvPr>
        <xdr:cNvSpPr/>
      </xdr:nvSpPr>
      <xdr:spPr bwMode="auto">
        <a:xfrm>
          <a:off x="5077653" y="1632046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44</xdr:row>
      <xdr:rowOff>42241</xdr:rowOff>
    </xdr:from>
    <xdr:ext cx="666750" cy="236468"/>
    <xdr:sp macro="" textlink="">
      <xdr:nvSpPr>
        <xdr:cNvPr id="421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4207871A-CBFB-49ED-AC4C-0DFF71F8E902}"/>
            </a:ext>
          </a:extLst>
        </xdr:cNvPr>
        <xdr:cNvSpPr/>
      </xdr:nvSpPr>
      <xdr:spPr bwMode="auto">
        <a:xfrm>
          <a:off x="4791075" y="1632046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44</xdr:row>
      <xdr:rowOff>42241</xdr:rowOff>
    </xdr:from>
    <xdr:ext cx="666750" cy="236468"/>
    <xdr:sp macro="" textlink="">
      <xdr:nvSpPr>
        <xdr:cNvPr id="422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596AF8B3-7306-4533-A30B-15CACD29434E}"/>
            </a:ext>
          </a:extLst>
        </xdr:cNvPr>
        <xdr:cNvSpPr/>
      </xdr:nvSpPr>
      <xdr:spPr bwMode="auto">
        <a:xfrm>
          <a:off x="5077653" y="1632046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44</xdr:row>
      <xdr:rowOff>42241</xdr:rowOff>
    </xdr:from>
    <xdr:ext cx="666750" cy="236468"/>
    <xdr:sp macro="" textlink="">
      <xdr:nvSpPr>
        <xdr:cNvPr id="423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D72B78D5-30F7-4868-9A1A-366676A60283}"/>
            </a:ext>
          </a:extLst>
        </xdr:cNvPr>
        <xdr:cNvSpPr/>
      </xdr:nvSpPr>
      <xdr:spPr bwMode="auto">
        <a:xfrm>
          <a:off x="4791075" y="1632046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44</xdr:row>
      <xdr:rowOff>42241</xdr:rowOff>
    </xdr:from>
    <xdr:ext cx="666750" cy="236468"/>
    <xdr:sp macro="" textlink="">
      <xdr:nvSpPr>
        <xdr:cNvPr id="424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22053346-68CE-4558-8B24-1FE592E9209B}"/>
            </a:ext>
          </a:extLst>
        </xdr:cNvPr>
        <xdr:cNvSpPr/>
      </xdr:nvSpPr>
      <xdr:spPr bwMode="auto">
        <a:xfrm>
          <a:off x="5077653" y="1632046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44</xdr:row>
      <xdr:rowOff>42241</xdr:rowOff>
    </xdr:from>
    <xdr:ext cx="666750" cy="236468"/>
    <xdr:sp macro="" textlink="">
      <xdr:nvSpPr>
        <xdr:cNvPr id="425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D5988AFF-D2F5-4827-87D9-80162485E89A}"/>
            </a:ext>
          </a:extLst>
        </xdr:cNvPr>
        <xdr:cNvSpPr/>
      </xdr:nvSpPr>
      <xdr:spPr bwMode="auto">
        <a:xfrm>
          <a:off x="4791075" y="1632046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44</xdr:row>
      <xdr:rowOff>42241</xdr:rowOff>
    </xdr:from>
    <xdr:ext cx="666750" cy="236468"/>
    <xdr:sp macro="" textlink="">
      <xdr:nvSpPr>
        <xdr:cNvPr id="426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8A1F0314-1528-456E-94B2-900142E93335}"/>
            </a:ext>
          </a:extLst>
        </xdr:cNvPr>
        <xdr:cNvSpPr/>
      </xdr:nvSpPr>
      <xdr:spPr bwMode="auto">
        <a:xfrm>
          <a:off x="5077653" y="1632046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44</xdr:row>
      <xdr:rowOff>42241</xdr:rowOff>
    </xdr:from>
    <xdr:ext cx="666750" cy="236468"/>
    <xdr:sp macro="" textlink="">
      <xdr:nvSpPr>
        <xdr:cNvPr id="427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9F410C23-A7E0-4E68-B714-1812376C546B}"/>
            </a:ext>
          </a:extLst>
        </xdr:cNvPr>
        <xdr:cNvSpPr/>
      </xdr:nvSpPr>
      <xdr:spPr bwMode="auto">
        <a:xfrm>
          <a:off x="4791075" y="1632046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44</xdr:row>
      <xdr:rowOff>42241</xdr:rowOff>
    </xdr:from>
    <xdr:ext cx="666750" cy="236468"/>
    <xdr:sp macro="" textlink="">
      <xdr:nvSpPr>
        <xdr:cNvPr id="428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FBF3E410-A62C-4DD1-8441-4B9A9122A521}"/>
            </a:ext>
          </a:extLst>
        </xdr:cNvPr>
        <xdr:cNvSpPr/>
      </xdr:nvSpPr>
      <xdr:spPr bwMode="auto">
        <a:xfrm>
          <a:off x="5077653" y="1632046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112644</xdr:colOff>
      <xdr:row>44</xdr:row>
      <xdr:rowOff>18636</xdr:rowOff>
    </xdr:from>
    <xdr:ext cx="676275" cy="236468"/>
    <xdr:sp macro="" textlink="">
      <xdr:nvSpPr>
        <xdr:cNvPr id="429" name="Check Box 177" hidden="1">
          <a:extLst>
            <a:ext uri="{63B3BB69-23CF-44E3-9099-C40C66FF867C}">
              <a14:compatExt xmlns:a14="http://schemas.microsoft.com/office/drawing/2010/main" spid="_x0000_s21681"/>
            </a:ext>
            <a:ext uri="{FF2B5EF4-FFF2-40B4-BE49-F238E27FC236}">
              <a16:creationId xmlns:a16="http://schemas.microsoft.com/office/drawing/2014/main" id="{FAC145B6-E32C-4FEE-AF1E-43825F360959}"/>
            </a:ext>
          </a:extLst>
        </xdr:cNvPr>
        <xdr:cNvSpPr/>
      </xdr:nvSpPr>
      <xdr:spPr bwMode="auto">
        <a:xfrm>
          <a:off x="4903719" y="16296861"/>
          <a:ext cx="676275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예</a:t>
          </a:r>
        </a:p>
      </xdr:txBody>
    </xdr:sp>
    <xdr:clientData/>
  </xdr:oneCellAnchor>
  <xdr:oneCellAnchor>
    <xdr:from>
      <xdr:col>7</xdr:col>
      <xdr:colOff>1420053</xdr:colOff>
      <xdr:row>44</xdr:row>
      <xdr:rowOff>42241</xdr:rowOff>
    </xdr:from>
    <xdr:ext cx="666750" cy="236468"/>
    <xdr:sp macro="" textlink="">
      <xdr:nvSpPr>
        <xdr:cNvPr id="430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DE060EB5-5B16-4939-BD9A-88697CFAD2D1}"/>
            </a:ext>
          </a:extLst>
        </xdr:cNvPr>
        <xdr:cNvSpPr/>
      </xdr:nvSpPr>
      <xdr:spPr bwMode="auto">
        <a:xfrm>
          <a:off x="5077653" y="1632046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0</xdr:col>
      <xdr:colOff>0</xdr:colOff>
      <xdr:row>124</xdr:row>
      <xdr:rowOff>244751</xdr:rowOff>
    </xdr:from>
    <xdr:ext cx="733425" cy="247650"/>
    <xdr:sp macro="" textlink="">
      <xdr:nvSpPr>
        <xdr:cNvPr id="431" name="Check Box 92" hidden="1">
          <a:extLst>
            <a:ext uri="{63B3BB69-23CF-44E3-9099-C40C66FF867C}">
              <a14:compatExt xmlns:a14="http://schemas.microsoft.com/office/drawing/2010/main" spid="_x0000_s21596"/>
            </a:ext>
            <a:ext uri="{FF2B5EF4-FFF2-40B4-BE49-F238E27FC236}">
              <a16:creationId xmlns:a16="http://schemas.microsoft.com/office/drawing/2014/main" id="{AFDB0A35-ADA2-4156-A098-7F4D87E30105}"/>
            </a:ext>
          </a:extLst>
        </xdr:cNvPr>
        <xdr:cNvSpPr/>
      </xdr:nvSpPr>
      <xdr:spPr bwMode="auto">
        <a:xfrm>
          <a:off x="0" y="43821626"/>
          <a:ext cx="733425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11595</xdr:colOff>
      <xdr:row>125</xdr:row>
      <xdr:rowOff>248065</xdr:rowOff>
    </xdr:from>
    <xdr:ext cx="733425" cy="247650"/>
    <xdr:sp macro="" textlink="">
      <xdr:nvSpPr>
        <xdr:cNvPr id="432" name="Check Box 97" hidden="1">
          <a:extLst>
            <a:ext uri="{63B3BB69-23CF-44E3-9099-C40C66FF867C}">
              <a14:compatExt xmlns:a14="http://schemas.microsoft.com/office/drawing/2010/main" spid="_x0000_s21601"/>
            </a:ext>
            <a:ext uri="{FF2B5EF4-FFF2-40B4-BE49-F238E27FC236}">
              <a16:creationId xmlns:a16="http://schemas.microsoft.com/office/drawing/2014/main" id="{6959F9A8-D5F3-42F6-A48E-488CD726A5E4}"/>
            </a:ext>
          </a:extLst>
        </xdr:cNvPr>
        <xdr:cNvSpPr/>
      </xdr:nvSpPr>
      <xdr:spPr bwMode="auto">
        <a:xfrm>
          <a:off x="11595" y="44091640"/>
          <a:ext cx="733425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112644</xdr:colOff>
      <xdr:row>117</xdr:row>
      <xdr:rowOff>18636</xdr:rowOff>
    </xdr:from>
    <xdr:ext cx="676275" cy="236468"/>
    <xdr:sp macro="" textlink="">
      <xdr:nvSpPr>
        <xdr:cNvPr id="433" name="Check Box 177" hidden="1">
          <a:extLst>
            <a:ext uri="{63B3BB69-23CF-44E3-9099-C40C66FF867C}">
              <a14:compatExt xmlns:a14="http://schemas.microsoft.com/office/drawing/2010/main" spid="_x0000_s21681"/>
            </a:ext>
            <a:ext uri="{FF2B5EF4-FFF2-40B4-BE49-F238E27FC236}">
              <a16:creationId xmlns:a16="http://schemas.microsoft.com/office/drawing/2014/main" id="{D8E80ACB-D6CF-4774-9B41-357C265AC626}"/>
            </a:ext>
          </a:extLst>
        </xdr:cNvPr>
        <xdr:cNvSpPr/>
      </xdr:nvSpPr>
      <xdr:spPr bwMode="auto">
        <a:xfrm>
          <a:off x="4903719" y="41319036"/>
          <a:ext cx="676275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예</a:t>
          </a:r>
        </a:p>
      </xdr:txBody>
    </xdr:sp>
    <xdr:clientData/>
  </xdr:oneCellAnchor>
  <xdr:oneCellAnchor>
    <xdr:from>
      <xdr:col>7</xdr:col>
      <xdr:colOff>1420053</xdr:colOff>
      <xdr:row>117</xdr:row>
      <xdr:rowOff>42241</xdr:rowOff>
    </xdr:from>
    <xdr:ext cx="666750" cy="236468"/>
    <xdr:sp macro="" textlink="">
      <xdr:nvSpPr>
        <xdr:cNvPr id="434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8D579A76-B4B7-457D-BDD7-F083DDC6C590}"/>
            </a:ext>
          </a:extLst>
        </xdr:cNvPr>
        <xdr:cNvSpPr/>
      </xdr:nvSpPr>
      <xdr:spPr bwMode="auto">
        <a:xfrm>
          <a:off x="5077653" y="4134264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0</xdr:col>
      <xdr:colOff>0</xdr:colOff>
      <xdr:row>138</xdr:row>
      <xdr:rowOff>244751</xdr:rowOff>
    </xdr:from>
    <xdr:ext cx="733425" cy="247650"/>
    <xdr:sp macro="" textlink="">
      <xdr:nvSpPr>
        <xdr:cNvPr id="435" name="Check Box 92" hidden="1">
          <a:extLst>
            <a:ext uri="{63B3BB69-23CF-44E3-9099-C40C66FF867C}">
              <a14:compatExt xmlns:a14="http://schemas.microsoft.com/office/drawing/2010/main" spid="_x0000_s21596"/>
            </a:ext>
            <a:ext uri="{FF2B5EF4-FFF2-40B4-BE49-F238E27FC236}">
              <a16:creationId xmlns:a16="http://schemas.microsoft.com/office/drawing/2014/main" id="{9A1B3208-9401-40FB-8D7E-CCE5912A4387}"/>
            </a:ext>
          </a:extLst>
        </xdr:cNvPr>
        <xdr:cNvSpPr/>
      </xdr:nvSpPr>
      <xdr:spPr bwMode="auto">
        <a:xfrm>
          <a:off x="0" y="50212901"/>
          <a:ext cx="733425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11595</xdr:colOff>
      <xdr:row>139</xdr:row>
      <xdr:rowOff>248065</xdr:rowOff>
    </xdr:from>
    <xdr:ext cx="733425" cy="247650"/>
    <xdr:sp macro="" textlink="">
      <xdr:nvSpPr>
        <xdr:cNvPr id="436" name="Check Box 97" hidden="1">
          <a:extLst>
            <a:ext uri="{63B3BB69-23CF-44E3-9099-C40C66FF867C}">
              <a14:compatExt xmlns:a14="http://schemas.microsoft.com/office/drawing/2010/main" spid="_x0000_s21601"/>
            </a:ext>
            <a:ext uri="{FF2B5EF4-FFF2-40B4-BE49-F238E27FC236}">
              <a16:creationId xmlns:a16="http://schemas.microsoft.com/office/drawing/2014/main" id="{71A89999-AEBA-491C-8E29-B02F45CBE3B6}"/>
            </a:ext>
          </a:extLst>
        </xdr:cNvPr>
        <xdr:cNvSpPr/>
      </xdr:nvSpPr>
      <xdr:spPr bwMode="auto">
        <a:xfrm>
          <a:off x="11595" y="50482915"/>
          <a:ext cx="733425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144</xdr:row>
      <xdr:rowOff>244751</xdr:rowOff>
    </xdr:from>
    <xdr:ext cx="733425" cy="247650"/>
    <xdr:sp macro="" textlink="">
      <xdr:nvSpPr>
        <xdr:cNvPr id="437" name="Check Box 92" hidden="1">
          <a:extLst>
            <a:ext uri="{63B3BB69-23CF-44E3-9099-C40C66FF867C}">
              <a14:compatExt xmlns:a14="http://schemas.microsoft.com/office/drawing/2010/main" spid="_x0000_s21596"/>
            </a:ext>
            <a:ext uri="{FF2B5EF4-FFF2-40B4-BE49-F238E27FC236}">
              <a16:creationId xmlns:a16="http://schemas.microsoft.com/office/drawing/2014/main" id="{24744BEC-6B8A-4A70-A615-66F54C34B225}"/>
            </a:ext>
          </a:extLst>
        </xdr:cNvPr>
        <xdr:cNvSpPr/>
      </xdr:nvSpPr>
      <xdr:spPr bwMode="auto">
        <a:xfrm>
          <a:off x="0" y="52403651"/>
          <a:ext cx="733425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11595</xdr:colOff>
      <xdr:row>145</xdr:row>
      <xdr:rowOff>248065</xdr:rowOff>
    </xdr:from>
    <xdr:ext cx="733425" cy="247650"/>
    <xdr:sp macro="" textlink="">
      <xdr:nvSpPr>
        <xdr:cNvPr id="438" name="Check Box 97" hidden="1">
          <a:extLst>
            <a:ext uri="{63B3BB69-23CF-44E3-9099-C40C66FF867C}">
              <a14:compatExt xmlns:a14="http://schemas.microsoft.com/office/drawing/2010/main" spid="_x0000_s21601"/>
            </a:ext>
            <a:ext uri="{FF2B5EF4-FFF2-40B4-BE49-F238E27FC236}">
              <a16:creationId xmlns:a16="http://schemas.microsoft.com/office/drawing/2014/main" id="{60BBE599-EE4A-4EEF-B21F-5E8D44DA2F27}"/>
            </a:ext>
          </a:extLst>
        </xdr:cNvPr>
        <xdr:cNvSpPr/>
      </xdr:nvSpPr>
      <xdr:spPr bwMode="auto">
        <a:xfrm>
          <a:off x="11595" y="52673665"/>
          <a:ext cx="733425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139</xdr:row>
      <xdr:rowOff>244751</xdr:rowOff>
    </xdr:from>
    <xdr:ext cx="733425" cy="247650"/>
    <xdr:sp macro="" textlink="">
      <xdr:nvSpPr>
        <xdr:cNvPr id="439" name="Check Box 92" hidden="1">
          <a:extLst>
            <a:ext uri="{63B3BB69-23CF-44E3-9099-C40C66FF867C}">
              <a14:compatExt xmlns:a14="http://schemas.microsoft.com/office/drawing/2010/main" spid="_x0000_s21596"/>
            </a:ext>
            <a:ext uri="{FF2B5EF4-FFF2-40B4-BE49-F238E27FC236}">
              <a16:creationId xmlns:a16="http://schemas.microsoft.com/office/drawing/2014/main" id="{956CA5B4-C26A-45B6-A150-427C49DE4CA2}"/>
            </a:ext>
          </a:extLst>
        </xdr:cNvPr>
        <xdr:cNvSpPr/>
      </xdr:nvSpPr>
      <xdr:spPr bwMode="auto">
        <a:xfrm>
          <a:off x="0" y="50479601"/>
          <a:ext cx="733425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145</xdr:row>
      <xdr:rowOff>244751</xdr:rowOff>
    </xdr:from>
    <xdr:ext cx="733425" cy="247650"/>
    <xdr:sp macro="" textlink="">
      <xdr:nvSpPr>
        <xdr:cNvPr id="440" name="Check Box 92" hidden="1">
          <a:extLst>
            <a:ext uri="{63B3BB69-23CF-44E3-9099-C40C66FF867C}">
              <a14:compatExt xmlns:a14="http://schemas.microsoft.com/office/drawing/2010/main" spid="_x0000_s21596"/>
            </a:ext>
            <a:ext uri="{FF2B5EF4-FFF2-40B4-BE49-F238E27FC236}">
              <a16:creationId xmlns:a16="http://schemas.microsoft.com/office/drawing/2014/main" id="{8653F49A-43A9-482D-ACB5-71B08D54ACAE}"/>
            </a:ext>
          </a:extLst>
        </xdr:cNvPr>
        <xdr:cNvSpPr/>
      </xdr:nvSpPr>
      <xdr:spPr bwMode="auto">
        <a:xfrm>
          <a:off x="0" y="52670351"/>
          <a:ext cx="733425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150</xdr:row>
      <xdr:rowOff>244751</xdr:rowOff>
    </xdr:from>
    <xdr:ext cx="733425" cy="247650"/>
    <xdr:sp macro="" textlink="">
      <xdr:nvSpPr>
        <xdr:cNvPr id="441" name="Check Box 92" hidden="1">
          <a:extLst>
            <a:ext uri="{63B3BB69-23CF-44E3-9099-C40C66FF867C}">
              <a14:compatExt xmlns:a14="http://schemas.microsoft.com/office/drawing/2010/main" spid="_x0000_s21596"/>
            </a:ext>
            <a:ext uri="{FF2B5EF4-FFF2-40B4-BE49-F238E27FC236}">
              <a16:creationId xmlns:a16="http://schemas.microsoft.com/office/drawing/2014/main" id="{511F5ECF-837D-44C0-93AB-AB4ECAA64EAF}"/>
            </a:ext>
          </a:extLst>
        </xdr:cNvPr>
        <xdr:cNvSpPr/>
      </xdr:nvSpPr>
      <xdr:spPr bwMode="auto">
        <a:xfrm>
          <a:off x="0" y="54365801"/>
          <a:ext cx="733425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11595</xdr:colOff>
      <xdr:row>151</xdr:row>
      <xdr:rowOff>248065</xdr:rowOff>
    </xdr:from>
    <xdr:ext cx="733425" cy="247650"/>
    <xdr:sp macro="" textlink="">
      <xdr:nvSpPr>
        <xdr:cNvPr id="442" name="Check Box 97" hidden="1">
          <a:extLst>
            <a:ext uri="{63B3BB69-23CF-44E3-9099-C40C66FF867C}">
              <a14:compatExt xmlns:a14="http://schemas.microsoft.com/office/drawing/2010/main" spid="_x0000_s21601"/>
            </a:ext>
            <a:ext uri="{FF2B5EF4-FFF2-40B4-BE49-F238E27FC236}">
              <a16:creationId xmlns:a16="http://schemas.microsoft.com/office/drawing/2014/main" id="{EDA1316D-5ADB-4661-8D45-A88F817EFFE5}"/>
            </a:ext>
          </a:extLst>
        </xdr:cNvPr>
        <xdr:cNvSpPr/>
      </xdr:nvSpPr>
      <xdr:spPr bwMode="auto">
        <a:xfrm>
          <a:off x="11595" y="54635815"/>
          <a:ext cx="733425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151</xdr:row>
      <xdr:rowOff>244751</xdr:rowOff>
    </xdr:from>
    <xdr:ext cx="733425" cy="247650"/>
    <xdr:sp macro="" textlink="">
      <xdr:nvSpPr>
        <xdr:cNvPr id="443" name="Check Box 92" hidden="1">
          <a:extLst>
            <a:ext uri="{63B3BB69-23CF-44E3-9099-C40C66FF867C}">
              <a14:compatExt xmlns:a14="http://schemas.microsoft.com/office/drawing/2010/main" spid="_x0000_s21596"/>
            </a:ext>
            <a:ext uri="{FF2B5EF4-FFF2-40B4-BE49-F238E27FC236}">
              <a16:creationId xmlns:a16="http://schemas.microsoft.com/office/drawing/2014/main" id="{E9288D97-F672-499D-8493-5CEDD4FDFB27}"/>
            </a:ext>
          </a:extLst>
        </xdr:cNvPr>
        <xdr:cNvSpPr/>
      </xdr:nvSpPr>
      <xdr:spPr bwMode="auto">
        <a:xfrm>
          <a:off x="0" y="54632501"/>
          <a:ext cx="733425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112644</xdr:colOff>
      <xdr:row>176</xdr:row>
      <xdr:rowOff>18636</xdr:rowOff>
    </xdr:from>
    <xdr:ext cx="676275" cy="236468"/>
    <xdr:sp macro="" textlink="">
      <xdr:nvSpPr>
        <xdr:cNvPr id="444" name="Check Box 177" hidden="1">
          <a:extLst>
            <a:ext uri="{63B3BB69-23CF-44E3-9099-C40C66FF867C}">
              <a14:compatExt xmlns:a14="http://schemas.microsoft.com/office/drawing/2010/main" spid="_x0000_s21681"/>
            </a:ext>
            <a:ext uri="{FF2B5EF4-FFF2-40B4-BE49-F238E27FC236}">
              <a16:creationId xmlns:a16="http://schemas.microsoft.com/office/drawing/2014/main" id="{235B7750-2C78-4746-8873-964362ABD5B7}"/>
            </a:ext>
          </a:extLst>
        </xdr:cNvPr>
        <xdr:cNvSpPr/>
      </xdr:nvSpPr>
      <xdr:spPr bwMode="auto">
        <a:xfrm>
          <a:off x="4903719" y="61597761"/>
          <a:ext cx="676275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예</a:t>
          </a:r>
        </a:p>
      </xdr:txBody>
    </xdr:sp>
    <xdr:clientData/>
  </xdr:oneCellAnchor>
  <xdr:oneCellAnchor>
    <xdr:from>
      <xdr:col>7</xdr:col>
      <xdr:colOff>1420053</xdr:colOff>
      <xdr:row>176</xdr:row>
      <xdr:rowOff>42241</xdr:rowOff>
    </xdr:from>
    <xdr:ext cx="666750" cy="236468"/>
    <xdr:sp macro="" textlink="">
      <xdr:nvSpPr>
        <xdr:cNvPr id="445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A4797048-42EF-4704-BE51-6D0A9859429F}"/>
            </a:ext>
          </a:extLst>
        </xdr:cNvPr>
        <xdr:cNvSpPr/>
      </xdr:nvSpPr>
      <xdr:spPr bwMode="auto">
        <a:xfrm>
          <a:off x="5077653" y="6162136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112644</xdr:colOff>
      <xdr:row>176</xdr:row>
      <xdr:rowOff>18636</xdr:rowOff>
    </xdr:from>
    <xdr:ext cx="676275" cy="236468"/>
    <xdr:sp macro="" textlink="">
      <xdr:nvSpPr>
        <xdr:cNvPr id="446" name="Check Box 177" hidden="1">
          <a:extLst>
            <a:ext uri="{63B3BB69-23CF-44E3-9099-C40C66FF867C}">
              <a14:compatExt xmlns:a14="http://schemas.microsoft.com/office/drawing/2010/main" spid="_x0000_s21681"/>
            </a:ext>
            <a:ext uri="{FF2B5EF4-FFF2-40B4-BE49-F238E27FC236}">
              <a16:creationId xmlns:a16="http://schemas.microsoft.com/office/drawing/2014/main" id="{69F244A9-E90A-4E7C-B8E9-0E4D317E6B87}"/>
            </a:ext>
          </a:extLst>
        </xdr:cNvPr>
        <xdr:cNvSpPr/>
      </xdr:nvSpPr>
      <xdr:spPr bwMode="auto">
        <a:xfrm>
          <a:off x="4903719" y="61597761"/>
          <a:ext cx="676275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예</a:t>
          </a:r>
        </a:p>
      </xdr:txBody>
    </xdr:sp>
    <xdr:clientData/>
  </xdr:oneCellAnchor>
  <xdr:oneCellAnchor>
    <xdr:from>
      <xdr:col>7</xdr:col>
      <xdr:colOff>1420053</xdr:colOff>
      <xdr:row>176</xdr:row>
      <xdr:rowOff>42241</xdr:rowOff>
    </xdr:from>
    <xdr:ext cx="666750" cy="236468"/>
    <xdr:sp macro="" textlink="">
      <xdr:nvSpPr>
        <xdr:cNvPr id="447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CE8DCB3B-9B5E-40CB-B325-2D5B9E7AEC40}"/>
            </a:ext>
          </a:extLst>
        </xdr:cNvPr>
        <xdr:cNvSpPr/>
      </xdr:nvSpPr>
      <xdr:spPr bwMode="auto">
        <a:xfrm>
          <a:off x="5077653" y="6162136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0</xdr:col>
      <xdr:colOff>0</xdr:colOff>
      <xdr:row>189</xdr:row>
      <xdr:rowOff>244751</xdr:rowOff>
    </xdr:from>
    <xdr:ext cx="733425" cy="247650"/>
    <xdr:sp macro="" textlink="">
      <xdr:nvSpPr>
        <xdr:cNvPr id="448" name="Check Box 92" hidden="1">
          <a:extLst>
            <a:ext uri="{63B3BB69-23CF-44E3-9099-C40C66FF867C}">
              <a14:compatExt xmlns:a14="http://schemas.microsoft.com/office/drawing/2010/main" spid="_x0000_s21596"/>
            </a:ext>
            <a:ext uri="{FF2B5EF4-FFF2-40B4-BE49-F238E27FC236}">
              <a16:creationId xmlns:a16="http://schemas.microsoft.com/office/drawing/2014/main" id="{5C166FAF-309C-451C-9987-68DBA52407BD}"/>
            </a:ext>
          </a:extLst>
        </xdr:cNvPr>
        <xdr:cNvSpPr/>
      </xdr:nvSpPr>
      <xdr:spPr bwMode="auto">
        <a:xfrm>
          <a:off x="0" y="65662451"/>
          <a:ext cx="733425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11595</xdr:colOff>
      <xdr:row>190</xdr:row>
      <xdr:rowOff>248065</xdr:rowOff>
    </xdr:from>
    <xdr:ext cx="733425" cy="247650"/>
    <xdr:sp macro="" textlink="">
      <xdr:nvSpPr>
        <xdr:cNvPr id="449" name="Check Box 97" hidden="1">
          <a:extLst>
            <a:ext uri="{63B3BB69-23CF-44E3-9099-C40C66FF867C}">
              <a14:compatExt xmlns:a14="http://schemas.microsoft.com/office/drawing/2010/main" spid="_x0000_s21601"/>
            </a:ext>
            <a:ext uri="{FF2B5EF4-FFF2-40B4-BE49-F238E27FC236}">
              <a16:creationId xmlns:a16="http://schemas.microsoft.com/office/drawing/2014/main" id="{F54B9F13-8433-4742-8231-221134846039}"/>
            </a:ext>
          </a:extLst>
        </xdr:cNvPr>
        <xdr:cNvSpPr/>
      </xdr:nvSpPr>
      <xdr:spPr bwMode="auto">
        <a:xfrm>
          <a:off x="11595" y="65932465"/>
          <a:ext cx="733425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197</xdr:row>
      <xdr:rowOff>244751</xdr:rowOff>
    </xdr:from>
    <xdr:ext cx="733425" cy="247650"/>
    <xdr:sp macro="" textlink="">
      <xdr:nvSpPr>
        <xdr:cNvPr id="450" name="Check Box 92" hidden="1">
          <a:extLst>
            <a:ext uri="{63B3BB69-23CF-44E3-9099-C40C66FF867C}">
              <a14:compatExt xmlns:a14="http://schemas.microsoft.com/office/drawing/2010/main" spid="_x0000_s21596"/>
            </a:ext>
            <a:ext uri="{FF2B5EF4-FFF2-40B4-BE49-F238E27FC236}">
              <a16:creationId xmlns:a16="http://schemas.microsoft.com/office/drawing/2014/main" id="{9D514972-063B-403E-BFF2-E40E57D8F4DB}"/>
            </a:ext>
          </a:extLst>
        </xdr:cNvPr>
        <xdr:cNvSpPr/>
      </xdr:nvSpPr>
      <xdr:spPr bwMode="auto">
        <a:xfrm>
          <a:off x="0" y="67900826"/>
          <a:ext cx="733425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11595</xdr:colOff>
      <xdr:row>198</xdr:row>
      <xdr:rowOff>248065</xdr:rowOff>
    </xdr:from>
    <xdr:ext cx="733425" cy="247650"/>
    <xdr:sp macro="" textlink="">
      <xdr:nvSpPr>
        <xdr:cNvPr id="451" name="Check Box 97" hidden="1">
          <a:extLst>
            <a:ext uri="{63B3BB69-23CF-44E3-9099-C40C66FF867C}">
              <a14:compatExt xmlns:a14="http://schemas.microsoft.com/office/drawing/2010/main" spid="_x0000_s21601"/>
            </a:ext>
            <a:ext uri="{FF2B5EF4-FFF2-40B4-BE49-F238E27FC236}">
              <a16:creationId xmlns:a16="http://schemas.microsoft.com/office/drawing/2014/main" id="{6C6E0B4E-836C-4CD4-BF0F-145510501F41}"/>
            </a:ext>
          </a:extLst>
        </xdr:cNvPr>
        <xdr:cNvSpPr/>
      </xdr:nvSpPr>
      <xdr:spPr bwMode="auto">
        <a:xfrm>
          <a:off x="11595" y="68170840"/>
          <a:ext cx="733425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1420053</xdr:colOff>
      <xdr:row>237</xdr:row>
      <xdr:rowOff>42241</xdr:rowOff>
    </xdr:from>
    <xdr:ext cx="666750" cy="236468"/>
    <xdr:sp macro="" textlink="">
      <xdr:nvSpPr>
        <xdr:cNvPr id="452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F33E502C-8AA7-492A-9A53-288E43892D3B}"/>
            </a:ext>
          </a:extLst>
        </xdr:cNvPr>
        <xdr:cNvSpPr/>
      </xdr:nvSpPr>
      <xdr:spPr bwMode="auto">
        <a:xfrm>
          <a:off x="172278" y="8141431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0</xdr:col>
      <xdr:colOff>1420053</xdr:colOff>
      <xdr:row>237</xdr:row>
      <xdr:rowOff>42241</xdr:rowOff>
    </xdr:from>
    <xdr:ext cx="666750" cy="236468"/>
    <xdr:sp macro="" textlink="">
      <xdr:nvSpPr>
        <xdr:cNvPr id="453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18D6FFAD-22A6-43C9-A1F1-C347F855F832}"/>
            </a:ext>
          </a:extLst>
        </xdr:cNvPr>
        <xdr:cNvSpPr/>
      </xdr:nvSpPr>
      <xdr:spPr bwMode="auto">
        <a:xfrm>
          <a:off x="172278" y="8141431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2</xdr:col>
      <xdr:colOff>1420053</xdr:colOff>
      <xdr:row>237</xdr:row>
      <xdr:rowOff>42241</xdr:rowOff>
    </xdr:from>
    <xdr:ext cx="666750" cy="236468"/>
    <xdr:sp macro="" textlink="">
      <xdr:nvSpPr>
        <xdr:cNvPr id="454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373F91CD-4112-452C-AEE2-2EA71F52DC7A}"/>
            </a:ext>
          </a:extLst>
        </xdr:cNvPr>
        <xdr:cNvSpPr/>
      </xdr:nvSpPr>
      <xdr:spPr bwMode="auto">
        <a:xfrm>
          <a:off x="1867728" y="8141431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2</xdr:col>
      <xdr:colOff>1420053</xdr:colOff>
      <xdr:row>237</xdr:row>
      <xdr:rowOff>42241</xdr:rowOff>
    </xdr:from>
    <xdr:ext cx="666750" cy="236468"/>
    <xdr:sp macro="" textlink="">
      <xdr:nvSpPr>
        <xdr:cNvPr id="455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F25B4A2F-75ED-4900-94FD-F5269AF54647}"/>
            </a:ext>
          </a:extLst>
        </xdr:cNvPr>
        <xdr:cNvSpPr/>
      </xdr:nvSpPr>
      <xdr:spPr bwMode="auto">
        <a:xfrm>
          <a:off x="1867728" y="8141431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5</xdr:col>
      <xdr:colOff>1420053</xdr:colOff>
      <xdr:row>237</xdr:row>
      <xdr:rowOff>42241</xdr:rowOff>
    </xdr:from>
    <xdr:ext cx="666750" cy="236468"/>
    <xdr:sp macro="" textlink="">
      <xdr:nvSpPr>
        <xdr:cNvPr id="456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38B45AC2-B491-4D96-82C3-3E820A4A9C4A}"/>
            </a:ext>
          </a:extLst>
        </xdr:cNvPr>
        <xdr:cNvSpPr/>
      </xdr:nvSpPr>
      <xdr:spPr bwMode="auto">
        <a:xfrm>
          <a:off x="4029903" y="8141431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5</xdr:col>
      <xdr:colOff>1420053</xdr:colOff>
      <xdr:row>237</xdr:row>
      <xdr:rowOff>42241</xdr:rowOff>
    </xdr:from>
    <xdr:ext cx="666750" cy="236468"/>
    <xdr:sp macro="" textlink="">
      <xdr:nvSpPr>
        <xdr:cNvPr id="457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F3595588-BDD6-4906-B172-104CBCCFB523}"/>
            </a:ext>
          </a:extLst>
        </xdr:cNvPr>
        <xdr:cNvSpPr/>
      </xdr:nvSpPr>
      <xdr:spPr bwMode="auto">
        <a:xfrm>
          <a:off x="4029903" y="8141431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3</xdr:col>
      <xdr:colOff>1420053</xdr:colOff>
      <xdr:row>237</xdr:row>
      <xdr:rowOff>42241</xdr:rowOff>
    </xdr:from>
    <xdr:ext cx="666750" cy="236468"/>
    <xdr:sp macro="" textlink="">
      <xdr:nvSpPr>
        <xdr:cNvPr id="458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1B40D076-F598-48AA-980C-A8E92F48E6DB}"/>
            </a:ext>
          </a:extLst>
        </xdr:cNvPr>
        <xdr:cNvSpPr/>
      </xdr:nvSpPr>
      <xdr:spPr bwMode="auto">
        <a:xfrm>
          <a:off x="2867853" y="8141431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3</xdr:col>
      <xdr:colOff>1420053</xdr:colOff>
      <xdr:row>237</xdr:row>
      <xdr:rowOff>42241</xdr:rowOff>
    </xdr:from>
    <xdr:ext cx="666750" cy="236468"/>
    <xdr:sp macro="" textlink="">
      <xdr:nvSpPr>
        <xdr:cNvPr id="459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D0143E5C-A198-4DE9-9EDB-51E379A7A759}"/>
            </a:ext>
          </a:extLst>
        </xdr:cNvPr>
        <xdr:cNvSpPr/>
      </xdr:nvSpPr>
      <xdr:spPr bwMode="auto">
        <a:xfrm>
          <a:off x="2867853" y="8141431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6</xdr:col>
      <xdr:colOff>1420053</xdr:colOff>
      <xdr:row>237</xdr:row>
      <xdr:rowOff>42241</xdr:rowOff>
    </xdr:from>
    <xdr:ext cx="666750" cy="236468"/>
    <xdr:sp macro="" textlink="">
      <xdr:nvSpPr>
        <xdr:cNvPr id="460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1808046E-5C9F-44B8-A5DE-60EC8D5478F7}"/>
            </a:ext>
          </a:extLst>
        </xdr:cNvPr>
        <xdr:cNvSpPr/>
      </xdr:nvSpPr>
      <xdr:spPr bwMode="auto">
        <a:xfrm>
          <a:off x="4791903" y="8141431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6</xdr:col>
      <xdr:colOff>1420053</xdr:colOff>
      <xdr:row>237</xdr:row>
      <xdr:rowOff>42241</xdr:rowOff>
    </xdr:from>
    <xdr:ext cx="666750" cy="236468"/>
    <xdr:sp macro="" textlink="">
      <xdr:nvSpPr>
        <xdr:cNvPr id="461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EC6416D1-EFB0-4672-83D2-BBF0BC68D2CE}"/>
            </a:ext>
          </a:extLst>
        </xdr:cNvPr>
        <xdr:cNvSpPr/>
      </xdr:nvSpPr>
      <xdr:spPr bwMode="auto">
        <a:xfrm>
          <a:off x="4791903" y="8141431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34</xdr:row>
      <xdr:rowOff>42241</xdr:rowOff>
    </xdr:from>
    <xdr:ext cx="666750" cy="236468"/>
    <xdr:sp macro="" textlink="">
      <xdr:nvSpPr>
        <xdr:cNvPr id="462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C19B50F1-E5CC-4F74-B93A-9F3C98ECC27F}"/>
            </a:ext>
          </a:extLst>
        </xdr:cNvPr>
        <xdr:cNvSpPr/>
      </xdr:nvSpPr>
      <xdr:spPr bwMode="auto">
        <a:xfrm>
          <a:off x="4791075" y="1242474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34</xdr:row>
      <xdr:rowOff>42241</xdr:rowOff>
    </xdr:from>
    <xdr:ext cx="666750" cy="236468"/>
    <xdr:sp macro="" textlink="">
      <xdr:nvSpPr>
        <xdr:cNvPr id="463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469D0411-2FE5-43AE-85FE-2B89B7CA272E}"/>
            </a:ext>
          </a:extLst>
        </xdr:cNvPr>
        <xdr:cNvSpPr/>
      </xdr:nvSpPr>
      <xdr:spPr bwMode="auto">
        <a:xfrm>
          <a:off x="5077653" y="1242474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34</xdr:row>
      <xdr:rowOff>42241</xdr:rowOff>
    </xdr:from>
    <xdr:ext cx="666750" cy="236468"/>
    <xdr:sp macro="" textlink="">
      <xdr:nvSpPr>
        <xdr:cNvPr id="464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F064C4F6-C6DB-4C7D-999A-F167D266996C}"/>
            </a:ext>
          </a:extLst>
        </xdr:cNvPr>
        <xdr:cNvSpPr/>
      </xdr:nvSpPr>
      <xdr:spPr bwMode="auto">
        <a:xfrm>
          <a:off x="4791075" y="1242474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34</xdr:row>
      <xdr:rowOff>42241</xdr:rowOff>
    </xdr:from>
    <xdr:ext cx="666750" cy="236468"/>
    <xdr:sp macro="" textlink="">
      <xdr:nvSpPr>
        <xdr:cNvPr id="465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FA05B274-FB88-41CE-BC91-4BD25FA0D586}"/>
            </a:ext>
          </a:extLst>
        </xdr:cNvPr>
        <xdr:cNvSpPr/>
      </xdr:nvSpPr>
      <xdr:spPr bwMode="auto">
        <a:xfrm>
          <a:off x="5077653" y="1242474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34</xdr:row>
      <xdr:rowOff>42241</xdr:rowOff>
    </xdr:from>
    <xdr:ext cx="666750" cy="236468"/>
    <xdr:sp macro="" textlink="">
      <xdr:nvSpPr>
        <xdr:cNvPr id="466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91C9C842-F500-43B7-A01B-2805F81FF1F4}"/>
            </a:ext>
          </a:extLst>
        </xdr:cNvPr>
        <xdr:cNvSpPr/>
      </xdr:nvSpPr>
      <xdr:spPr bwMode="auto">
        <a:xfrm>
          <a:off x="4791075" y="1242474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34</xdr:row>
      <xdr:rowOff>42241</xdr:rowOff>
    </xdr:from>
    <xdr:ext cx="666750" cy="236468"/>
    <xdr:sp macro="" textlink="">
      <xdr:nvSpPr>
        <xdr:cNvPr id="467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76D57114-0D59-46FF-ADA8-B7B696F821AB}"/>
            </a:ext>
          </a:extLst>
        </xdr:cNvPr>
        <xdr:cNvSpPr/>
      </xdr:nvSpPr>
      <xdr:spPr bwMode="auto">
        <a:xfrm>
          <a:off x="5077653" y="1242474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34</xdr:row>
      <xdr:rowOff>42241</xdr:rowOff>
    </xdr:from>
    <xdr:ext cx="666750" cy="236468"/>
    <xdr:sp macro="" textlink="">
      <xdr:nvSpPr>
        <xdr:cNvPr id="468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6D61422D-D29F-4AE4-90EB-413BB50D5A2F}"/>
            </a:ext>
          </a:extLst>
        </xdr:cNvPr>
        <xdr:cNvSpPr/>
      </xdr:nvSpPr>
      <xdr:spPr bwMode="auto">
        <a:xfrm>
          <a:off x="4791075" y="1242474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34</xdr:row>
      <xdr:rowOff>42241</xdr:rowOff>
    </xdr:from>
    <xdr:ext cx="666750" cy="236468"/>
    <xdr:sp macro="" textlink="">
      <xdr:nvSpPr>
        <xdr:cNvPr id="469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DB40EB17-FDCE-4F12-94F2-83FBBD7B0DAA}"/>
            </a:ext>
          </a:extLst>
        </xdr:cNvPr>
        <xdr:cNvSpPr/>
      </xdr:nvSpPr>
      <xdr:spPr bwMode="auto">
        <a:xfrm>
          <a:off x="5077653" y="1242474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112644</xdr:colOff>
      <xdr:row>34</xdr:row>
      <xdr:rowOff>18636</xdr:rowOff>
    </xdr:from>
    <xdr:ext cx="676275" cy="236468"/>
    <xdr:sp macro="" textlink="">
      <xdr:nvSpPr>
        <xdr:cNvPr id="470" name="Check Box 177" hidden="1">
          <a:extLst>
            <a:ext uri="{63B3BB69-23CF-44E3-9099-C40C66FF867C}">
              <a14:compatExt xmlns:a14="http://schemas.microsoft.com/office/drawing/2010/main" spid="_x0000_s21681"/>
            </a:ext>
            <a:ext uri="{FF2B5EF4-FFF2-40B4-BE49-F238E27FC236}">
              <a16:creationId xmlns:a16="http://schemas.microsoft.com/office/drawing/2014/main" id="{D49B5367-073D-466E-A775-0DD2E7F31CA6}"/>
            </a:ext>
          </a:extLst>
        </xdr:cNvPr>
        <xdr:cNvSpPr/>
      </xdr:nvSpPr>
      <xdr:spPr bwMode="auto">
        <a:xfrm>
          <a:off x="4903719" y="12401136"/>
          <a:ext cx="676275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예</a:t>
          </a:r>
        </a:p>
      </xdr:txBody>
    </xdr:sp>
    <xdr:clientData/>
  </xdr:oneCellAnchor>
  <xdr:oneCellAnchor>
    <xdr:from>
      <xdr:col>7</xdr:col>
      <xdr:colOff>1420053</xdr:colOff>
      <xdr:row>34</xdr:row>
      <xdr:rowOff>42241</xdr:rowOff>
    </xdr:from>
    <xdr:ext cx="666750" cy="236468"/>
    <xdr:sp macro="" textlink="">
      <xdr:nvSpPr>
        <xdr:cNvPr id="471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85394924-5F0C-4DC6-BA51-5DFE569DE844}"/>
            </a:ext>
          </a:extLst>
        </xdr:cNvPr>
        <xdr:cNvSpPr/>
      </xdr:nvSpPr>
      <xdr:spPr bwMode="auto">
        <a:xfrm>
          <a:off x="5077653" y="1242474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38</xdr:row>
      <xdr:rowOff>42241</xdr:rowOff>
    </xdr:from>
    <xdr:ext cx="666750" cy="236468"/>
    <xdr:sp macro="" textlink="">
      <xdr:nvSpPr>
        <xdr:cNvPr id="472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D63D4EBD-D32B-4E00-A038-BEE9F981989D}"/>
            </a:ext>
          </a:extLst>
        </xdr:cNvPr>
        <xdr:cNvSpPr/>
      </xdr:nvSpPr>
      <xdr:spPr bwMode="auto">
        <a:xfrm>
          <a:off x="4791075" y="1431069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38</xdr:row>
      <xdr:rowOff>42241</xdr:rowOff>
    </xdr:from>
    <xdr:ext cx="666750" cy="236468"/>
    <xdr:sp macro="" textlink="">
      <xdr:nvSpPr>
        <xdr:cNvPr id="473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D2118784-2D1B-40CA-81F0-081072A6A51E}"/>
            </a:ext>
          </a:extLst>
        </xdr:cNvPr>
        <xdr:cNvSpPr/>
      </xdr:nvSpPr>
      <xdr:spPr bwMode="auto">
        <a:xfrm>
          <a:off x="5077653" y="1431069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38</xdr:row>
      <xdr:rowOff>42241</xdr:rowOff>
    </xdr:from>
    <xdr:ext cx="666750" cy="236468"/>
    <xdr:sp macro="" textlink="">
      <xdr:nvSpPr>
        <xdr:cNvPr id="474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E49D2B60-B7D0-45DA-ACB6-B5337DFB97F7}"/>
            </a:ext>
          </a:extLst>
        </xdr:cNvPr>
        <xdr:cNvSpPr/>
      </xdr:nvSpPr>
      <xdr:spPr bwMode="auto">
        <a:xfrm>
          <a:off x="4791075" y="1431069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38</xdr:row>
      <xdr:rowOff>42241</xdr:rowOff>
    </xdr:from>
    <xdr:ext cx="666750" cy="236468"/>
    <xdr:sp macro="" textlink="">
      <xdr:nvSpPr>
        <xdr:cNvPr id="475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308F9B58-0258-4565-A3F4-0E47E32E4DF7}"/>
            </a:ext>
          </a:extLst>
        </xdr:cNvPr>
        <xdr:cNvSpPr/>
      </xdr:nvSpPr>
      <xdr:spPr bwMode="auto">
        <a:xfrm>
          <a:off x="5077653" y="1431069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38</xdr:row>
      <xdr:rowOff>42241</xdr:rowOff>
    </xdr:from>
    <xdr:ext cx="666750" cy="236468"/>
    <xdr:sp macro="" textlink="">
      <xdr:nvSpPr>
        <xdr:cNvPr id="476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F4A1583-8941-491A-A679-36C8C0145F2B}"/>
            </a:ext>
          </a:extLst>
        </xdr:cNvPr>
        <xdr:cNvSpPr/>
      </xdr:nvSpPr>
      <xdr:spPr bwMode="auto">
        <a:xfrm>
          <a:off x="4791075" y="1431069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38</xdr:row>
      <xdr:rowOff>42241</xdr:rowOff>
    </xdr:from>
    <xdr:ext cx="666750" cy="236468"/>
    <xdr:sp macro="" textlink="">
      <xdr:nvSpPr>
        <xdr:cNvPr id="477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D6968F6E-00F2-46C6-8246-056755840B5E}"/>
            </a:ext>
          </a:extLst>
        </xdr:cNvPr>
        <xdr:cNvSpPr/>
      </xdr:nvSpPr>
      <xdr:spPr bwMode="auto">
        <a:xfrm>
          <a:off x="5077653" y="1431069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38</xdr:row>
      <xdr:rowOff>42241</xdr:rowOff>
    </xdr:from>
    <xdr:ext cx="666750" cy="236468"/>
    <xdr:sp macro="" textlink="">
      <xdr:nvSpPr>
        <xdr:cNvPr id="478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FE78B349-30B3-4D7E-A2B1-2AF43574D714}"/>
            </a:ext>
          </a:extLst>
        </xdr:cNvPr>
        <xdr:cNvSpPr/>
      </xdr:nvSpPr>
      <xdr:spPr bwMode="auto">
        <a:xfrm>
          <a:off x="4791075" y="1431069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38</xdr:row>
      <xdr:rowOff>42241</xdr:rowOff>
    </xdr:from>
    <xdr:ext cx="666750" cy="236468"/>
    <xdr:sp macro="" textlink="">
      <xdr:nvSpPr>
        <xdr:cNvPr id="479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68C7AAA9-ED4C-4E3B-988E-D7CDABFB28ED}"/>
            </a:ext>
          </a:extLst>
        </xdr:cNvPr>
        <xdr:cNvSpPr/>
      </xdr:nvSpPr>
      <xdr:spPr bwMode="auto">
        <a:xfrm>
          <a:off x="5077653" y="1431069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112644</xdr:colOff>
      <xdr:row>38</xdr:row>
      <xdr:rowOff>18636</xdr:rowOff>
    </xdr:from>
    <xdr:ext cx="676275" cy="236468"/>
    <xdr:sp macro="" textlink="">
      <xdr:nvSpPr>
        <xdr:cNvPr id="480" name="Check Box 177" hidden="1">
          <a:extLst>
            <a:ext uri="{63B3BB69-23CF-44E3-9099-C40C66FF867C}">
              <a14:compatExt xmlns:a14="http://schemas.microsoft.com/office/drawing/2010/main" spid="_x0000_s21681"/>
            </a:ext>
            <a:ext uri="{FF2B5EF4-FFF2-40B4-BE49-F238E27FC236}">
              <a16:creationId xmlns:a16="http://schemas.microsoft.com/office/drawing/2014/main" id="{B92BF010-7355-4318-8FEF-AC8B97408030}"/>
            </a:ext>
          </a:extLst>
        </xdr:cNvPr>
        <xdr:cNvSpPr/>
      </xdr:nvSpPr>
      <xdr:spPr bwMode="auto">
        <a:xfrm>
          <a:off x="4903719" y="14287086"/>
          <a:ext cx="676275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예</a:t>
          </a:r>
        </a:p>
      </xdr:txBody>
    </xdr:sp>
    <xdr:clientData/>
  </xdr:oneCellAnchor>
  <xdr:oneCellAnchor>
    <xdr:from>
      <xdr:col>7</xdr:col>
      <xdr:colOff>1420053</xdr:colOff>
      <xdr:row>38</xdr:row>
      <xdr:rowOff>42241</xdr:rowOff>
    </xdr:from>
    <xdr:ext cx="666750" cy="236468"/>
    <xdr:sp macro="" textlink="">
      <xdr:nvSpPr>
        <xdr:cNvPr id="481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02E15F2A-9378-43D7-8824-512DA2C66DC6}"/>
            </a:ext>
          </a:extLst>
        </xdr:cNvPr>
        <xdr:cNvSpPr/>
      </xdr:nvSpPr>
      <xdr:spPr bwMode="auto">
        <a:xfrm>
          <a:off x="5077653" y="1431069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169</xdr:row>
      <xdr:rowOff>42241</xdr:rowOff>
    </xdr:from>
    <xdr:ext cx="666750" cy="236468"/>
    <xdr:sp macro="" textlink="">
      <xdr:nvSpPr>
        <xdr:cNvPr id="482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1B665914-04A5-4023-937C-3F89A3DF8D2B}"/>
            </a:ext>
          </a:extLst>
        </xdr:cNvPr>
        <xdr:cNvSpPr/>
      </xdr:nvSpPr>
      <xdr:spPr bwMode="auto">
        <a:xfrm>
          <a:off x="5077653" y="5957349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169</xdr:row>
      <xdr:rowOff>42241</xdr:rowOff>
    </xdr:from>
    <xdr:ext cx="666750" cy="236468"/>
    <xdr:sp macro="" textlink="">
      <xdr:nvSpPr>
        <xdr:cNvPr id="483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3E0376E8-F5D9-47AF-8387-D37AD0EEF25D}"/>
            </a:ext>
          </a:extLst>
        </xdr:cNvPr>
        <xdr:cNvSpPr/>
      </xdr:nvSpPr>
      <xdr:spPr bwMode="auto">
        <a:xfrm>
          <a:off x="5077653" y="5957349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169</xdr:row>
      <xdr:rowOff>42241</xdr:rowOff>
    </xdr:from>
    <xdr:ext cx="666750" cy="236468"/>
    <xdr:sp macro="" textlink="">
      <xdr:nvSpPr>
        <xdr:cNvPr id="484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F945C6EF-A99C-4230-82A2-E8FC2D238C67}"/>
            </a:ext>
          </a:extLst>
        </xdr:cNvPr>
        <xdr:cNvSpPr/>
      </xdr:nvSpPr>
      <xdr:spPr bwMode="auto">
        <a:xfrm>
          <a:off x="5077653" y="5957349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5</xdr:col>
      <xdr:colOff>1420053</xdr:colOff>
      <xdr:row>169</xdr:row>
      <xdr:rowOff>42241</xdr:rowOff>
    </xdr:from>
    <xdr:ext cx="666750" cy="236468"/>
    <xdr:sp macro="" textlink="">
      <xdr:nvSpPr>
        <xdr:cNvPr id="485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90BB1F2C-5547-4081-A5F3-28652ED9DDD3}"/>
            </a:ext>
          </a:extLst>
        </xdr:cNvPr>
        <xdr:cNvSpPr/>
      </xdr:nvSpPr>
      <xdr:spPr bwMode="auto">
        <a:xfrm>
          <a:off x="4029903" y="5957349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5</xdr:col>
      <xdr:colOff>1420053</xdr:colOff>
      <xdr:row>169</xdr:row>
      <xdr:rowOff>42241</xdr:rowOff>
    </xdr:from>
    <xdr:ext cx="666750" cy="236468"/>
    <xdr:sp macro="" textlink="">
      <xdr:nvSpPr>
        <xdr:cNvPr id="486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7E3F32EC-0191-4654-B4DE-75F64D4F4AB4}"/>
            </a:ext>
          </a:extLst>
        </xdr:cNvPr>
        <xdr:cNvSpPr/>
      </xdr:nvSpPr>
      <xdr:spPr bwMode="auto">
        <a:xfrm>
          <a:off x="4029903" y="5957349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5</xdr:col>
      <xdr:colOff>1420053</xdr:colOff>
      <xdr:row>169</xdr:row>
      <xdr:rowOff>42241</xdr:rowOff>
    </xdr:from>
    <xdr:ext cx="666750" cy="236468"/>
    <xdr:sp macro="" textlink="">
      <xdr:nvSpPr>
        <xdr:cNvPr id="487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F3FCC597-90B4-4351-82CA-ABEBA5AD0ACE}"/>
            </a:ext>
          </a:extLst>
        </xdr:cNvPr>
        <xdr:cNvSpPr/>
      </xdr:nvSpPr>
      <xdr:spPr bwMode="auto">
        <a:xfrm>
          <a:off x="4029903" y="5957349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175</xdr:row>
      <xdr:rowOff>42241</xdr:rowOff>
    </xdr:from>
    <xdr:ext cx="666750" cy="236468"/>
    <xdr:sp macro="" textlink="">
      <xdr:nvSpPr>
        <xdr:cNvPr id="488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8CABFBCD-FD20-462D-8BC7-39D6CCE42B8B}"/>
            </a:ext>
          </a:extLst>
        </xdr:cNvPr>
        <xdr:cNvSpPr/>
      </xdr:nvSpPr>
      <xdr:spPr bwMode="auto">
        <a:xfrm>
          <a:off x="5077653" y="6144039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175</xdr:row>
      <xdr:rowOff>42241</xdr:rowOff>
    </xdr:from>
    <xdr:ext cx="666750" cy="236468"/>
    <xdr:sp macro="" textlink="">
      <xdr:nvSpPr>
        <xdr:cNvPr id="489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9CF0CF23-2A2E-4801-990E-08369C5A24E0}"/>
            </a:ext>
          </a:extLst>
        </xdr:cNvPr>
        <xdr:cNvSpPr/>
      </xdr:nvSpPr>
      <xdr:spPr bwMode="auto">
        <a:xfrm>
          <a:off x="5077653" y="6144039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175</xdr:row>
      <xdr:rowOff>42241</xdr:rowOff>
    </xdr:from>
    <xdr:ext cx="666750" cy="236468"/>
    <xdr:sp macro="" textlink="">
      <xdr:nvSpPr>
        <xdr:cNvPr id="490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43BDBDAE-7B4D-4590-AC56-D4EBCFC6B1B7}"/>
            </a:ext>
          </a:extLst>
        </xdr:cNvPr>
        <xdr:cNvSpPr/>
      </xdr:nvSpPr>
      <xdr:spPr bwMode="auto">
        <a:xfrm>
          <a:off x="5077653" y="6144039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175</xdr:row>
      <xdr:rowOff>42241</xdr:rowOff>
    </xdr:from>
    <xdr:ext cx="666750" cy="236468"/>
    <xdr:sp macro="" textlink="">
      <xdr:nvSpPr>
        <xdr:cNvPr id="491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C3D44057-8CED-4A39-B90D-520355AA2F23}"/>
            </a:ext>
          </a:extLst>
        </xdr:cNvPr>
        <xdr:cNvSpPr/>
      </xdr:nvSpPr>
      <xdr:spPr bwMode="auto">
        <a:xfrm>
          <a:off x="5077653" y="6144039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175</xdr:row>
      <xdr:rowOff>42241</xdr:rowOff>
    </xdr:from>
    <xdr:ext cx="666750" cy="236468"/>
    <xdr:sp macro="" textlink="">
      <xdr:nvSpPr>
        <xdr:cNvPr id="492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E249B78C-4120-452E-B991-8E0E2F6FC5A8}"/>
            </a:ext>
          </a:extLst>
        </xdr:cNvPr>
        <xdr:cNvSpPr/>
      </xdr:nvSpPr>
      <xdr:spPr bwMode="auto">
        <a:xfrm>
          <a:off x="5077653" y="6144039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175</xdr:row>
      <xdr:rowOff>42241</xdr:rowOff>
    </xdr:from>
    <xdr:ext cx="666750" cy="236468"/>
    <xdr:sp macro="" textlink="">
      <xdr:nvSpPr>
        <xdr:cNvPr id="493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9A792F0B-CD9A-4CB6-8F15-B76729F9FA36}"/>
            </a:ext>
          </a:extLst>
        </xdr:cNvPr>
        <xdr:cNvSpPr/>
      </xdr:nvSpPr>
      <xdr:spPr bwMode="auto">
        <a:xfrm>
          <a:off x="5077653" y="6144039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5</xdr:col>
      <xdr:colOff>1420053</xdr:colOff>
      <xdr:row>175</xdr:row>
      <xdr:rowOff>42241</xdr:rowOff>
    </xdr:from>
    <xdr:ext cx="666750" cy="236468"/>
    <xdr:sp macro="" textlink="">
      <xdr:nvSpPr>
        <xdr:cNvPr id="494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45AA626B-D882-4FD8-9969-8E50D0D4FC86}"/>
            </a:ext>
          </a:extLst>
        </xdr:cNvPr>
        <xdr:cNvSpPr/>
      </xdr:nvSpPr>
      <xdr:spPr bwMode="auto">
        <a:xfrm>
          <a:off x="4029903" y="6144039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5</xdr:col>
      <xdr:colOff>1420053</xdr:colOff>
      <xdr:row>175</xdr:row>
      <xdr:rowOff>42241</xdr:rowOff>
    </xdr:from>
    <xdr:ext cx="666750" cy="236468"/>
    <xdr:sp macro="" textlink="">
      <xdr:nvSpPr>
        <xdr:cNvPr id="495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B8005E84-A273-4C19-BE9F-1C13B59E278B}"/>
            </a:ext>
          </a:extLst>
        </xdr:cNvPr>
        <xdr:cNvSpPr/>
      </xdr:nvSpPr>
      <xdr:spPr bwMode="auto">
        <a:xfrm>
          <a:off x="4029903" y="6144039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5</xdr:col>
      <xdr:colOff>1420053</xdr:colOff>
      <xdr:row>175</xdr:row>
      <xdr:rowOff>42241</xdr:rowOff>
    </xdr:from>
    <xdr:ext cx="666750" cy="236468"/>
    <xdr:sp macro="" textlink="">
      <xdr:nvSpPr>
        <xdr:cNvPr id="496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4E05AB21-2B5E-42C3-94A7-CF5C566D853A}"/>
            </a:ext>
          </a:extLst>
        </xdr:cNvPr>
        <xdr:cNvSpPr/>
      </xdr:nvSpPr>
      <xdr:spPr bwMode="auto">
        <a:xfrm>
          <a:off x="4029903" y="6144039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5</xdr:col>
      <xdr:colOff>1420053</xdr:colOff>
      <xdr:row>175</xdr:row>
      <xdr:rowOff>42241</xdr:rowOff>
    </xdr:from>
    <xdr:ext cx="666750" cy="236468"/>
    <xdr:sp macro="" textlink="">
      <xdr:nvSpPr>
        <xdr:cNvPr id="497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3055F05D-397D-4C97-817E-8CA585F3F59C}"/>
            </a:ext>
          </a:extLst>
        </xdr:cNvPr>
        <xdr:cNvSpPr/>
      </xdr:nvSpPr>
      <xdr:spPr bwMode="auto">
        <a:xfrm>
          <a:off x="4029903" y="6144039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5</xdr:col>
      <xdr:colOff>1420053</xdr:colOff>
      <xdr:row>175</xdr:row>
      <xdr:rowOff>42241</xdr:rowOff>
    </xdr:from>
    <xdr:ext cx="666750" cy="236468"/>
    <xdr:sp macro="" textlink="">
      <xdr:nvSpPr>
        <xdr:cNvPr id="498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2247271A-F085-4301-A960-1E32A40FE69D}"/>
            </a:ext>
          </a:extLst>
        </xdr:cNvPr>
        <xdr:cNvSpPr/>
      </xdr:nvSpPr>
      <xdr:spPr bwMode="auto">
        <a:xfrm>
          <a:off x="4029903" y="6144039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5</xdr:col>
      <xdr:colOff>1420053</xdr:colOff>
      <xdr:row>175</xdr:row>
      <xdr:rowOff>42241</xdr:rowOff>
    </xdr:from>
    <xdr:ext cx="666750" cy="236468"/>
    <xdr:sp macro="" textlink="">
      <xdr:nvSpPr>
        <xdr:cNvPr id="499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64CE3252-D01D-4B9F-9A51-2CCD5E8CEBE4}"/>
            </a:ext>
          </a:extLst>
        </xdr:cNvPr>
        <xdr:cNvSpPr/>
      </xdr:nvSpPr>
      <xdr:spPr bwMode="auto">
        <a:xfrm>
          <a:off x="4029903" y="6144039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176</xdr:row>
      <xdr:rowOff>42241</xdr:rowOff>
    </xdr:from>
    <xdr:ext cx="666750" cy="236468"/>
    <xdr:sp macro="" textlink="">
      <xdr:nvSpPr>
        <xdr:cNvPr id="500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2819F751-1C39-4E15-8D5C-389295944B9C}"/>
            </a:ext>
          </a:extLst>
        </xdr:cNvPr>
        <xdr:cNvSpPr/>
      </xdr:nvSpPr>
      <xdr:spPr bwMode="auto">
        <a:xfrm>
          <a:off x="5077653" y="6162136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176</xdr:row>
      <xdr:rowOff>42241</xdr:rowOff>
    </xdr:from>
    <xdr:ext cx="666750" cy="236468"/>
    <xdr:sp macro="" textlink="">
      <xdr:nvSpPr>
        <xdr:cNvPr id="501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DB86D1C7-7FC7-4E54-9D02-9A60AE35E5BB}"/>
            </a:ext>
          </a:extLst>
        </xdr:cNvPr>
        <xdr:cNvSpPr/>
      </xdr:nvSpPr>
      <xdr:spPr bwMode="auto">
        <a:xfrm>
          <a:off x="5077653" y="6162136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176</xdr:row>
      <xdr:rowOff>42241</xdr:rowOff>
    </xdr:from>
    <xdr:ext cx="666750" cy="236468"/>
    <xdr:sp macro="" textlink="">
      <xdr:nvSpPr>
        <xdr:cNvPr id="502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969FAC19-9152-4070-A917-6B4423F6A63A}"/>
            </a:ext>
          </a:extLst>
        </xdr:cNvPr>
        <xdr:cNvSpPr/>
      </xdr:nvSpPr>
      <xdr:spPr bwMode="auto">
        <a:xfrm>
          <a:off x="5077653" y="6162136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176</xdr:row>
      <xdr:rowOff>42241</xdr:rowOff>
    </xdr:from>
    <xdr:ext cx="666750" cy="236468"/>
    <xdr:sp macro="" textlink="">
      <xdr:nvSpPr>
        <xdr:cNvPr id="503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CE22678-21D0-4CA1-89EE-1BCEBFC2D46A}"/>
            </a:ext>
          </a:extLst>
        </xdr:cNvPr>
        <xdr:cNvSpPr/>
      </xdr:nvSpPr>
      <xdr:spPr bwMode="auto">
        <a:xfrm>
          <a:off x="5077653" y="6162136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176</xdr:row>
      <xdr:rowOff>42241</xdr:rowOff>
    </xdr:from>
    <xdr:ext cx="666750" cy="236468"/>
    <xdr:sp macro="" textlink="">
      <xdr:nvSpPr>
        <xdr:cNvPr id="504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D98EB82D-523E-4B31-A2F3-DD2165A7886D}"/>
            </a:ext>
          </a:extLst>
        </xdr:cNvPr>
        <xdr:cNvSpPr/>
      </xdr:nvSpPr>
      <xdr:spPr bwMode="auto">
        <a:xfrm>
          <a:off x="5077653" y="6162136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176</xdr:row>
      <xdr:rowOff>42241</xdr:rowOff>
    </xdr:from>
    <xdr:ext cx="666750" cy="236468"/>
    <xdr:sp macro="" textlink="">
      <xdr:nvSpPr>
        <xdr:cNvPr id="505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BFB8F9B1-FE0C-4F16-B802-5C2DC2E0FA5C}"/>
            </a:ext>
          </a:extLst>
        </xdr:cNvPr>
        <xdr:cNvSpPr/>
      </xdr:nvSpPr>
      <xdr:spPr bwMode="auto">
        <a:xfrm>
          <a:off x="5077653" y="6162136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5</xdr:col>
      <xdr:colOff>1420053</xdr:colOff>
      <xdr:row>176</xdr:row>
      <xdr:rowOff>42241</xdr:rowOff>
    </xdr:from>
    <xdr:ext cx="666750" cy="236468"/>
    <xdr:sp macro="" textlink="">
      <xdr:nvSpPr>
        <xdr:cNvPr id="506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FC4C7129-500C-476A-912F-B14C62A1613B}"/>
            </a:ext>
          </a:extLst>
        </xdr:cNvPr>
        <xdr:cNvSpPr/>
      </xdr:nvSpPr>
      <xdr:spPr bwMode="auto">
        <a:xfrm>
          <a:off x="4029903" y="6162136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5</xdr:col>
      <xdr:colOff>1420053</xdr:colOff>
      <xdr:row>176</xdr:row>
      <xdr:rowOff>42241</xdr:rowOff>
    </xdr:from>
    <xdr:ext cx="666750" cy="236468"/>
    <xdr:sp macro="" textlink="">
      <xdr:nvSpPr>
        <xdr:cNvPr id="507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4E9004A-E091-4E45-ACEF-7FCB05176829}"/>
            </a:ext>
          </a:extLst>
        </xdr:cNvPr>
        <xdr:cNvSpPr/>
      </xdr:nvSpPr>
      <xdr:spPr bwMode="auto">
        <a:xfrm>
          <a:off x="4029903" y="6162136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5</xdr:col>
      <xdr:colOff>1420053</xdr:colOff>
      <xdr:row>176</xdr:row>
      <xdr:rowOff>42241</xdr:rowOff>
    </xdr:from>
    <xdr:ext cx="666750" cy="236468"/>
    <xdr:sp macro="" textlink="">
      <xdr:nvSpPr>
        <xdr:cNvPr id="508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5B527B9C-10CA-473E-94F1-24D00206CC8A}"/>
            </a:ext>
          </a:extLst>
        </xdr:cNvPr>
        <xdr:cNvSpPr/>
      </xdr:nvSpPr>
      <xdr:spPr bwMode="auto">
        <a:xfrm>
          <a:off x="4029903" y="6162136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5</xdr:col>
      <xdr:colOff>1420053</xdr:colOff>
      <xdr:row>176</xdr:row>
      <xdr:rowOff>42241</xdr:rowOff>
    </xdr:from>
    <xdr:ext cx="666750" cy="236468"/>
    <xdr:sp macro="" textlink="">
      <xdr:nvSpPr>
        <xdr:cNvPr id="509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9655196D-F3BC-4A40-8A43-00822EADC72B}"/>
            </a:ext>
          </a:extLst>
        </xdr:cNvPr>
        <xdr:cNvSpPr/>
      </xdr:nvSpPr>
      <xdr:spPr bwMode="auto">
        <a:xfrm>
          <a:off x="4029903" y="6162136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5</xdr:col>
      <xdr:colOff>1420053</xdr:colOff>
      <xdr:row>176</xdr:row>
      <xdr:rowOff>42241</xdr:rowOff>
    </xdr:from>
    <xdr:ext cx="666750" cy="236468"/>
    <xdr:sp macro="" textlink="">
      <xdr:nvSpPr>
        <xdr:cNvPr id="510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15AE1D04-0C0E-49F1-9528-AAA180616B15}"/>
            </a:ext>
          </a:extLst>
        </xdr:cNvPr>
        <xdr:cNvSpPr/>
      </xdr:nvSpPr>
      <xdr:spPr bwMode="auto">
        <a:xfrm>
          <a:off x="4029903" y="6162136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5</xdr:col>
      <xdr:colOff>1420053</xdr:colOff>
      <xdr:row>176</xdr:row>
      <xdr:rowOff>42241</xdr:rowOff>
    </xdr:from>
    <xdr:ext cx="666750" cy="236468"/>
    <xdr:sp macro="" textlink="">
      <xdr:nvSpPr>
        <xdr:cNvPr id="511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AB9ADD11-3658-47DC-ADB6-951F29E16BF3}"/>
            </a:ext>
          </a:extLst>
        </xdr:cNvPr>
        <xdr:cNvSpPr/>
      </xdr:nvSpPr>
      <xdr:spPr bwMode="auto">
        <a:xfrm>
          <a:off x="4029903" y="6162136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183</xdr:row>
      <xdr:rowOff>42241</xdr:rowOff>
    </xdr:from>
    <xdr:ext cx="666750" cy="236468"/>
    <xdr:sp macro="" textlink="">
      <xdr:nvSpPr>
        <xdr:cNvPr id="512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736B9F03-E68C-4875-B70F-245537C514D0}"/>
            </a:ext>
          </a:extLst>
        </xdr:cNvPr>
        <xdr:cNvSpPr/>
      </xdr:nvSpPr>
      <xdr:spPr bwMode="auto">
        <a:xfrm>
          <a:off x="5077653" y="6340254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183</xdr:row>
      <xdr:rowOff>42241</xdr:rowOff>
    </xdr:from>
    <xdr:ext cx="666750" cy="236468"/>
    <xdr:sp macro="" textlink="">
      <xdr:nvSpPr>
        <xdr:cNvPr id="513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D2F62FF3-178A-44AB-BF34-F7CD4E25FD08}"/>
            </a:ext>
          </a:extLst>
        </xdr:cNvPr>
        <xdr:cNvSpPr/>
      </xdr:nvSpPr>
      <xdr:spPr bwMode="auto">
        <a:xfrm>
          <a:off x="5077653" y="6340254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183</xdr:row>
      <xdr:rowOff>42241</xdr:rowOff>
    </xdr:from>
    <xdr:ext cx="666750" cy="236468"/>
    <xdr:sp macro="" textlink="">
      <xdr:nvSpPr>
        <xdr:cNvPr id="514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50AAD92B-5F02-45EC-AA0C-867D924556A8}"/>
            </a:ext>
          </a:extLst>
        </xdr:cNvPr>
        <xdr:cNvSpPr/>
      </xdr:nvSpPr>
      <xdr:spPr bwMode="auto">
        <a:xfrm>
          <a:off x="5077653" y="6340254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183</xdr:row>
      <xdr:rowOff>42241</xdr:rowOff>
    </xdr:from>
    <xdr:ext cx="666750" cy="236468"/>
    <xdr:sp macro="" textlink="">
      <xdr:nvSpPr>
        <xdr:cNvPr id="515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6439B91A-96F8-41DD-A8EA-9CBC3F05F514}"/>
            </a:ext>
          </a:extLst>
        </xdr:cNvPr>
        <xdr:cNvSpPr/>
      </xdr:nvSpPr>
      <xdr:spPr bwMode="auto">
        <a:xfrm>
          <a:off x="5077653" y="6340254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183</xdr:row>
      <xdr:rowOff>42241</xdr:rowOff>
    </xdr:from>
    <xdr:ext cx="666750" cy="236468"/>
    <xdr:sp macro="" textlink="">
      <xdr:nvSpPr>
        <xdr:cNvPr id="516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EF8AE0C2-B3C9-4140-9DF3-C95011ECFD01}"/>
            </a:ext>
          </a:extLst>
        </xdr:cNvPr>
        <xdr:cNvSpPr/>
      </xdr:nvSpPr>
      <xdr:spPr bwMode="auto">
        <a:xfrm>
          <a:off x="5077653" y="6340254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183</xdr:row>
      <xdr:rowOff>42241</xdr:rowOff>
    </xdr:from>
    <xdr:ext cx="666750" cy="236468"/>
    <xdr:sp macro="" textlink="">
      <xdr:nvSpPr>
        <xdr:cNvPr id="517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8980FA66-CC75-47F4-A67A-A093A0224B7F}"/>
            </a:ext>
          </a:extLst>
        </xdr:cNvPr>
        <xdr:cNvSpPr/>
      </xdr:nvSpPr>
      <xdr:spPr bwMode="auto">
        <a:xfrm>
          <a:off x="5077653" y="6340254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5</xdr:col>
      <xdr:colOff>1420053</xdr:colOff>
      <xdr:row>183</xdr:row>
      <xdr:rowOff>42241</xdr:rowOff>
    </xdr:from>
    <xdr:ext cx="666750" cy="236468"/>
    <xdr:sp macro="" textlink="">
      <xdr:nvSpPr>
        <xdr:cNvPr id="518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FA71750C-C350-447E-A26D-4727B9041295}"/>
            </a:ext>
          </a:extLst>
        </xdr:cNvPr>
        <xdr:cNvSpPr/>
      </xdr:nvSpPr>
      <xdr:spPr bwMode="auto">
        <a:xfrm>
          <a:off x="4029903" y="6340254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5</xdr:col>
      <xdr:colOff>1420053</xdr:colOff>
      <xdr:row>183</xdr:row>
      <xdr:rowOff>42241</xdr:rowOff>
    </xdr:from>
    <xdr:ext cx="666750" cy="236468"/>
    <xdr:sp macro="" textlink="">
      <xdr:nvSpPr>
        <xdr:cNvPr id="519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2448BE65-9EBA-458C-932F-97DD50241C6E}"/>
            </a:ext>
          </a:extLst>
        </xdr:cNvPr>
        <xdr:cNvSpPr/>
      </xdr:nvSpPr>
      <xdr:spPr bwMode="auto">
        <a:xfrm>
          <a:off x="4029903" y="6340254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5</xdr:col>
      <xdr:colOff>1420053</xdr:colOff>
      <xdr:row>183</xdr:row>
      <xdr:rowOff>42241</xdr:rowOff>
    </xdr:from>
    <xdr:ext cx="666750" cy="236468"/>
    <xdr:sp macro="" textlink="">
      <xdr:nvSpPr>
        <xdr:cNvPr id="520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6EE2E490-A7EF-4B0F-800F-589661BB9F78}"/>
            </a:ext>
          </a:extLst>
        </xdr:cNvPr>
        <xdr:cNvSpPr/>
      </xdr:nvSpPr>
      <xdr:spPr bwMode="auto">
        <a:xfrm>
          <a:off x="4029903" y="6340254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5</xdr:col>
      <xdr:colOff>1420053</xdr:colOff>
      <xdr:row>183</xdr:row>
      <xdr:rowOff>42241</xdr:rowOff>
    </xdr:from>
    <xdr:ext cx="666750" cy="236468"/>
    <xdr:sp macro="" textlink="">
      <xdr:nvSpPr>
        <xdr:cNvPr id="521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9A76DAD1-B0E0-482F-AFCA-2538D22679C2}"/>
            </a:ext>
          </a:extLst>
        </xdr:cNvPr>
        <xdr:cNvSpPr/>
      </xdr:nvSpPr>
      <xdr:spPr bwMode="auto">
        <a:xfrm>
          <a:off x="4029903" y="6340254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5</xdr:col>
      <xdr:colOff>1420053</xdr:colOff>
      <xdr:row>183</xdr:row>
      <xdr:rowOff>42241</xdr:rowOff>
    </xdr:from>
    <xdr:ext cx="666750" cy="236468"/>
    <xdr:sp macro="" textlink="">
      <xdr:nvSpPr>
        <xdr:cNvPr id="522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37FBE040-DFD9-4474-9257-4AF593BD3A58}"/>
            </a:ext>
          </a:extLst>
        </xdr:cNvPr>
        <xdr:cNvSpPr/>
      </xdr:nvSpPr>
      <xdr:spPr bwMode="auto">
        <a:xfrm>
          <a:off x="4029903" y="6340254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5</xdr:col>
      <xdr:colOff>1420053</xdr:colOff>
      <xdr:row>183</xdr:row>
      <xdr:rowOff>42241</xdr:rowOff>
    </xdr:from>
    <xdr:ext cx="666750" cy="236468"/>
    <xdr:sp macro="" textlink="">
      <xdr:nvSpPr>
        <xdr:cNvPr id="523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03194749-9A75-4E1E-ADBC-53770E835683}"/>
            </a:ext>
          </a:extLst>
        </xdr:cNvPr>
        <xdr:cNvSpPr/>
      </xdr:nvSpPr>
      <xdr:spPr bwMode="auto">
        <a:xfrm>
          <a:off x="4029903" y="6340254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188</xdr:row>
      <xdr:rowOff>42241</xdr:rowOff>
    </xdr:from>
    <xdr:ext cx="666750" cy="236468"/>
    <xdr:sp macro="" textlink="">
      <xdr:nvSpPr>
        <xdr:cNvPr id="524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D23A5F49-A2AE-4CBD-AFCE-3F52E46BF1A4}"/>
            </a:ext>
          </a:extLst>
        </xdr:cNvPr>
        <xdr:cNvSpPr/>
      </xdr:nvSpPr>
      <xdr:spPr bwMode="auto">
        <a:xfrm>
          <a:off x="5077653" y="6497416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188</xdr:row>
      <xdr:rowOff>42241</xdr:rowOff>
    </xdr:from>
    <xdr:ext cx="666750" cy="236468"/>
    <xdr:sp macro="" textlink="">
      <xdr:nvSpPr>
        <xdr:cNvPr id="525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E2FE839D-32D9-4456-BC77-81ECB54B71EC}"/>
            </a:ext>
          </a:extLst>
        </xdr:cNvPr>
        <xdr:cNvSpPr/>
      </xdr:nvSpPr>
      <xdr:spPr bwMode="auto">
        <a:xfrm>
          <a:off x="5077653" y="6497416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188</xdr:row>
      <xdr:rowOff>42241</xdr:rowOff>
    </xdr:from>
    <xdr:ext cx="666750" cy="236468"/>
    <xdr:sp macro="" textlink="">
      <xdr:nvSpPr>
        <xdr:cNvPr id="526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242B5886-D82B-4000-BC96-C3079C869535}"/>
            </a:ext>
          </a:extLst>
        </xdr:cNvPr>
        <xdr:cNvSpPr/>
      </xdr:nvSpPr>
      <xdr:spPr bwMode="auto">
        <a:xfrm>
          <a:off x="5077653" y="6497416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188</xdr:row>
      <xdr:rowOff>42241</xdr:rowOff>
    </xdr:from>
    <xdr:ext cx="666750" cy="236468"/>
    <xdr:sp macro="" textlink="">
      <xdr:nvSpPr>
        <xdr:cNvPr id="527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1132F41-D053-4515-A7DF-8F4F91114B59}"/>
            </a:ext>
          </a:extLst>
        </xdr:cNvPr>
        <xdr:cNvSpPr/>
      </xdr:nvSpPr>
      <xdr:spPr bwMode="auto">
        <a:xfrm>
          <a:off x="5077653" y="6497416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188</xdr:row>
      <xdr:rowOff>42241</xdr:rowOff>
    </xdr:from>
    <xdr:ext cx="666750" cy="236468"/>
    <xdr:sp macro="" textlink="">
      <xdr:nvSpPr>
        <xdr:cNvPr id="528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87BEA684-9B9D-4A44-AE42-3DAECED69877}"/>
            </a:ext>
          </a:extLst>
        </xdr:cNvPr>
        <xdr:cNvSpPr/>
      </xdr:nvSpPr>
      <xdr:spPr bwMode="auto">
        <a:xfrm>
          <a:off x="5077653" y="6497416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188</xdr:row>
      <xdr:rowOff>42241</xdr:rowOff>
    </xdr:from>
    <xdr:ext cx="666750" cy="236468"/>
    <xdr:sp macro="" textlink="">
      <xdr:nvSpPr>
        <xdr:cNvPr id="529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5E3F2962-7E63-49E6-8ABF-4FE90760A4BC}"/>
            </a:ext>
          </a:extLst>
        </xdr:cNvPr>
        <xdr:cNvSpPr/>
      </xdr:nvSpPr>
      <xdr:spPr bwMode="auto">
        <a:xfrm>
          <a:off x="5077653" y="6497416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5</xdr:col>
      <xdr:colOff>1420053</xdr:colOff>
      <xdr:row>188</xdr:row>
      <xdr:rowOff>42241</xdr:rowOff>
    </xdr:from>
    <xdr:ext cx="666750" cy="236468"/>
    <xdr:sp macro="" textlink="">
      <xdr:nvSpPr>
        <xdr:cNvPr id="530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B2AB7D0E-023C-43B4-9EC6-9354DF21AD4B}"/>
            </a:ext>
          </a:extLst>
        </xdr:cNvPr>
        <xdr:cNvSpPr/>
      </xdr:nvSpPr>
      <xdr:spPr bwMode="auto">
        <a:xfrm>
          <a:off x="4029903" y="6497416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5</xdr:col>
      <xdr:colOff>1420053</xdr:colOff>
      <xdr:row>188</xdr:row>
      <xdr:rowOff>42241</xdr:rowOff>
    </xdr:from>
    <xdr:ext cx="666750" cy="236468"/>
    <xdr:sp macro="" textlink="">
      <xdr:nvSpPr>
        <xdr:cNvPr id="531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3CE3230A-2A4A-4F04-846B-88F6C999C8B5}"/>
            </a:ext>
          </a:extLst>
        </xdr:cNvPr>
        <xdr:cNvSpPr/>
      </xdr:nvSpPr>
      <xdr:spPr bwMode="auto">
        <a:xfrm>
          <a:off x="4029903" y="6497416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5</xdr:col>
      <xdr:colOff>1420053</xdr:colOff>
      <xdr:row>188</xdr:row>
      <xdr:rowOff>42241</xdr:rowOff>
    </xdr:from>
    <xdr:ext cx="666750" cy="236468"/>
    <xdr:sp macro="" textlink="">
      <xdr:nvSpPr>
        <xdr:cNvPr id="532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18AEAF4A-E4B1-49E2-BB53-F79DCB5B87EF}"/>
            </a:ext>
          </a:extLst>
        </xdr:cNvPr>
        <xdr:cNvSpPr/>
      </xdr:nvSpPr>
      <xdr:spPr bwMode="auto">
        <a:xfrm>
          <a:off x="4029903" y="6497416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5</xdr:col>
      <xdr:colOff>1420053</xdr:colOff>
      <xdr:row>188</xdr:row>
      <xdr:rowOff>42241</xdr:rowOff>
    </xdr:from>
    <xdr:ext cx="666750" cy="236468"/>
    <xdr:sp macro="" textlink="">
      <xdr:nvSpPr>
        <xdr:cNvPr id="533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CA561794-D3D5-4D50-BFB9-A6111BAA602A}"/>
            </a:ext>
          </a:extLst>
        </xdr:cNvPr>
        <xdr:cNvSpPr/>
      </xdr:nvSpPr>
      <xdr:spPr bwMode="auto">
        <a:xfrm>
          <a:off x="4029903" y="6497416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5</xdr:col>
      <xdr:colOff>1420053</xdr:colOff>
      <xdr:row>188</xdr:row>
      <xdr:rowOff>42241</xdr:rowOff>
    </xdr:from>
    <xdr:ext cx="666750" cy="236468"/>
    <xdr:sp macro="" textlink="">
      <xdr:nvSpPr>
        <xdr:cNvPr id="534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B1EC513F-E37E-4A35-A293-D354A863693D}"/>
            </a:ext>
          </a:extLst>
        </xdr:cNvPr>
        <xdr:cNvSpPr/>
      </xdr:nvSpPr>
      <xdr:spPr bwMode="auto">
        <a:xfrm>
          <a:off x="4029903" y="6497416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5</xdr:col>
      <xdr:colOff>1420053</xdr:colOff>
      <xdr:row>188</xdr:row>
      <xdr:rowOff>42241</xdr:rowOff>
    </xdr:from>
    <xdr:ext cx="666750" cy="236468"/>
    <xdr:sp macro="" textlink="">
      <xdr:nvSpPr>
        <xdr:cNvPr id="535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02BA7FF4-792A-4A01-B630-BD674263F721}"/>
            </a:ext>
          </a:extLst>
        </xdr:cNvPr>
        <xdr:cNvSpPr/>
      </xdr:nvSpPr>
      <xdr:spPr bwMode="auto">
        <a:xfrm>
          <a:off x="4029903" y="6497416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195</xdr:row>
      <xdr:rowOff>42241</xdr:rowOff>
    </xdr:from>
    <xdr:ext cx="666750" cy="236468"/>
    <xdr:sp macro="" textlink="">
      <xdr:nvSpPr>
        <xdr:cNvPr id="536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44BFD071-E772-43E0-8395-E23538721ECC}"/>
            </a:ext>
          </a:extLst>
        </xdr:cNvPr>
        <xdr:cNvSpPr/>
      </xdr:nvSpPr>
      <xdr:spPr bwMode="auto">
        <a:xfrm>
          <a:off x="5077653" y="6697441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195</xdr:row>
      <xdr:rowOff>42241</xdr:rowOff>
    </xdr:from>
    <xdr:ext cx="666750" cy="236468"/>
    <xdr:sp macro="" textlink="">
      <xdr:nvSpPr>
        <xdr:cNvPr id="537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6928FD88-A236-4395-88C8-815B722BAE81}"/>
            </a:ext>
          </a:extLst>
        </xdr:cNvPr>
        <xdr:cNvSpPr/>
      </xdr:nvSpPr>
      <xdr:spPr bwMode="auto">
        <a:xfrm>
          <a:off x="5077653" y="6697441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195</xdr:row>
      <xdr:rowOff>42241</xdr:rowOff>
    </xdr:from>
    <xdr:ext cx="666750" cy="236468"/>
    <xdr:sp macro="" textlink="">
      <xdr:nvSpPr>
        <xdr:cNvPr id="538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C3325AE8-B68B-46EE-87F2-9637881C5F54}"/>
            </a:ext>
          </a:extLst>
        </xdr:cNvPr>
        <xdr:cNvSpPr/>
      </xdr:nvSpPr>
      <xdr:spPr bwMode="auto">
        <a:xfrm>
          <a:off x="5077653" y="6697441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195</xdr:row>
      <xdr:rowOff>42241</xdr:rowOff>
    </xdr:from>
    <xdr:ext cx="666750" cy="236468"/>
    <xdr:sp macro="" textlink="">
      <xdr:nvSpPr>
        <xdr:cNvPr id="539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1EF7CE95-4F8D-4B15-94E9-59F31BC00612}"/>
            </a:ext>
          </a:extLst>
        </xdr:cNvPr>
        <xdr:cNvSpPr/>
      </xdr:nvSpPr>
      <xdr:spPr bwMode="auto">
        <a:xfrm>
          <a:off x="5077653" y="6697441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195</xdr:row>
      <xdr:rowOff>42241</xdr:rowOff>
    </xdr:from>
    <xdr:ext cx="666750" cy="236468"/>
    <xdr:sp macro="" textlink="">
      <xdr:nvSpPr>
        <xdr:cNvPr id="540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E504D94E-5625-4A5C-8254-76F0F10E6E12}"/>
            </a:ext>
          </a:extLst>
        </xdr:cNvPr>
        <xdr:cNvSpPr/>
      </xdr:nvSpPr>
      <xdr:spPr bwMode="auto">
        <a:xfrm>
          <a:off x="5077653" y="6697441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195</xdr:row>
      <xdr:rowOff>42241</xdr:rowOff>
    </xdr:from>
    <xdr:ext cx="666750" cy="236468"/>
    <xdr:sp macro="" textlink="">
      <xdr:nvSpPr>
        <xdr:cNvPr id="541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6DEEF0E2-29CF-435E-B76A-784BC2E94607}"/>
            </a:ext>
          </a:extLst>
        </xdr:cNvPr>
        <xdr:cNvSpPr/>
      </xdr:nvSpPr>
      <xdr:spPr bwMode="auto">
        <a:xfrm>
          <a:off x="5077653" y="6697441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5</xdr:col>
      <xdr:colOff>1420053</xdr:colOff>
      <xdr:row>195</xdr:row>
      <xdr:rowOff>42241</xdr:rowOff>
    </xdr:from>
    <xdr:ext cx="666750" cy="236468"/>
    <xdr:sp macro="" textlink="">
      <xdr:nvSpPr>
        <xdr:cNvPr id="542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603D4E74-035A-4CB3-8320-3A6E4CB97492}"/>
            </a:ext>
          </a:extLst>
        </xdr:cNvPr>
        <xdr:cNvSpPr/>
      </xdr:nvSpPr>
      <xdr:spPr bwMode="auto">
        <a:xfrm>
          <a:off x="4029903" y="6697441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5</xdr:col>
      <xdr:colOff>1420053</xdr:colOff>
      <xdr:row>195</xdr:row>
      <xdr:rowOff>42241</xdr:rowOff>
    </xdr:from>
    <xdr:ext cx="666750" cy="236468"/>
    <xdr:sp macro="" textlink="">
      <xdr:nvSpPr>
        <xdr:cNvPr id="543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FBAC5FB1-F069-48F8-9294-CB983BC61020}"/>
            </a:ext>
          </a:extLst>
        </xdr:cNvPr>
        <xdr:cNvSpPr/>
      </xdr:nvSpPr>
      <xdr:spPr bwMode="auto">
        <a:xfrm>
          <a:off x="4029903" y="6697441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5</xdr:col>
      <xdr:colOff>1420053</xdr:colOff>
      <xdr:row>195</xdr:row>
      <xdr:rowOff>42241</xdr:rowOff>
    </xdr:from>
    <xdr:ext cx="666750" cy="236468"/>
    <xdr:sp macro="" textlink="">
      <xdr:nvSpPr>
        <xdr:cNvPr id="544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C0762154-FE1E-4BF5-9121-C2ED0679D5B9}"/>
            </a:ext>
          </a:extLst>
        </xdr:cNvPr>
        <xdr:cNvSpPr/>
      </xdr:nvSpPr>
      <xdr:spPr bwMode="auto">
        <a:xfrm>
          <a:off x="4029903" y="6697441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5</xdr:col>
      <xdr:colOff>1420053</xdr:colOff>
      <xdr:row>195</xdr:row>
      <xdr:rowOff>42241</xdr:rowOff>
    </xdr:from>
    <xdr:ext cx="666750" cy="236468"/>
    <xdr:sp macro="" textlink="">
      <xdr:nvSpPr>
        <xdr:cNvPr id="545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79EC6218-0685-4856-A811-B5A5C5EC9A2C}"/>
            </a:ext>
          </a:extLst>
        </xdr:cNvPr>
        <xdr:cNvSpPr/>
      </xdr:nvSpPr>
      <xdr:spPr bwMode="auto">
        <a:xfrm>
          <a:off x="4029903" y="6697441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5</xdr:col>
      <xdr:colOff>1420053</xdr:colOff>
      <xdr:row>195</xdr:row>
      <xdr:rowOff>42241</xdr:rowOff>
    </xdr:from>
    <xdr:ext cx="666750" cy="236468"/>
    <xdr:sp macro="" textlink="">
      <xdr:nvSpPr>
        <xdr:cNvPr id="546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9B5410C4-9F11-4B0F-AF35-E5CCE711516B}"/>
            </a:ext>
          </a:extLst>
        </xdr:cNvPr>
        <xdr:cNvSpPr/>
      </xdr:nvSpPr>
      <xdr:spPr bwMode="auto">
        <a:xfrm>
          <a:off x="4029903" y="6697441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5</xdr:col>
      <xdr:colOff>1420053</xdr:colOff>
      <xdr:row>195</xdr:row>
      <xdr:rowOff>42241</xdr:rowOff>
    </xdr:from>
    <xdr:ext cx="666750" cy="236468"/>
    <xdr:sp macro="" textlink="">
      <xdr:nvSpPr>
        <xdr:cNvPr id="547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C613FCCD-2CA7-4415-A1E0-21D0A4C3DE9E}"/>
            </a:ext>
          </a:extLst>
        </xdr:cNvPr>
        <xdr:cNvSpPr/>
      </xdr:nvSpPr>
      <xdr:spPr bwMode="auto">
        <a:xfrm>
          <a:off x="4029903" y="6697441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196</xdr:row>
      <xdr:rowOff>42241</xdr:rowOff>
    </xdr:from>
    <xdr:ext cx="666750" cy="236468"/>
    <xdr:sp macro="" textlink="">
      <xdr:nvSpPr>
        <xdr:cNvPr id="548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DCA02DB5-68EB-4C1E-BC9E-461A1159EAE4}"/>
            </a:ext>
          </a:extLst>
        </xdr:cNvPr>
        <xdr:cNvSpPr/>
      </xdr:nvSpPr>
      <xdr:spPr bwMode="auto">
        <a:xfrm>
          <a:off x="5077653" y="6743161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196</xdr:row>
      <xdr:rowOff>42241</xdr:rowOff>
    </xdr:from>
    <xdr:ext cx="666750" cy="236468"/>
    <xdr:sp macro="" textlink="">
      <xdr:nvSpPr>
        <xdr:cNvPr id="549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AD5F677F-3EB9-4AED-B57E-88F240033F79}"/>
            </a:ext>
          </a:extLst>
        </xdr:cNvPr>
        <xdr:cNvSpPr/>
      </xdr:nvSpPr>
      <xdr:spPr bwMode="auto">
        <a:xfrm>
          <a:off x="5077653" y="6743161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196</xdr:row>
      <xdr:rowOff>42241</xdr:rowOff>
    </xdr:from>
    <xdr:ext cx="666750" cy="236468"/>
    <xdr:sp macro="" textlink="">
      <xdr:nvSpPr>
        <xdr:cNvPr id="550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C4B4DF20-D57C-4342-A66B-4851B5588B60}"/>
            </a:ext>
          </a:extLst>
        </xdr:cNvPr>
        <xdr:cNvSpPr/>
      </xdr:nvSpPr>
      <xdr:spPr bwMode="auto">
        <a:xfrm>
          <a:off x="5077653" y="6743161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196</xdr:row>
      <xdr:rowOff>42241</xdr:rowOff>
    </xdr:from>
    <xdr:ext cx="666750" cy="236468"/>
    <xdr:sp macro="" textlink="">
      <xdr:nvSpPr>
        <xdr:cNvPr id="551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D1740497-DBF8-4A0D-B2B7-AEB03DA670F5}"/>
            </a:ext>
          </a:extLst>
        </xdr:cNvPr>
        <xdr:cNvSpPr/>
      </xdr:nvSpPr>
      <xdr:spPr bwMode="auto">
        <a:xfrm>
          <a:off x="5077653" y="6743161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196</xdr:row>
      <xdr:rowOff>42241</xdr:rowOff>
    </xdr:from>
    <xdr:ext cx="666750" cy="236468"/>
    <xdr:sp macro="" textlink="">
      <xdr:nvSpPr>
        <xdr:cNvPr id="552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3CCC6DDB-362C-4202-BA99-7DECBBA53210}"/>
            </a:ext>
          </a:extLst>
        </xdr:cNvPr>
        <xdr:cNvSpPr/>
      </xdr:nvSpPr>
      <xdr:spPr bwMode="auto">
        <a:xfrm>
          <a:off x="5077653" y="6743161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196</xdr:row>
      <xdr:rowOff>42241</xdr:rowOff>
    </xdr:from>
    <xdr:ext cx="666750" cy="236468"/>
    <xdr:sp macro="" textlink="">
      <xdr:nvSpPr>
        <xdr:cNvPr id="553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CC67A474-90D2-4B38-9A65-3317AC5AF63C}"/>
            </a:ext>
          </a:extLst>
        </xdr:cNvPr>
        <xdr:cNvSpPr/>
      </xdr:nvSpPr>
      <xdr:spPr bwMode="auto">
        <a:xfrm>
          <a:off x="5077653" y="6743161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5</xdr:col>
      <xdr:colOff>1420053</xdr:colOff>
      <xdr:row>196</xdr:row>
      <xdr:rowOff>42241</xdr:rowOff>
    </xdr:from>
    <xdr:ext cx="666750" cy="236468"/>
    <xdr:sp macro="" textlink="">
      <xdr:nvSpPr>
        <xdr:cNvPr id="554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EAA529DF-8878-4D6A-AB78-DD5F896F1A52}"/>
            </a:ext>
          </a:extLst>
        </xdr:cNvPr>
        <xdr:cNvSpPr/>
      </xdr:nvSpPr>
      <xdr:spPr bwMode="auto">
        <a:xfrm>
          <a:off x="4029903" y="6743161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5</xdr:col>
      <xdr:colOff>1420053</xdr:colOff>
      <xdr:row>196</xdr:row>
      <xdr:rowOff>42241</xdr:rowOff>
    </xdr:from>
    <xdr:ext cx="666750" cy="236468"/>
    <xdr:sp macro="" textlink="">
      <xdr:nvSpPr>
        <xdr:cNvPr id="555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B7D0C000-BFD1-4929-B99F-9771E02CFAE1}"/>
            </a:ext>
          </a:extLst>
        </xdr:cNvPr>
        <xdr:cNvSpPr/>
      </xdr:nvSpPr>
      <xdr:spPr bwMode="auto">
        <a:xfrm>
          <a:off x="4029903" y="6743161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5</xdr:col>
      <xdr:colOff>1420053</xdr:colOff>
      <xdr:row>196</xdr:row>
      <xdr:rowOff>42241</xdr:rowOff>
    </xdr:from>
    <xdr:ext cx="666750" cy="236468"/>
    <xdr:sp macro="" textlink="">
      <xdr:nvSpPr>
        <xdr:cNvPr id="556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3F78B058-C622-49E1-BD6C-FD818E97A309}"/>
            </a:ext>
          </a:extLst>
        </xdr:cNvPr>
        <xdr:cNvSpPr/>
      </xdr:nvSpPr>
      <xdr:spPr bwMode="auto">
        <a:xfrm>
          <a:off x="4029903" y="6743161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5</xdr:col>
      <xdr:colOff>1420053</xdr:colOff>
      <xdr:row>196</xdr:row>
      <xdr:rowOff>42241</xdr:rowOff>
    </xdr:from>
    <xdr:ext cx="666750" cy="236468"/>
    <xdr:sp macro="" textlink="">
      <xdr:nvSpPr>
        <xdr:cNvPr id="557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BA5FB98A-16FF-45B6-924A-B71C5D729C66}"/>
            </a:ext>
          </a:extLst>
        </xdr:cNvPr>
        <xdr:cNvSpPr/>
      </xdr:nvSpPr>
      <xdr:spPr bwMode="auto">
        <a:xfrm>
          <a:off x="4029903" y="6743161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5</xdr:col>
      <xdr:colOff>1420053</xdr:colOff>
      <xdr:row>196</xdr:row>
      <xdr:rowOff>42241</xdr:rowOff>
    </xdr:from>
    <xdr:ext cx="666750" cy="236468"/>
    <xdr:sp macro="" textlink="">
      <xdr:nvSpPr>
        <xdr:cNvPr id="558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27DCE09E-236E-410C-96E0-53351CFF3C90}"/>
            </a:ext>
          </a:extLst>
        </xdr:cNvPr>
        <xdr:cNvSpPr/>
      </xdr:nvSpPr>
      <xdr:spPr bwMode="auto">
        <a:xfrm>
          <a:off x="4029903" y="6743161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5</xdr:col>
      <xdr:colOff>1420053</xdr:colOff>
      <xdr:row>196</xdr:row>
      <xdr:rowOff>42241</xdr:rowOff>
    </xdr:from>
    <xdr:ext cx="666750" cy="236468"/>
    <xdr:sp macro="" textlink="">
      <xdr:nvSpPr>
        <xdr:cNvPr id="559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71B64F5A-5F60-4A13-9F88-5F57B0519483}"/>
            </a:ext>
          </a:extLst>
        </xdr:cNvPr>
        <xdr:cNvSpPr/>
      </xdr:nvSpPr>
      <xdr:spPr bwMode="auto">
        <a:xfrm>
          <a:off x="4029903" y="6743161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208</xdr:row>
      <xdr:rowOff>42241</xdr:rowOff>
    </xdr:from>
    <xdr:ext cx="666750" cy="236468"/>
    <xdr:sp macro="" textlink="">
      <xdr:nvSpPr>
        <xdr:cNvPr id="560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DCE28E7F-4666-4243-A61F-A3A5D279CECC}"/>
            </a:ext>
          </a:extLst>
        </xdr:cNvPr>
        <xdr:cNvSpPr/>
      </xdr:nvSpPr>
      <xdr:spPr bwMode="auto">
        <a:xfrm>
          <a:off x="5077653" y="7172739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208</xdr:row>
      <xdr:rowOff>42241</xdr:rowOff>
    </xdr:from>
    <xdr:ext cx="666750" cy="236468"/>
    <xdr:sp macro="" textlink="">
      <xdr:nvSpPr>
        <xdr:cNvPr id="561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B225C777-D656-4E64-84E1-F2B3D03B702A}"/>
            </a:ext>
          </a:extLst>
        </xdr:cNvPr>
        <xdr:cNvSpPr/>
      </xdr:nvSpPr>
      <xdr:spPr bwMode="auto">
        <a:xfrm>
          <a:off x="5077653" y="7172739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208</xdr:row>
      <xdr:rowOff>42241</xdr:rowOff>
    </xdr:from>
    <xdr:ext cx="666750" cy="236468"/>
    <xdr:sp macro="" textlink="">
      <xdr:nvSpPr>
        <xdr:cNvPr id="562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F58EA01F-0765-4C64-9E63-F7D37B71D38D}"/>
            </a:ext>
          </a:extLst>
        </xdr:cNvPr>
        <xdr:cNvSpPr/>
      </xdr:nvSpPr>
      <xdr:spPr bwMode="auto">
        <a:xfrm>
          <a:off x="5077653" y="7172739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208</xdr:row>
      <xdr:rowOff>42241</xdr:rowOff>
    </xdr:from>
    <xdr:ext cx="666750" cy="236468"/>
    <xdr:sp macro="" textlink="">
      <xdr:nvSpPr>
        <xdr:cNvPr id="563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D83D57D9-0BC4-4357-A8CE-089F201D2044}"/>
            </a:ext>
          </a:extLst>
        </xdr:cNvPr>
        <xdr:cNvSpPr/>
      </xdr:nvSpPr>
      <xdr:spPr bwMode="auto">
        <a:xfrm>
          <a:off x="5077653" y="7172739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208</xdr:row>
      <xdr:rowOff>42241</xdr:rowOff>
    </xdr:from>
    <xdr:ext cx="666750" cy="236468"/>
    <xdr:sp macro="" textlink="">
      <xdr:nvSpPr>
        <xdr:cNvPr id="564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B92AEA29-DF83-462F-BEED-7498C8926B07}"/>
            </a:ext>
          </a:extLst>
        </xdr:cNvPr>
        <xdr:cNvSpPr/>
      </xdr:nvSpPr>
      <xdr:spPr bwMode="auto">
        <a:xfrm>
          <a:off x="5077653" y="7172739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208</xdr:row>
      <xdr:rowOff>42241</xdr:rowOff>
    </xdr:from>
    <xdr:ext cx="666750" cy="236468"/>
    <xdr:sp macro="" textlink="">
      <xdr:nvSpPr>
        <xdr:cNvPr id="565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C4596082-CF9D-4B0D-8CEC-D2E2C306F745}"/>
            </a:ext>
          </a:extLst>
        </xdr:cNvPr>
        <xdr:cNvSpPr/>
      </xdr:nvSpPr>
      <xdr:spPr bwMode="auto">
        <a:xfrm>
          <a:off x="5077653" y="7172739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209</xdr:row>
      <xdr:rowOff>42241</xdr:rowOff>
    </xdr:from>
    <xdr:ext cx="666750" cy="236468"/>
    <xdr:sp macro="" textlink="">
      <xdr:nvSpPr>
        <xdr:cNvPr id="566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BA0FD7E1-EF23-4077-985F-1C97EEC5F134}"/>
            </a:ext>
          </a:extLst>
        </xdr:cNvPr>
        <xdr:cNvSpPr/>
      </xdr:nvSpPr>
      <xdr:spPr bwMode="auto">
        <a:xfrm>
          <a:off x="5077653" y="7220364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209</xdr:row>
      <xdr:rowOff>42241</xdr:rowOff>
    </xdr:from>
    <xdr:ext cx="666750" cy="236468"/>
    <xdr:sp macro="" textlink="">
      <xdr:nvSpPr>
        <xdr:cNvPr id="567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C392EA44-660A-4189-ABD8-3521780DEC2B}"/>
            </a:ext>
          </a:extLst>
        </xdr:cNvPr>
        <xdr:cNvSpPr/>
      </xdr:nvSpPr>
      <xdr:spPr bwMode="auto">
        <a:xfrm>
          <a:off x="5077653" y="7220364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209</xdr:row>
      <xdr:rowOff>42241</xdr:rowOff>
    </xdr:from>
    <xdr:ext cx="666750" cy="236468"/>
    <xdr:sp macro="" textlink="">
      <xdr:nvSpPr>
        <xdr:cNvPr id="568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91EA3A03-EC8A-44C5-AA4C-FB5965E47565}"/>
            </a:ext>
          </a:extLst>
        </xdr:cNvPr>
        <xdr:cNvSpPr/>
      </xdr:nvSpPr>
      <xdr:spPr bwMode="auto">
        <a:xfrm>
          <a:off x="5077653" y="7220364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209</xdr:row>
      <xdr:rowOff>42241</xdr:rowOff>
    </xdr:from>
    <xdr:ext cx="666750" cy="236468"/>
    <xdr:sp macro="" textlink="">
      <xdr:nvSpPr>
        <xdr:cNvPr id="569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9031FADF-E2E6-4A7A-92B8-11CF829D4760}"/>
            </a:ext>
          </a:extLst>
        </xdr:cNvPr>
        <xdr:cNvSpPr/>
      </xdr:nvSpPr>
      <xdr:spPr bwMode="auto">
        <a:xfrm>
          <a:off x="5077653" y="7220364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209</xdr:row>
      <xdr:rowOff>42241</xdr:rowOff>
    </xdr:from>
    <xdr:ext cx="666750" cy="236468"/>
    <xdr:sp macro="" textlink="">
      <xdr:nvSpPr>
        <xdr:cNvPr id="570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628C448B-3BCF-4FC3-AC65-88329E603EE0}"/>
            </a:ext>
          </a:extLst>
        </xdr:cNvPr>
        <xdr:cNvSpPr/>
      </xdr:nvSpPr>
      <xdr:spPr bwMode="auto">
        <a:xfrm>
          <a:off x="5077653" y="7220364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209</xdr:row>
      <xdr:rowOff>42241</xdr:rowOff>
    </xdr:from>
    <xdr:ext cx="666750" cy="236468"/>
    <xdr:sp macro="" textlink="">
      <xdr:nvSpPr>
        <xdr:cNvPr id="571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CD732BBA-3127-4079-8AAE-4A128A577C89}"/>
            </a:ext>
          </a:extLst>
        </xdr:cNvPr>
        <xdr:cNvSpPr/>
      </xdr:nvSpPr>
      <xdr:spPr bwMode="auto">
        <a:xfrm>
          <a:off x="5077653" y="7220364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210</xdr:row>
      <xdr:rowOff>42241</xdr:rowOff>
    </xdr:from>
    <xdr:ext cx="666750" cy="236468"/>
    <xdr:sp macro="" textlink="">
      <xdr:nvSpPr>
        <xdr:cNvPr id="572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7EF5D7A4-B139-461E-AD7C-67CE185FA31D}"/>
            </a:ext>
          </a:extLst>
        </xdr:cNvPr>
        <xdr:cNvSpPr/>
      </xdr:nvSpPr>
      <xdr:spPr bwMode="auto">
        <a:xfrm>
          <a:off x="5077653" y="7263226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210</xdr:row>
      <xdr:rowOff>42241</xdr:rowOff>
    </xdr:from>
    <xdr:ext cx="666750" cy="236468"/>
    <xdr:sp macro="" textlink="">
      <xdr:nvSpPr>
        <xdr:cNvPr id="573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CCE4B2DD-D3FF-438D-8663-A85E44E3AAF2}"/>
            </a:ext>
          </a:extLst>
        </xdr:cNvPr>
        <xdr:cNvSpPr/>
      </xdr:nvSpPr>
      <xdr:spPr bwMode="auto">
        <a:xfrm>
          <a:off x="5077653" y="7263226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210</xdr:row>
      <xdr:rowOff>42241</xdr:rowOff>
    </xdr:from>
    <xdr:ext cx="666750" cy="236468"/>
    <xdr:sp macro="" textlink="">
      <xdr:nvSpPr>
        <xdr:cNvPr id="574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D18C9E44-AA25-4038-A2AE-54FD887BAC6B}"/>
            </a:ext>
          </a:extLst>
        </xdr:cNvPr>
        <xdr:cNvSpPr/>
      </xdr:nvSpPr>
      <xdr:spPr bwMode="auto">
        <a:xfrm>
          <a:off x="5077653" y="7263226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210</xdr:row>
      <xdr:rowOff>42241</xdr:rowOff>
    </xdr:from>
    <xdr:ext cx="666750" cy="236468"/>
    <xdr:sp macro="" textlink="">
      <xdr:nvSpPr>
        <xdr:cNvPr id="575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13EC0425-B509-4851-B1CC-18C3DB1936AB}"/>
            </a:ext>
          </a:extLst>
        </xdr:cNvPr>
        <xdr:cNvSpPr/>
      </xdr:nvSpPr>
      <xdr:spPr bwMode="auto">
        <a:xfrm>
          <a:off x="5077653" y="7263226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210</xdr:row>
      <xdr:rowOff>42241</xdr:rowOff>
    </xdr:from>
    <xdr:ext cx="666750" cy="236468"/>
    <xdr:sp macro="" textlink="">
      <xdr:nvSpPr>
        <xdr:cNvPr id="576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C04C33DC-F6B2-434B-A74E-32A2F9C64D40}"/>
            </a:ext>
          </a:extLst>
        </xdr:cNvPr>
        <xdr:cNvSpPr/>
      </xdr:nvSpPr>
      <xdr:spPr bwMode="auto">
        <a:xfrm>
          <a:off x="5077653" y="7263226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210</xdr:row>
      <xdr:rowOff>42241</xdr:rowOff>
    </xdr:from>
    <xdr:ext cx="666750" cy="236468"/>
    <xdr:sp macro="" textlink="">
      <xdr:nvSpPr>
        <xdr:cNvPr id="577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31E4080A-FCF4-4A17-8643-D56DF4D86DB0}"/>
            </a:ext>
          </a:extLst>
        </xdr:cNvPr>
        <xdr:cNvSpPr/>
      </xdr:nvSpPr>
      <xdr:spPr bwMode="auto">
        <a:xfrm>
          <a:off x="5077653" y="7263226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211</xdr:row>
      <xdr:rowOff>42241</xdr:rowOff>
    </xdr:from>
    <xdr:ext cx="666750" cy="236468"/>
    <xdr:sp macro="" textlink="">
      <xdr:nvSpPr>
        <xdr:cNvPr id="578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7676C43-E873-4725-A555-5E648AE0DC79}"/>
            </a:ext>
          </a:extLst>
        </xdr:cNvPr>
        <xdr:cNvSpPr/>
      </xdr:nvSpPr>
      <xdr:spPr bwMode="auto">
        <a:xfrm>
          <a:off x="5077653" y="7322281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211</xdr:row>
      <xdr:rowOff>42241</xdr:rowOff>
    </xdr:from>
    <xdr:ext cx="666750" cy="236468"/>
    <xdr:sp macro="" textlink="">
      <xdr:nvSpPr>
        <xdr:cNvPr id="579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1E6FBC58-BD27-4F40-9598-328BD1C4E57A}"/>
            </a:ext>
          </a:extLst>
        </xdr:cNvPr>
        <xdr:cNvSpPr/>
      </xdr:nvSpPr>
      <xdr:spPr bwMode="auto">
        <a:xfrm>
          <a:off x="5077653" y="7322281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211</xdr:row>
      <xdr:rowOff>42241</xdr:rowOff>
    </xdr:from>
    <xdr:ext cx="666750" cy="236468"/>
    <xdr:sp macro="" textlink="">
      <xdr:nvSpPr>
        <xdr:cNvPr id="580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43D3F11E-F0CC-4F34-9653-002152D92802}"/>
            </a:ext>
          </a:extLst>
        </xdr:cNvPr>
        <xdr:cNvSpPr/>
      </xdr:nvSpPr>
      <xdr:spPr bwMode="auto">
        <a:xfrm>
          <a:off x="5077653" y="7322281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211</xdr:row>
      <xdr:rowOff>42241</xdr:rowOff>
    </xdr:from>
    <xdr:ext cx="666750" cy="236468"/>
    <xdr:sp macro="" textlink="">
      <xdr:nvSpPr>
        <xdr:cNvPr id="581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FB17D74D-C0CF-42C2-A57A-10121F92CC94}"/>
            </a:ext>
          </a:extLst>
        </xdr:cNvPr>
        <xdr:cNvSpPr/>
      </xdr:nvSpPr>
      <xdr:spPr bwMode="auto">
        <a:xfrm>
          <a:off x="5077653" y="7322281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211</xdr:row>
      <xdr:rowOff>42241</xdr:rowOff>
    </xdr:from>
    <xdr:ext cx="666750" cy="236468"/>
    <xdr:sp macro="" textlink="">
      <xdr:nvSpPr>
        <xdr:cNvPr id="582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D626FF28-5C39-4114-A910-56D40D5F254F}"/>
            </a:ext>
          </a:extLst>
        </xdr:cNvPr>
        <xdr:cNvSpPr/>
      </xdr:nvSpPr>
      <xdr:spPr bwMode="auto">
        <a:xfrm>
          <a:off x="5077653" y="7322281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211</xdr:row>
      <xdr:rowOff>42241</xdr:rowOff>
    </xdr:from>
    <xdr:ext cx="666750" cy="236468"/>
    <xdr:sp macro="" textlink="">
      <xdr:nvSpPr>
        <xdr:cNvPr id="583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2B7ACCA5-6D42-4ABF-91C8-E96C96C796E7}"/>
            </a:ext>
          </a:extLst>
        </xdr:cNvPr>
        <xdr:cNvSpPr/>
      </xdr:nvSpPr>
      <xdr:spPr bwMode="auto">
        <a:xfrm>
          <a:off x="5077653" y="7322281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5</xdr:col>
      <xdr:colOff>1420053</xdr:colOff>
      <xdr:row>208</xdr:row>
      <xdr:rowOff>42241</xdr:rowOff>
    </xdr:from>
    <xdr:ext cx="666750" cy="236468"/>
    <xdr:sp macro="" textlink="">
      <xdr:nvSpPr>
        <xdr:cNvPr id="584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E3367CD-E31F-4B22-8AD4-D50E8CA605F6}"/>
            </a:ext>
          </a:extLst>
        </xdr:cNvPr>
        <xdr:cNvSpPr/>
      </xdr:nvSpPr>
      <xdr:spPr bwMode="auto">
        <a:xfrm>
          <a:off x="4029903" y="7172739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5</xdr:col>
      <xdr:colOff>1420053</xdr:colOff>
      <xdr:row>208</xdr:row>
      <xdr:rowOff>42241</xdr:rowOff>
    </xdr:from>
    <xdr:ext cx="666750" cy="236468"/>
    <xdr:sp macro="" textlink="">
      <xdr:nvSpPr>
        <xdr:cNvPr id="585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13CD3AE6-C94C-4E38-BD00-8749102A1E84}"/>
            </a:ext>
          </a:extLst>
        </xdr:cNvPr>
        <xdr:cNvSpPr/>
      </xdr:nvSpPr>
      <xdr:spPr bwMode="auto">
        <a:xfrm>
          <a:off x="4029903" y="7172739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5</xdr:col>
      <xdr:colOff>1420053</xdr:colOff>
      <xdr:row>208</xdr:row>
      <xdr:rowOff>42241</xdr:rowOff>
    </xdr:from>
    <xdr:ext cx="666750" cy="236468"/>
    <xdr:sp macro="" textlink="">
      <xdr:nvSpPr>
        <xdr:cNvPr id="586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E39193E8-CCC3-44F3-B816-83CAB7131E00}"/>
            </a:ext>
          </a:extLst>
        </xdr:cNvPr>
        <xdr:cNvSpPr/>
      </xdr:nvSpPr>
      <xdr:spPr bwMode="auto">
        <a:xfrm>
          <a:off x="4029903" y="7172739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5</xdr:col>
      <xdr:colOff>1420053</xdr:colOff>
      <xdr:row>208</xdr:row>
      <xdr:rowOff>42241</xdr:rowOff>
    </xdr:from>
    <xdr:ext cx="666750" cy="236468"/>
    <xdr:sp macro="" textlink="">
      <xdr:nvSpPr>
        <xdr:cNvPr id="587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B17C34DB-F80A-4D8F-87C8-82EE3D67A2D6}"/>
            </a:ext>
          </a:extLst>
        </xdr:cNvPr>
        <xdr:cNvSpPr/>
      </xdr:nvSpPr>
      <xdr:spPr bwMode="auto">
        <a:xfrm>
          <a:off x="4029903" y="7172739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5</xdr:col>
      <xdr:colOff>1420053</xdr:colOff>
      <xdr:row>208</xdr:row>
      <xdr:rowOff>42241</xdr:rowOff>
    </xdr:from>
    <xdr:ext cx="666750" cy="236468"/>
    <xdr:sp macro="" textlink="">
      <xdr:nvSpPr>
        <xdr:cNvPr id="588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43973965-5EB4-4498-8EB3-7D2EBCCA1B1D}"/>
            </a:ext>
          </a:extLst>
        </xdr:cNvPr>
        <xdr:cNvSpPr/>
      </xdr:nvSpPr>
      <xdr:spPr bwMode="auto">
        <a:xfrm>
          <a:off x="4029903" y="7172739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5</xdr:col>
      <xdr:colOff>1420053</xdr:colOff>
      <xdr:row>208</xdr:row>
      <xdr:rowOff>42241</xdr:rowOff>
    </xdr:from>
    <xdr:ext cx="666750" cy="236468"/>
    <xdr:sp macro="" textlink="">
      <xdr:nvSpPr>
        <xdr:cNvPr id="589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808CCCA5-984D-40DF-BA54-2DA4BA97FFD0}"/>
            </a:ext>
          </a:extLst>
        </xdr:cNvPr>
        <xdr:cNvSpPr/>
      </xdr:nvSpPr>
      <xdr:spPr bwMode="auto">
        <a:xfrm>
          <a:off x="4029903" y="7172739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5</xdr:col>
      <xdr:colOff>1420053</xdr:colOff>
      <xdr:row>209</xdr:row>
      <xdr:rowOff>42241</xdr:rowOff>
    </xdr:from>
    <xdr:ext cx="666750" cy="236468"/>
    <xdr:sp macro="" textlink="">
      <xdr:nvSpPr>
        <xdr:cNvPr id="590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53C86AF4-EE68-4FF2-B7BA-38C1985A78EE}"/>
            </a:ext>
          </a:extLst>
        </xdr:cNvPr>
        <xdr:cNvSpPr/>
      </xdr:nvSpPr>
      <xdr:spPr bwMode="auto">
        <a:xfrm>
          <a:off x="4029903" y="7220364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5</xdr:col>
      <xdr:colOff>1420053</xdr:colOff>
      <xdr:row>209</xdr:row>
      <xdr:rowOff>42241</xdr:rowOff>
    </xdr:from>
    <xdr:ext cx="666750" cy="236468"/>
    <xdr:sp macro="" textlink="">
      <xdr:nvSpPr>
        <xdr:cNvPr id="591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21052FA0-1CCC-4B12-9C8C-95A6D8928DB0}"/>
            </a:ext>
          </a:extLst>
        </xdr:cNvPr>
        <xdr:cNvSpPr/>
      </xdr:nvSpPr>
      <xdr:spPr bwMode="auto">
        <a:xfrm>
          <a:off x="4029903" y="7220364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5</xdr:col>
      <xdr:colOff>1420053</xdr:colOff>
      <xdr:row>209</xdr:row>
      <xdr:rowOff>42241</xdr:rowOff>
    </xdr:from>
    <xdr:ext cx="666750" cy="236468"/>
    <xdr:sp macro="" textlink="">
      <xdr:nvSpPr>
        <xdr:cNvPr id="592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9E280A98-D7B9-4C90-85E4-B1C14057BBFA}"/>
            </a:ext>
          </a:extLst>
        </xdr:cNvPr>
        <xdr:cNvSpPr/>
      </xdr:nvSpPr>
      <xdr:spPr bwMode="auto">
        <a:xfrm>
          <a:off x="4029903" y="7220364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5</xdr:col>
      <xdr:colOff>1420053</xdr:colOff>
      <xdr:row>209</xdr:row>
      <xdr:rowOff>42241</xdr:rowOff>
    </xdr:from>
    <xdr:ext cx="666750" cy="236468"/>
    <xdr:sp macro="" textlink="">
      <xdr:nvSpPr>
        <xdr:cNvPr id="593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AC9FB60C-3D36-4E11-A44A-827FB90B3E87}"/>
            </a:ext>
          </a:extLst>
        </xdr:cNvPr>
        <xdr:cNvSpPr/>
      </xdr:nvSpPr>
      <xdr:spPr bwMode="auto">
        <a:xfrm>
          <a:off x="4029903" y="7220364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5</xdr:col>
      <xdr:colOff>1420053</xdr:colOff>
      <xdr:row>209</xdr:row>
      <xdr:rowOff>42241</xdr:rowOff>
    </xdr:from>
    <xdr:ext cx="666750" cy="236468"/>
    <xdr:sp macro="" textlink="">
      <xdr:nvSpPr>
        <xdr:cNvPr id="594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64B65228-E81A-4157-98AC-9CD552025F86}"/>
            </a:ext>
          </a:extLst>
        </xdr:cNvPr>
        <xdr:cNvSpPr/>
      </xdr:nvSpPr>
      <xdr:spPr bwMode="auto">
        <a:xfrm>
          <a:off x="4029903" y="7220364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5</xdr:col>
      <xdr:colOff>1420053</xdr:colOff>
      <xdr:row>209</xdr:row>
      <xdr:rowOff>42241</xdr:rowOff>
    </xdr:from>
    <xdr:ext cx="666750" cy="236468"/>
    <xdr:sp macro="" textlink="">
      <xdr:nvSpPr>
        <xdr:cNvPr id="595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8B403DEC-C1DF-4382-8B25-3ADFE329051F}"/>
            </a:ext>
          </a:extLst>
        </xdr:cNvPr>
        <xdr:cNvSpPr/>
      </xdr:nvSpPr>
      <xdr:spPr bwMode="auto">
        <a:xfrm>
          <a:off x="4029903" y="7220364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5</xdr:col>
      <xdr:colOff>1420053</xdr:colOff>
      <xdr:row>210</xdr:row>
      <xdr:rowOff>42241</xdr:rowOff>
    </xdr:from>
    <xdr:ext cx="666750" cy="236468"/>
    <xdr:sp macro="" textlink="">
      <xdr:nvSpPr>
        <xdr:cNvPr id="596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3CDC1B73-B02C-445A-9EC4-536A08A71A44}"/>
            </a:ext>
          </a:extLst>
        </xdr:cNvPr>
        <xdr:cNvSpPr/>
      </xdr:nvSpPr>
      <xdr:spPr bwMode="auto">
        <a:xfrm>
          <a:off x="4029903" y="7263226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5</xdr:col>
      <xdr:colOff>1420053</xdr:colOff>
      <xdr:row>210</xdr:row>
      <xdr:rowOff>42241</xdr:rowOff>
    </xdr:from>
    <xdr:ext cx="666750" cy="236468"/>
    <xdr:sp macro="" textlink="">
      <xdr:nvSpPr>
        <xdr:cNvPr id="597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942F1BA8-D70D-44CC-808C-102CEE0D1FAD}"/>
            </a:ext>
          </a:extLst>
        </xdr:cNvPr>
        <xdr:cNvSpPr/>
      </xdr:nvSpPr>
      <xdr:spPr bwMode="auto">
        <a:xfrm>
          <a:off x="4029903" y="7263226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5</xdr:col>
      <xdr:colOff>1420053</xdr:colOff>
      <xdr:row>210</xdr:row>
      <xdr:rowOff>42241</xdr:rowOff>
    </xdr:from>
    <xdr:ext cx="666750" cy="236468"/>
    <xdr:sp macro="" textlink="">
      <xdr:nvSpPr>
        <xdr:cNvPr id="598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D620DE50-0CE4-4166-9BF0-2FA79DA88F82}"/>
            </a:ext>
          </a:extLst>
        </xdr:cNvPr>
        <xdr:cNvSpPr/>
      </xdr:nvSpPr>
      <xdr:spPr bwMode="auto">
        <a:xfrm>
          <a:off x="4029903" y="7263226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5</xdr:col>
      <xdr:colOff>1420053</xdr:colOff>
      <xdr:row>210</xdr:row>
      <xdr:rowOff>42241</xdr:rowOff>
    </xdr:from>
    <xdr:ext cx="666750" cy="236468"/>
    <xdr:sp macro="" textlink="">
      <xdr:nvSpPr>
        <xdr:cNvPr id="599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E067B265-A14B-4356-AC11-61D6FF76060D}"/>
            </a:ext>
          </a:extLst>
        </xdr:cNvPr>
        <xdr:cNvSpPr/>
      </xdr:nvSpPr>
      <xdr:spPr bwMode="auto">
        <a:xfrm>
          <a:off x="4029903" y="7263226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5</xdr:col>
      <xdr:colOff>1420053</xdr:colOff>
      <xdr:row>210</xdr:row>
      <xdr:rowOff>42241</xdr:rowOff>
    </xdr:from>
    <xdr:ext cx="666750" cy="236468"/>
    <xdr:sp macro="" textlink="">
      <xdr:nvSpPr>
        <xdr:cNvPr id="600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6363CD93-0C44-4FBA-BFB2-A0AB4D5E754C}"/>
            </a:ext>
          </a:extLst>
        </xdr:cNvPr>
        <xdr:cNvSpPr/>
      </xdr:nvSpPr>
      <xdr:spPr bwMode="auto">
        <a:xfrm>
          <a:off x="4029903" y="7263226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5</xdr:col>
      <xdr:colOff>1420053</xdr:colOff>
      <xdr:row>210</xdr:row>
      <xdr:rowOff>42241</xdr:rowOff>
    </xdr:from>
    <xdr:ext cx="666750" cy="236468"/>
    <xdr:sp macro="" textlink="">
      <xdr:nvSpPr>
        <xdr:cNvPr id="601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A7B2D165-C62E-4ACA-B26C-5B412CF4E845}"/>
            </a:ext>
          </a:extLst>
        </xdr:cNvPr>
        <xdr:cNvSpPr/>
      </xdr:nvSpPr>
      <xdr:spPr bwMode="auto">
        <a:xfrm>
          <a:off x="4029903" y="7263226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5</xdr:col>
      <xdr:colOff>1420053</xdr:colOff>
      <xdr:row>211</xdr:row>
      <xdr:rowOff>42241</xdr:rowOff>
    </xdr:from>
    <xdr:ext cx="666750" cy="236468"/>
    <xdr:sp macro="" textlink="">
      <xdr:nvSpPr>
        <xdr:cNvPr id="602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BE7035BF-9DEB-48F7-A2E6-DCBE3F9D6C09}"/>
            </a:ext>
          </a:extLst>
        </xdr:cNvPr>
        <xdr:cNvSpPr/>
      </xdr:nvSpPr>
      <xdr:spPr bwMode="auto">
        <a:xfrm>
          <a:off x="4029903" y="7322281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5</xdr:col>
      <xdr:colOff>1420053</xdr:colOff>
      <xdr:row>211</xdr:row>
      <xdr:rowOff>42241</xdr:rowOff>
    </xdr:from>
    <xdr:ext cx="666750" cy="236468"/>
    <xdr:sp macro="" textlink="">
      <xdr:nvSpPr>
        <xdr:cNvPr id="603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181035D3-A004-405C-88A9-9333FD46F9C3}"/>
            </a:ext>
          </a:extLst>
        </xdr:cNvPr>
        <xdr:cNvSpPr/>
      </xdr:nvSpPr>
      <xdr:spPr bwMode="auto">
        <a:xfrm>
          <a:off x="4029903" y="7322281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5</xdr:col>
      <xdr:colOff>1420053</xdr:colOff>
      <xdr:row>211</xdr:row>
      <xdr:rowOff>42241</xdr:rowOff>
    </xdr:from>
    <xdr:ext cx="666750" cy="236468"/>
    <xdr:sp macro="" textlink="">
      <xdr:nvSpPr>
        <xdr:cNvPr id="604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63F71A41-C012-40A7-AC80-62CE5FBBA33E}"/>
            </a:ext>
          </a:extLst>
        </xdr:cNvPr>
        <xdr:cNvSpPr/>
      </xdr:nvSpPr>
      <xdr:spPr bwMode="auto">
        <a:xfrm>
          <a:off x="4029903" y="7322281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5</xdr:col>
      <xdr:colOff>1420053</xdr:colOff>
      <xdr:row>211</xdr:row>
      <xdr:rowOff>42241</xdr:rowOff>
    </xdr:from>
    <xdr:ext cx="666750" cy="236468"/>
    <xdr:sp macro="" textlink="">
      <xdr:nvSpPr>
        <xdr:cNvPr id="605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20BBDD2E-2179-4858-BBD5-F736D64A7349}"/>
            </a:ext>
          </a:extLst>
        </xdr:cNvPr>
        <xdr:cNvSpPr/>
      </xdr:nvSpPr>
      <xdr:spPr bwMode="auto">
        <a:xfrm>
          <a:off x="4029903" y="7322281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5</xdr:col>
      <xdr:colOff>1420053</xdr:colOff>
      <xdr:row>211</xdr:row>
      <xdr:rowOff>42241</xdr:rowOff>
    </xdr:from>
    <xdr:ext cx="666750" cy="236468"/>
    <xdr:sp macro="" textlink="">
      <xdr:nvSpPr>
        <xdr:cNvPr id="606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127AFD0F-5434-422B-8947-4A0EA290B7B3}"/>
            </a:ext>
          </a:extLst>
        </xdr:cNvPr>
        <xdr:cNvSpPr/>
      </xdr:nvSpPr>
      <xdr:spPr bwMode="auto">
        <a:xfrm>
          <a:off x="4029903" y="7322281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5</xdr:col>
      <xdr:colOff>1420053</xdr:colOff>
      <xdr:row>211</xdr:row>
      <xdr:rowOff>42241</xdr:rowOff>
    </xdr:from>
    <xdr:ext cx="666750" cy="236468"/>
    <xdr:sp macro="" textlink="">
      <xdr:nvSpPr>
        <xdr:cNvPr id="607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7318E4A2-7701-45A0-8BE9-0CC49FCF65A2}"/>
            </a:ext>
          </a:extLst>
        </xdr:cNvPr>
        <xdr:cNvSpPr/>
      </xdr:nvSpPr>
      <xdr:spPr bwMode="auto">
        <a:xfrm>
          <a:off x="4029903" y="7322281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9</xdr:col>
      <xdr:colOff>1420053</xdr:colOff>
      <xdr:row>211</xdr:row>
      <xdr:rowOff>42241</xdr:rowOff>
    </xdr:from>
    <xdr:ext cx="666750" cy="236468"/>
    <xdr:sp macro="" textlink="">
      <xdr:nvSpPr>
        <xdr:cNvPr id="608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67D1197B-D65F-48A7-9887-8DF2C32EE929}"/>
            </a:ext>
          </a:extLst>
        </xdr:cNvPr>
        <xdr:cNvSpPr/>
      </xdr:nvSpPr>
      <xdr:spPr bwMode="auto">
        <a:xfrm>
          <a:off x="5658678" y="7322281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9</xdr:col>
      <xdr:colOff>1420053</xdr:colOff>
      <xdr:row>211</xdr:row>
      <xdr:rowOff>42241</xdr:rowOff>
    </xdr:from>
    <xdr:ext cx="666750" cy="236468"/>
    <xdr:sp macro="" textlink="">
      <xdr:nvSpPr>
        <xdr:cNvPr id="609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2A43CA4D-AA25-45C8-920B-A518165D676D}"/>
            </a:ext>
          </a:extLst>
        </xdr:cNvPr>
        <xdr:cNvSpPr/>
      </xdr:nvSpPr>
      <xdr:spPr bwMode="auto">
        <a:xfrm>
          <a:off x="5658678" y="7322281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9</xdr:col>
      <xdr:colOff>1420053</xdr:colOff>
      <xdr:row>211</xdr:row>
      <xdr:rowOff>42241</xdr:rowOff>
    </xdr:from>
    <xdr:ext cx="666750" cy="236468"/>
    <xdr:sp macro="" textlink="">
      <xdr:nvSpPr>
        <xdr:cNvPr id="610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515A90FC-A942-40B2-BAF8-D9CFF58A6048}"/>
            </a:ext>
          </a:extLst>
        </xdr:cNvPr>
        <xdr:cNvSpPr/>
      </xdr:nvSpPr>
      <xdr:spPr bwMode="auto">
        <a:xfrm>
          <a:off x="5658678" y="7322281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9</xdr:col>
      <xdr:colOff>1420053</xdr:colOff>
      <xdr:row>211</xdr:row>
      <xdr:rowOff>42241</xdr:rowOff>
    </xdr:from>
    <xdr:ext cx="666750" cy="236468"/>
    <xdr:sp macro="" textlink="">
      <xdr:nvSpPr>
        <xdr:cNvPr id="611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4C6FF51B-C889-4356-8462-12977CBBCB45}"/>
            </a:ext>
          </a:extLst>
        </xdr:cNvPr>
        <xdr:cNvSpPr/>
      </xdr:nvSpPr>
      <xdr:spPr bwMode="auto">
        <a:xfrm>
          <a:off x="5658678" y="7322281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9</xdr:col>
      <xdr:colOff>1420053</xdr:colOff>
      <xdr:row>211</xdr:row>
      <xdr:rowOff>42241</xdr:rowOff>
    </xdr:from>
    <xdr:ext cx="666750" cy="236468"/>
    <xdr:sp macro="" textlink="">
      <xdr:nvSpPr>
        <xdr:cNvPr id="612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B9E601B8-C448-4994-B716-BF5421AD676C}"/>
            </a:ext>
          </a:extLst>
        </xdr:cNvPr>
        <xdr:cNvSpPr/>
      </xdr:nvSpPr>
      <xdr:spPr bwMode="auto">
        <a:xfrm>
          <a:off x="5658678" y="7322281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9</xdr:col>
      <xdr:colOff>1420053</xdr:colOff>
      <xdr:row>211</xdr:row>
      <xdr:rowOff>42241</xdr:rowOff>
    </xdr:from>
    <xdr:ext cx="666750" cy="236468"/>
    <xdr:sp macro="" textlink="">
      <xdr:nvSpPr>
        <xdr:cNvPr id="613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A8A34779-5A3E-4C71-AEBC-F9A5D3A7F859}"/>
            </a:ext>
          </a:extLst>
        </xdr:cNvPr>
        <xdr:cNvSpPr/>
      </xdr:nvSpPr>
      <xdr:spPr bwMode="auto">
        <a:xfrm>
          <a:off x="5658678" y="7322281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214</xdr:row>
      <xdr:rowOff>42241</xdr:rowOff>
    </xdr:from>
    <xdr:ext cx="666750" cy="236468"/>
    <xdr:sp macro="" textlink="">
      <xdr:nvSpPr>
        <xdr:cNvPr id="614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FC3697C-D77E-4547-B8AE-8253E877461A}"/>
            </a:ext>
          </a:extLst>
        </xdr:cNvPr>
        <xdr:cNvSpPr/>
      </xdr:nvSpPr>
      <xdr:spPr bwMode="auto">
        <a:xfrm>
          <a:off x="5077653" y="7446106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214</xdr:row>
      <xdr:rowOff>42241</xdr:rowOff>
    </xdr:from>
    <xdr:ext cx="666750" cy="236468"/>
    <xdr:sp macro="" textlink="">
      <xdr:nvSpPr>
        <xdr:cNvPr id="615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8DD6D4E9-DA9A-4D30-A920-AA4F5084B38E}"/>
            </a:ext>
          </a:extLst>
        </xdr:cNvPr>
        <xdr:cNvSpPr/>
      </xdr:nvSpPr>
      <xdr:spPr bwMode="auto">
        <a:xfrm>
          <a:off x="5077653" y="7446106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214</xdr:row>
      <xdr:rowOff>42241</xdr:rowOff>
    </xdr:from>
    <xdr:ext cx="666750" cy="236468"/>
    <xdr:sp macro="" textlink="">
      <xdr:nvSpPr>
        <xdr:cNvPr id="616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7AF72015-98D6-48E0-A921-2DD14E4E14AC}"/>
            </a:ext>
          </a:extLst>
        </xdr:cNvPr>
        <xdr:cNvSpPr/>
      </xdr:nvSpPr>
      <xdr:spPr bwMode="auto">
        <a:xfrm>
          <a:off x="5077653" y="7446106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214</xdr:row>
      <xdr:rowOff>42241</xdr:rowOff>
    </xdr:from>
    <xdr:ext cx="666750" cy="236468"/>
    <xdr:sp macro="" textlink="">
      <xdr:nvSpPr>
        <xdr:cNvPr id="617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C244832-5E26-4E4B-AA30-53A2A0E2CDCB}"/>
            </a:ext>
          </a:extLst>
        </xdr:cNvPr>
        <xdr:cNvSpPr/>
      </xdr:nvSpPr>
      <xdr:spPr bwMode="auto">
        <a:xfrm>
          <a:off x="5077653" y="7446106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214</xdr:row>
      <xdr:rowOff>42241</xdr:rowOff>
    </xdr:from>
    <xdr:ext cx="666750" cy="236468"/>
    <xdr:sp macro="" textlink="">
      <xdr:nvSpPr>
        <xdr:cNvPr id="618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4DA50C6A-8506-4AB0-B107-0881E349801B}"/>
            </a:ext>
          </a:extLst>
        </xdr:cNvPr>
        <xdr:cNvSpPr/>
      </xdr:nvSpPr>
      <xdr:spPr bwMode="auto">
        <a:xfrm>
          <a:off x="5077653" y="7446106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214</xdr:row>
      <xdr:rowOff>42241</xdr:rowOff>
    </xdr:from>
    <xdr:ext cx="666750" cy="236468"/>
    <xdr:sp macro="" textlink="">
      <xdr:nvSpPr>
        <xdr:cNvPr id="619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356E275C-5002-45AA-BD4B-6C32828C6600}"/>
            </a:ext>
          </a:extLst>
        </xdr:cNvPr>
        <xdr:cNvSpPr/>
      </xdr:nvSpPr>
      <xdr:spPr bwMode="auto">
        <a:xfrm>
          <a:off x="5077653" y="7446106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215</xdr:row>
      <xdr:rowOff>42241</xdr:rowOff>
    </xdr:from>
    <xdr:ext cx="666750" cy="236468"/>
    <xdr:sp macro="" textlink="">
      <xdr:nvSpPr>
        <xdr:cNvPr id="620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512A403B-AA40-40E0-90D5-A928B22E37E1}"/>
            </a:ext>
          </a:extLst>
        </xdr:cNvPr>
        <xdr:cNvSpPr/>
      </xdr:nvSpPr>
      <xdr:spPr bwMode="auto">
        <a:xfrm>
          <a:off x="5077653" y="7495636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215</xdr:row>
      <xdr:rowOff>42241</xdr:rowOff>
    </xdr:from>
    <xdr:ext cx="666750" cy="236468"/>
    <xdr:sp macro="" textlink="">
      <xdr:nvSpPr>
        <xdr:cNvPr id="621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C252A2A6-B219-4390-9113-653EA36BD19D}"/>
            </a:ext>
          </a:extLst>
        </xdr:cNvPr>
        <xdr:cNvSpPr/>
      </xdr:nvSpPr>
      <xdr:spPr bwMode="auto">
        <a:xfrm>
          <a:off x="5077653" y="7495636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215</xdr:row>
      <xdr:rowOff>42241</xdr:rowOff>
    </xdr:from>
    <xdr:ext cx="666750" cy="236468"/>
    <xdr:sp macro="" textlink="">
      <xdr:nvSpPr>
        <xdr:cNvPr id="622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FF6D3939-CA8D-46F5-9BC3-43AB3195C333}"/>
            </a:ext>
          </a:extLst>
        </xdr:cNvPr>
        <xdr:cNvSpPr/>
      </xdr:nvSpPr>
      <xdr:spPr bwMode="auto">
        <a:xfrm>
          <a:off x="5077653" y="7495636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215</xdr:row>
      <xdr:rowOff>42241</xdr:rowOff>
    </xdr:from>
    <xdr:ext cx="666750" cy="236468"/>
    <xdr:sp macro="" textlink="">
      <xdr:nvSpPr>
        <xdr:cNvPr id="623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376493DF-D680-43BD-9951-181E33623C13}"/>
            </a:ext>
          </a:extLst>
        </xdr:cNvPr>
        <xdr:cNvSpPr/>
      </xdr:nvSpPr>
      <xdr:spPr bwMode="auto">
        <a:xfrm>
          <a:off x="5077653" y="7495636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215</xdr:row>
      <xdr:rowOff>42241</xdr:rowOff>
    </xdr:from>
    <xdr:ext cx="666750" cy="236468"/>
    <xdr:sp macro="" textlink="">
      <xdr:nvSpPr>
        <xdr:cNvPr id="624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E2AA4965-4D72-4916-A1E2-03AB980D59A5}"/>
            </a:ext>
          </a:extLst>
        </xdr:cNvPr>
        <xdr:cNvSpPr/>
      </xdr:nvSpPr>
      <xdr:spPr bwMode="auto">
        <a:xfrm>
          <a:off x="5077653" y="7495636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215</xdr:row>
      <xdr:rowOff>42241</xdr:rowOff>
    </xdr:from>
    <xdr:ext cx="666750" cy="236468"/>
    <xdr:sp macro="" textlink="">
      <xdr:nvSpPr>
        <xdr:cNvPr id="625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6F7E4EDD-7F0D-46CB-BE37-BF3A4FB49933}"/>
            </a:ext>
          </a:extLst>
        </xdr:cNvPr>
        <xdr:cNvSpPr/>
      </xdr:nvSpPr>
      <xdr:spPr bwMode="auto">
        <a:xfrm>
          <a:off x="5077653" y="7495636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5</xdr:col>
      <xdr:colOff>1420053</xdr:colOff>
      <xdr:row>214</xdr:row>
      <xdr:rowOff>42241</xdr:rowOff>
    </xdr:from>
    <xdr:ext cx="666750" cy="236468"/>
    <xdr:sp macro="" textlink="">
      <xdr:nvSpPr>
        <xdr:cNvPr id="626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365EB79C-4637-46D1-A7AD-57A5D078ED45}"/>
            </a:ext>
          </a:extLst>
        </xdr:cNvPr>
        <xdr:cNvSpPr/>
      </xdr:nvSpPr>
      <xdr:spPr bwMode="auto">
        <a:xfrm>
          <a:off x="4029903" y="7446106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5</xdr:col>
      <xdr:colOff>1420053</xdr:colOff>
      <xdr:row>214</xdr:row>
      <xdr:rowOff>42241</xdr:rowOff>
    </xdr:from>
    <xdr:ext cx="666750" cy="236468"/>
    <xdr:sp macro="" textlink="">
      <xdr:nvSpPr>
        <xdr:cNvPr id="627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EEE4BC0E-DAC6-4DE6-9F66-F64C287AE643}"/>
            </a:ext>
          </a:extLst>
        </xdr:cNvPr>
        <xdr:cNvSpPr/>
      </xdr:nvSpPr>
      <xdr:spPr bwMode="auto">
        <a:xfrm>
          <a:off x="4029903" y="7446106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5</xdr:col>
      <xdr:colOff>1420053</xdr:colOff>
      <xdr:row>214</xdr:row>
      <xdr:rowOff>42241</xdr:rowOff>
    </xdr:from>
    <xdr:ext cx="666750" cy="236468"/>
    <xdr:sp macro="" textlink="">
      <xdr:nvSpPr>
        <xdr:cNvPr id="628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B2DA113D-5D22-4F6E-8981-A3DAE076A611}"/>
            </a:ext>
          </a:extLst>
        </xdr:cNvPr>
        <xdr:cNvSpPr/>
      </xdr:nvSpPr>
      <xdr:spPr bwMode="auto">
        <a:xfrm>
          <a:off x="4029903" y="7446106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5</xdr:col>
      <xdr:colOff>1420053</xdr:colOff>
      <xdr:row>214</xdr:row>
      <xdr:rowOff>42241</xdr:rowOff>
    </xdr:from>
    <xdr:ext cx="666750" cy="236468"/>
    <xdr:sp macro="" textlink="">
      <xdr:nvSpPr>
        <xdr:cNvPr id="629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362435B1-7F49-41A5-8D4E-7C1659B6D14C}"/>
            </a:ext>
          </a:extLst>
        </xdr:cNvPr>
        <xdr:cNvSpPr/>
      </xdr:nvSpPr>
      <xdr:spPr bwMode="auto">
        <a:xfrm>
          <a:off x="4029903" y="7446106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5</xdr:col>
      <xdr:colOff>1420053</xdr:colOff>
      <xdr:row>214</xdr:row>
      <xdr:rowOff>42241</xdr:rowOff>
    </xdr:from>
    <xdr:ext cx="666750" cy="236468"/>
    <xdr:sp macro="" textlink="">
      <xdr:nvSpPr>
        <xdr:cNvPr id="630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E8EB4CA9-17D2-4F85-8937-0949EDF30181}"/>
            </a:ext>
          </a:extLst>
        </xdr:cNvPr>
        <xdr:cNvSpPr/>
      </xdr:nvSpPr>
      <xdr:spPr bwMode="auto">
        <a:xfrm>
          <a:off x="4029903" y="7446106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5</xdr:col>
      <xdr:colOff>1420053</xdr:colOff>
      <xdr:row>214</xdr:row>
      <xdr:rowOff>42241</xdr:rowOff>
    </xdr:from>
    <xdr:ext cx="666750" cy="236468"/>
    <xdr:sp macro="" textlink="">
      <xdr:nvSpPr>
        <xdr:cNvPr id="631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93C255C6-D2DF-4AC5-9F8E-163C7310BB1D}"/>
            </a:ext>
          </a:extLst>
        </xdr:cNvPr>
        <xdr:cNvSpPr/>
      </xdr:nvSpPr>
      <xdr:spPr bwMode="auto">
        <a:xfrm>
          <a:off x="4029903" y="7446106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5</xdr:col>
      <xdr:colOff>1420053</xdr:colOff>
      <xdr:row>215</xdr:row>
      <xdr:rowOff>42241</xdr:rowOff>
    </xdr:from>
    <xdr:ext cx="666750" cy="236468"/>
    <xdr:sp macro="" textlink="">
      <xdr:nvSpPr>
        <xdr:cNvPr id="632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E31F5274-6A1F-49DD-A407-252DA63CD1E2}"/>
            </a:ext>
          </a:extLst>
        </xdr:cNvPr>
        <xdr:cNvSpPr/>
      </xdr:nvSpPr>
      <xdr:spPr bwMode="auto">
        <a:xfrm>
          <a:off x="4029903" y="7495636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5</xdr:col>
      <xdr:colOff>1420053</xdr:colOff>
      <xdr:row>215</xdr:row>
      <xdr:rowOff>42241</xdr:rowOff>
    </xdr:from>
    <xdr:ext cx="666750" cy="236468"/>
    <xdr:sp macro="" textlink="">
      <xdr:nvSpPr>
        <xdr:cNvPr id="633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D4088E40-E8FD-45DC-B96B-E4AE150D7CB9}"/>
            </a:ext>
          </a:extLst>
        </xdr:cNvPr>
        <xdr:cNvSpPr/>
      </xdr:nvSpPr>
      <xdr:spPr bwMode="auto">
        <a:xfrm>
          <a:off x="4029903" y="7495636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5</xdr:col>
      <xdr:colOff>1420053</xdr:colOff>
      <xdr:row>215</xdr:row>
      <xdr:rowOff>42241</xdr:rowOff>
    </xdr:from>
    <xdr:ext cx="666750" cy="236468"/>
    <xdr:sp macro="" textlink="">
      <xdr:nvSpPr>
        <xdr:cNvPr id="634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567B806C-B4D5-420A-9CA1-BC329BE107E8}"/>
            </a:ext>
          </a:extLst>
        </xdr:cNvPr>
        <xdr:cNvSpPr/>
      </xdr:nvSpPr>
      <xdr:spPr bwMode="auto">
        <a:xfrm>
          <a:off x="4029903" y="7495636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5</xdr:col>
      <xdr:colOff>1420053</xdr:colOff>
      <xdr:row>215</xdr:row>
      <xdr:rowOff>42241</xdr:rowOff>
    </xdr:from>
    <xdr:ext cx="666750" cy="236468"/>
    <xdr:sp macro="" textlink="">
      <xdr:nvSpPr>
        <xdr:cNvPr id="635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884D63B-F45F-4B4F-B14A-8E8320787A55}"/>
            </a:ext>
          </a:extLst>
        </xdr:cNvPr>
        <xdr:cNvSpPr/>
      </xdr:nvSpPr>
      <xdr:spPr bwMode="auto">
        <a:xfrm>
          <a:off x="4029903" y="7495636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5</xdr:col>
      <xdr:colOff>1420053</xdr:colOff>
      <xdr:row>215</xdr:row>
      <xdr:rowOff>42241</xdr:rowOff>
    </xdr:from>
    <xdr:ext cx="666750" cy="236468"/>
    <xdr:sp macro="" textlink="">
      <xdr:nvSpPr>
        <xdr:cNvPr id="636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71CDF55F-240D-47A1-8165-93EFAFD69064}"/>
            </a:ext>
          </a:extLst>
        </xdr:cNvPr>
        <xdr:cNvSpPr/>
      </xdr:nvSpPr>
      <xdr:spPr bwMode="auto">
        <a:xfrm>
          <a:off x="4029903" y="7495636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5</xdr:col>
      <xdr:colOff>1420053</xdr:colOff>
      <xdr:row>215</xdr:row>
      <xdr:rowOff>42241</xdr:rowOff>
    </xdr:from>
    <xdr:ext cx="666750" cy="236468"/>
    <xdr:sp macro="" textlink="">
      <xdr:nvSpPr>
        <xdr:cNvPr id="637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4A4C8A9E-618F-42BF-AB4C-9337C18EDB13}"/>
            </a:ext>
          </a:extLst>
        </xdr:cNvPr>
        <xdr:cNvSpPr/>
      </xdr:nvSpPr>
      <xdr:spPr bwMode="auto">
        <a:xfrm>
          <a:off x="4029903" y="7495636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133</xdr:row>
      <xdr:rowOff>42241</xdr:rowOff>
    </xdr:from>
    <xdr:ext cx="666750" cy="236468"/>
    <xdr:sp macro="" textlink="">
      <xdr:nvSpPr>
        <xdr:cNvPr id="638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42F848CA-7784-47D6-B98B-118DBDB21FAA}"/>
            </a:ext>
          </a:extLst>
        </xdr:cNvPr>
        <xdr:cNvSpPr/>
      </xdr:nvSpPr>
      <xdr:spPr bwMode="auto">
        <a:xfrm>
          <a:off x="5077653" y="4690524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133</xdr:row>
      <xdr:rowOff>42241</xdr:rowOff>
    </xdr:from>
    <xdr:ext cx="666750" cy="236468"/>
    <xdr:sp macro="" textlink="">
      <xdr:nvSpPr>
        <xdr:cNvPr id="639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99A7CCA2-B77B-4AF6-9904-C2993CB1196B}"/>
            </a:ext>
          </a:extLst>
        </xdr:cNvPr>
        <xdr:cNvSpPr/>
      </xdr:nvSpPr>
      <xdr:spPr bwMode="auto">
        <a:xfrm>
          <a:off x="5077653" y="4690524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133</xdr:row>
      <xdr:rowOff>42241</xdr:rowOff>
    </xdr:from>
    <xdr:ext cx="666750" cy="236468"/>
    <xdr:sp macro="" textlink="">
      <xdr:nvSpPr>
        <xdr:cNvPr id="640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EB02F097-BE28-48DC-B88B-D09A8936B163}"/>
            </a:ext>
          </a:extLst>
        </xdr:cNvPr>
        <xdr:cNvSpPr/>
      </xdr:nvSpPr>
      <xdr:spPr bwMode="auto">
        <a:xfrm>
          <a:off x="5077653" y="4690524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133</xdr:row>
      <xdr:rowOff>42241</xdr:rowOff>
    </xdr:from>
    <xdr:ext cx="666750" cy="236468"/>
    <xdr:sp macro="" textlink="">
      <xdr:nvSpPr>
        <xdr:cNvPr id="641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3D88E7D3-0120-4830-8C7C-4A6CF77FD670}"/>
            </a:ext>
          </a:extLst>
        </xdr:cNvPr>
        <xdr:cNvSpPr/>
      </xdr:nvSpPr>
      <xdr:spPr bwMode="auto">
        <a:xfrm>
          <a:off x="5077653" y="4690524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134</xdr:row>
      <xdr:rowOff>42241</xdr:rowOff>
    </xdr:from>
    <xdr:ext cx="666750" cy="236468"/>
    <xdr:sp macro="" textlink="">
      <xdr:nvSpPr>
        <xdr:cNvPr id="642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B8D2A2A6-CD4D-431A-8008-D598590BE0A0}"/>
            </a:ext>
          </a:extLst>
        </xdr:cNvPr>
        <xdr:cNvSpPr/>
      </xdr:nvSpPr>
      <xdr:spPr bwMode="auto">
        <a:xfrm>
          <a:off x="5077653" y="4770534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134</xdr:row>
      <xdr:rowOff>42241</xdr:rowOff>
    </xdr:from>
    <xdr:ext cx="666750" cy="236468"/>
    <xdr:sp macro="" textlink="">
      <xdr:nvSpPr>
        <xdr:cNvPr id="643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80152304-B813-4F15-B5E5-0F49BD25FF24}"/>
            </a:ext>
          </a:extLst>
        </xdr:cNvPr>
        <xdr:cNvSpPr/>
      </xdr:nvSpPr>
      <xdr:spPr bwMode="auto">
        <a:xfrm>
          <a:off x="5077653" y="4770534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134</xdr:row>
      <xdr:rowOff>42241</xdr:rowOff>
    </xdr:from>
    <xdr:ext cx="666750" cy="236468"/>
    <xdr:sp macro="" textlink="">
      <xdr:nvSpPr>
        <xdr:cNvPr id="644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FD2D9379-DE77-4410-BA3F-4505F1AF02FE}"/>
            </a:ext>
          </a:extLst>
        </xdr:cNvPr>
        <xdr:cNvSpPr/>
      </xdr:nvSpPr>
      <xdr:spPr bwMode="auto">
        <a:xfrm>
          <a:off x="5077653" y="4770534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134</xdr:row>
      <xdr:rowOff>42241</xdr:rowOff>
    </xdr:from>
    <xdr:ext cx="666750" cy="236468"/>
    <xdr:sp macro="" textlink="">
      <xdr:nvSpPr>
        <xdr:cNvPr id="645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8A429188-A53A-41AF-9BF8-726A2970C5B4}"/>
            </a:ext>
          </a:extLst>
        </xdr:cNvPr>
        <xdr:cNvSpPr/>
      </xdr:nvSpPr>
      <xdr:spPr bwMode="auto">
        <a:xfrm>
          <a:off x="5077653" y="4770534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135</xdr:row>
      <xdr:rowOff>42241</xdr:rowOff>
    </xdr:from>
    <xdr:ext cx="666750" cy="236468"/>
    <xdr:sp macro="" textlink="">
      <xdr:nvSpPr>
        <xdr:cNvPr id="646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8EDC9C44-86DA-4281-A918-B5210AE0A4B7}"/>
            </a:ext>
          </a:extLst>
        </xdr:cNvPr>
        <xdr:cNvSpPr/>
      </xdr:nvSpPr>
      <xdr:spPr bwMode="auto">
        <a:xfrm>
          <a:off x="5077653" y="4821016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135</xdr:row>
      <xdr:rowOff>42241</xdr:rowOff>
    </xdr:from>
    <xdr:ext cx="666750" cy="236468"/>
    <xdr:sp macro="" textlink="">
      <xdr:nvSpPr>
        <xdr:cNvPr id="647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F76B335-3275-47E8-964F-B6CF54AF4C47}"/>
            </a:ext>
          </a:extLst>
        </xdr:cNvPr>
        <xdr:cNvSpPr/>
      </xdr:nvSpPr>
      <xdr:spPr bwMode="auto">
        <a:xfrm>
          <a:off x="5077653" y="4821016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135</xdr:row>
      <xdr:rowOff>42241</xdr:rowOff>
    </xdr:from>
    <xdr:ext cx="666750" cy="236468"/>
    <xdr:sp macro="" textlink="">
      <xdr:nvSpPr>
        <xdr:cNvPr id="648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87847D45-9B7B-4939-9FA9-724C8CE26A06}"/>
            </a:ext>
          </a:extLst>
        </xdr:cNvPr>
        <xdr:cNvSpPr/>
      </xdr:nvSpPr>
      <xdr:spPr bwMode="auto">
        <a:xfrm>
          <a:off x="5077653" y="4821016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135</xdr:row>
      <xdr:rowOff>42241</xdr:rowOff>
    </xdr:from>
    <xdr:ext cx="666750" cy="236468"/>
    <xdr:sp macro="" textlink="">
      <xdr:nvSpPr>
        <xdr:cNvPr id="649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5EB714DE-1B65-48F8-9C95-30B38D3C3695}"/>
            </a:ext>
          </a:extLst>
        </xdr:cNvPr>
        <xdr:cNvSpPr/>
      </xdr:nvSpPr>
      <xdr:spPr bwMode="auto">
        <a:xfrm>
          <a:off x="5077653" y="4821016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136</xdr:row>
      <xdr:rowOff>42241</xdr:rowOff>
    </xdr:from>
    <xdr:ext cx="666750" cy="236468"/>
    <xdr:sp macro="" textlink="">
      <xdr:nvSpPr>
        <xdr:cNvPr id="650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E574FAAB-8B34-40F8-89B5-695CF464F8C5}"/>
            </a:ext>
          </a:extLst>
        </xdr:cNvPr>
        <xdr:cNvSpPr/>
      </xdr:nvSpPr>
      <xdr:spPr bwMode="auto">
        <a:xfrm>
          <a:off x="5077653" y="4874356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136</xdr:row>
      <xdr:rowOff>42241</xdr:rowOff>
    </xdr:from>
    <xdr:ext cx="666750" cy="236468"/>
    <xdr:sp macro="" textlink="">
      <xdr:nvSpPr>
        <xdr:cNvPr id="651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35AD15C8-B71A-4544-B7A3-47A2895CD554}"/>
            </a:ext>
          </a:extLst>
        </xdr:cNvPr>
        <xdr:cNvSpPr/>
      </xdr:nvSpPr>
      <xdr:spPr bwMode="auto">
        <a:xfrm>
          <a:off x="5077653" y="4874356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136</xdr:row>
      <xdr:rowOff>42241</xdr:rowOff>
    </xdr:from>
    <xdr:ext cx="666750" cy="236468"/>
    <xdr:sp macro="" textlink="">
      <xdr:nvSpPr>
        <xdr:cNvPr id="652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FD15FB97-D682-4F72-B0F2-DF147EB43F0E}"/>
            </a:ext>
          </a:extLst>
        </xdr:cNvPr>
        <xdr:cNvSpPr/>
      </xdr:nvSpPr>
      <xdr:spPr bwMode="auto">
        <a:xfrm>
          <a:off x="5077653" y="4874356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136</xdr:row>
      <xdr:rowOff>42241</xdr:rowOff>
    </xdr:from>
    <xdr:ext cx="666750" cy="236468"/>
    <xdr:sp macro="" textlink="">
      <xdr:nvSpPr>
        <xdr:cNvPr id="653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9F13FA69-BFE0-4300-ABFD-B0920380A85C}"/>
            </a:ext>
          </a:extLst>
        </xdr:cNvPr>
        <xdr:cNvSpPr/>
      </xdr:nvSpPr>
      <xdr:spPr bwMode="auto">
        <a:xfrm>
          <a:off x="5077653" y="4874356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137</xdr:row>
      <xdr:rowOff>42241</xdr:rowOff>
    </xdr:from>
    <xdr:ext cx="666750" cy="236468"/>
    <xdr:sp macro="" textlink="">
      <xdr:nvSpPr>
        <xdr:cNvPr id="654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BD643D84-9002-46B2-B2B1-043670042F0F}"/>
            </a:ext>
          </a:extLst>
        </xdr:cNvPr>
        <xdr:cNvSpPr/>
      </xdr:nvSpPr>
      <xdr:spPr bwMode="auto">
        <a:xfrm>
          <a:off x="5077653" y="4924839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137</xdr:row>
      <xdr:rowOff>42241</xdr:rowOff>
    </xdr:from>
    <xdr:ext cx="666750" cy="236468"/>
    <xdr:sp macro="" textlink="">
      <xdr:nvSpPr>
        <xdr:cNvPr id="655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EBDACE7C-5931-407B-AA85-85CBAD7BEE1B}"/>
            </a:ext>
          </a:extLst>
        </xdr:cNvPr>
        <xdr:cNvSpPr/>
      </xdr:nvSpPr>
      <xdr:spPr bwMode="auto">
        <a:xfrm>
          <a:off x="5077653" y="4924839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137</xdr:row>
      <xdr:rowOff>42241</xdr:rowOff>
    </xdr:from>
    <xdr:ext cx="666750" cy="236468"/>
    <xdr:sp macro="" textlink="">
      <xdr:nvSpPr>
        <xdr:cNvPr id="656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AD60C172-0B7D-426C-A898-749E7BD41955}"/>
            </a:ext>
          </a:extLst>
        </xdr:cNvPr>
        <xdr:cNvSpPr/>
      </xdr:nvSpPr>
      <xdr:spPr bwMode="auto">
        <a:xfrm>
          <a:off x="5077653" y="4924839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137</xdr:row>
      <xdr:rowOff>42241</xdr:rowOff>
    </xdr:from>
    <xdr:ext cx="666750" cy="236468"/>
    <xdr:sp macro="" textlink="">
      <xdr:nvSpPr>
        <xdr:cNvPr id="657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318680AA-D6C4-44CB-BAC0-25CC9E5D2F06}"/>
            </a:ext>
          </a:extLst>
        </xdr:cNvPr>
        <xdr:cNvSpPr/>
      </xdr:nvSpPr>
      <xdr:spPr bwMode="auto">
        <a:xfrm>
          <a:off x="5077653" y="4924839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209</xdr:row>
      <xdr:rowOff>42241</xdr:rowOff>
    </xdr:from>
    <xdr:ext cx="666750" cy="236468"/>
    <xdr:sp macro="" textlink="">
      <xdr:nvSpPr>
        <xdr:cNvPr id="658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D9321149-A662-4FC0-A9A6-C273D0699444}"/>
            </a:ext>
          </a:extLst>
        </xdr:cNvPr>
        <xdr:cNvSpPr/>
      </xdr:nvSpPr>
      <xdr:spPr bwMode="auto">
        <a:xfrm>
          <a:off x="5077653" y="7220364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209</xdr:row>
      <xdr:rowOff>42241</xdr:rowOff>
    </xdr:from>
    <xdr:ext cx="666750" cy="236468"/>
    <xdr:sp macro="" textlink="">
      <xdr:nvSpPr>
        <xdr:cNvPr id="659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7D73EE02-2516-4B95-AC28-72A635D700E6}"/>
            </a:ext>
          </a:extLst>
        </xdr:cNvPr>
        <xdr:cNvSpPr/>
      </xdr:nvSpPr>
      <xdr:spPr bwMode="auto">
        <a:xfrm>
          <a:off x="5077653" y="7220364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209</xdr:row>
      <xdr:rowOff>42241</xdr:rowOff>
    </xdr:from>
    <xdr:ext cx="666750" cy="236468"/>
    <xdr:sp macro="" textlink="">
      <xdr:nvSpPr>
        <xdr:cNvPr id="660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32B831EF-584F-4815-BAA9-938284285447}"/>
            </a:ext>
          </a:extLst>
        </xdr:cNvPr>
        <xdr:cNvSpPr/>
      </xdr:nvSpPr>
      <xdr:spPr bwMode="auto">
        <a:xfrm>
          <a:off x="5077653" y="7220364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209</xdr:row>
      <xdr:rowOff>42241</xdr:rowOff>
    </xdr:from>
    <xdr:ext cx="666750" cy="236468"/>
    <xdr:sp macro="" textlink="">
      <xdr:nvSpPr>
        <xdr:cNvPr id="661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5C8EC72A-E4E9-4346-948A-85875468ABAE}"/>
            </a:ext>
          </a:extLst>
        </xdr:cNvPr>
        <xdr:cNvSpPr/>
      </xdr:nvSpPr>
      <xdr:spPr bwMode="auto">
        <a:xfrm>
          <a:off x="5077653" y="7220364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209</xdr:row>
      <xdr:rowOff>42241</xdr:rowOff>
    </xdr:from>
    <xdr:ext cx="666750" cy="236468"/>
    <xdr:sp macro="" textlink="">
      <xdr:nvSpPr>
        <xdr:cNvPr id="662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46807DD6-896D-4926-955A-0705F7F86EBE}"/>
            </a:ext>
          </a:extLst>
        </xdr:cNvPr>
        <xdr:cNvSpPr/>
      </xdr:nvSpPr>
      <xdr:spPr bwMode="auto">
        <a:xfrm>
          <a:off x="5077653" y="7220364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209</xdr:row>
      <xdr:rowOff>42241</xdr:rowOff>
    </xdr:from>
    <xdr:ext cx="666750" cy="236468"/>
    <xdr:sp macro="" textlink="">
      <xdr:nvSpPr>
        <xdr:cNvPr id="663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0D4B2CC6-42B5-41C3-BB1B-39054C18B078}"/>
            </a:ext>
          </a:extLst>
        </xdr:cNvPr>
        <xdr:cNvSpPr/>
      </xdr:nvSpPr>
      <xdr:spPr bwMode="auto">
        <a:xfrm>
          <a:off x="5077653" y="7220364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209</xdr:row>
      <xdr:rowOff>42241</xdr:rowOff>
    </xdr:from>
    <xdr:ext cx="666750" cy="236468"/>
    <xdr:sp macro="" textlink="">
      <xdr:nvSpPr>
        <xdr:cNvPr id="664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FCC9E870-8281-4C68-B63E-30FD8CBFD89A}"/>
            </a:ext>
          </a:extLst>
        </xdr:cNvPr>
        <xdr:cNvSpPr/>
      </xdr:nvSpPr>
      <xdr:spPr bwMode="auto">
        <a:xfrm>
          <a:off x="5077653" y="7220364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209</xdr:row>
      <xdr:rowOff>42241</xdr:rowOff>
    </xdr:from>
    <xdr:ext cx="666750" cy="236468"/>
    <xdr:sp macro="" textlink="">
      <xdr:nvSpPr>
        <xdr:cNvPr id="665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1E9FD2BA-DFED-44DA-987E-D0755F1DEA71}"/>
            </a:ext>
          </a:extLst>
        </xdr:cNvPr>
        <xdr:cNvSpPr/>
      </xdr:nvSpPr>
      <xdr:spPr bwMode="auto">
        <a:xfrm>
          <a:off x="5077653" y="7220364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209</xdr:row>
      <xdr:rowOff>42241</xdr:rowOff>
    </xdr:from>
    <xdr:ext cx="666750" cy="236468"/>
    <xdr:sp macro="" textlink="">
      <xdr:nvSpPr>
        <xdr:cNvPr id="666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B070930F-041F-4777-8C2F-8D761415F2BB}"/>
            </a:ext>
          </a:extLst>
        </xdr:cNvPr>
        <xdr:cNvSpPr/>
      </xdr:nvSpPr>
      <xdr:spPr bwMode="auto">
        <a:xfrm>
          <a:off x="5077653" y="7220364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210</xdr:row>
      <xdr:rowOff>42241</xdr:rowOff>
    </xdr:from>
    <xdr:ext cx="666750" cy="236468"/>
    <xdr:sp macro="" textlink="">
      <xdr:nvSpPr>
        <xdr:cNvPr id="667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E31A01FC-F779-4D5C-B930-29C7FFBDF464}"/>
            </a:ext>
          </a:extLst>
        </xdr:cNvPr>
        <xdr:cNvSpPr/>
      </xdr:nvSpPr>
      <xdr:spPr bwMode="auto">
        <a:xfrm>
          <a:off x="5077653" y="7263226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210</xdr:row>
      <xdr:rowOff>42241</xdr:rowOff>
    </xdr:from>
    <xdr:ext cx="666750" cy="236468"/>
    <xdr:sp macro="" textlink="">
      <xdr:nvSpPr>
        <xdr:cNvPr id="668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56CBED72-CF56-440B-94EA-0D283964619B}"/>
            </a:ext>
          </a:extLst>
        </xdr:cNvPr>
        <xdr:cNvSpPr/>
      </xdr:nvSpPr>
      <xdr:spPr bwMode="auto">
        <a:xfrm>
          <a:off x="5077653" y="7263226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210</xdr:row>
      <xdr:rowOff>42241</xdr:rowOff>
    </xdr:from>
    <xdr:ext cx="666750" cy="236468"/>
    <xdr:sp macro="" textlink="">
      <xdr:nvSpPr>
        <xdr:cNvPr id="669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4E056284-C821-4F0E-BD5C-2D2EBCC2D5AD}"/>
            </a:ext>
          </a:extLst>
        </xdr:cNvPr>
        <xdr:cNvSpPr/>
      </xdr:nvSpPr>
      <xdr:spPr bwMode="auto">
        <a:xfrm>
          <a:off x="5077653" y="7263226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210</xdr:row>
      <xdr:rowOff>42241</xdr:rowOff>
    </xdr:from>
    <xdr:ext cx="666750" cy="236468"/>
    <xdr:sp macro="" textlink="">
      <xdr:nvSpPr>
        <xdr:cNvPr id="670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C63B7956-20E3-4D63-AA01-D99C68C48303}"/>
            </a:ext>
          </a:extLst>
        </xdr:cNvPr>
        <xdr:cNvSpPr/>
      </xdr:nvSpPr>
      <xdr:spPr bwMode="auto">
        <a:xfrm>
          <a:off x="5077653" y="7263226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210</xdr:row>
      <xdr:rowOff>42241</xdr:rowOff>
    </xdr:from>
    <xdr:ext cx="666750" cy="236468"/>
    <xdr:sp macro="" textlink="">
      <xdr:nvSpPr>
        <xdr:cNvPr id="671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2EAF728C-8A53-473C-AB30-B2B80E4BCEB6}"/>
            </a:ext>
          </a:extLst>
        </xdr:cNvPr>
        <xdr:cNvSpPr/>
      </xdr:nvSpPr>
      <xdr:spPr bwMode="auto">
        <a:xfrm>
          <a:off x="5077653" y="7263226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210</xdr:row>
      <xdr:rowOff>42241</xdr:rowOff>
    </xdr:from>
    <xdr:ext cx="666750" cy="236468"/>
    <xdr:sp macro="" textlink="">
      <xdr:nvSpPr>
        <xdr:cNvPr id="672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2C537F5A-3E0A-4E0E-A618-6F4241926AB5}"/>
            </a:ext>
          </a:extLst>
        </xdr:cNvPr>
        <xdr:cNvSpPr/>
      </xdr:nvSpPr>
      <xdr:spPr bwMode="auto">
        <a:xfrm>
          <a:off x="5077653" y="7263226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210</xdr:row>
      <xdr:rowOff>42241</xdr:rowOff>
    </xdr:from>
    <xdr:ext cx="666750" cy="236468"/>
    <xdr:sp macro="" textlink="">
      <xdr:nvSpPr>
        <xdr:cNvPr id="673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5A2773C7-09A8-47A0-858F-AD9489131022}"/>
            </a:ext>
          </a:extLst>
        </xdr:cNvPr>
        <xdr:cNvSpPr/>
      </xdr:nvSpPr>
      <xdr:spPr bwMode="auto">
        <a:xfrm>
          <a:off x="5077653" y="7263226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210</xdr:row>
      <xdr:rowOff>42241</xdr:rowOff>
    </xdr:from>
    <xdr:ext cx="666750" cy="236468"/>
    <xdr:sp macro="" textlink="">
      <xdr:nvSpPr>
        <xdr:cNvPr id="674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4BA30AA0-6F44-4DD8-AF03-127543D53C76}"/>
            </a:ext>
          </a:extLst>
        </xdr:cNvPr>
        <xdr:cNvSpPr/>
      </xdr:nvSpPr>
      <xdr:spPr bwMode="auto">
        <a:xfrm>
          <a:off x="5077653" y="7263226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210</xdr:row>
      <xdr:rowOff>42241</xdr:rowOff>
    </xdr:from>
    <xdr:ext cx="666750" cy="236468"/>
    <xdr:sp macro="" textlink="">
      <xdr:nvSpPr>
        <xdr:cNvPr id="675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1D7298BC-1957-4169-9413-ADA019FC6490}"/>
            </a:ext>
          </a:extLst>
        </xdr:cNvPr>
        <xdr:cNvSpPr/>
      </xdr:nvSpPr>
      <xdr:spPr bwMode="auto">
        <a:xfrm>
          <a:off x="5077653" y="7263226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5B467-D84F-462D-AAEE-4A226A851EAA}">
  <sheetPr>
    <tabColor rgb="FFFF0000"/>
  </sheetPr>
  <dimension ref="A1:W249"/>
  <sheetViews>
    <sheetView tabSelected="1" workbookViewId="0">
      <selection activeCell="F6" sqref="F6"/>
    </sheetView>
  </sheetViews>
  <sheetFormatPr defaultColWidth="9" defaultRowHeight="13.5" outlineLevelCol="1" x14ac:dyDescent="0.3"/>
  <cols>
    <col min="1" max="1" width="2.25" style="1" customWidth="1"/>
    <col min="2" max="2" width="3.625" style="1" customWidth="1"/>
    <col min="3" max="3" width="18.75" style="1" customWidth="1"/>
    <col min="4" max="4" width="13" style="1" customWidth="1"/>
    <col min="5" max="5" width="4" style="1" customWidth="1"/>
    <col min="6" max="6" width="11.25" style="1" customWidth="1"/>
    <col min="7" max="7" width="10" style="1" customWidth="1"/>
    <col min="8" max="9" width="3.75" style="1" customWidth="1"/>
    <col min="10" max="10" width="3.875" style="2" customWidth="1"/>
    <col min="11" max="11" width="7.125" style="2" customWidth="1"/>
    <col min="12" max="12" width="4.25" style="2" customWidth="1"/>
    <col min="13" max="13" width="14" style="2" customWidth="1"/>
    <col min="14" max="14" width="3" style="2" customWidth="1"/>
    <col min="15" max="15" width="3" style="2" hidden="1" customWidth="1" outlineLevel="1"/>
    <col min="16" max="16" width="2.5" style="2" hidden="1" customWidth="1" outlineLevel="1"/>
    <col min="17" max="19" width="2.75" style="2" hidden="1" customWidth="1" outlineLevel="1"/>
    <col min="20" max="20" width="3.125" style="2" hidden="1" customWidth="1" outlineLevel="1"/>
    <col min="21" max="21" width="3.25" style="2" hidden="1" customWidth="1" outlineLevel="1"/>
    <col min="22" max="22" width="3" style="2" hidden="1" customWidth="1" outlineLevel="1"/>
    <col min="23" max="23" width="9" style="2" collapsed="1"/>
    <col min="24" max="16384" width="9" style="2"/>
  </cols>
  <sheetData>
    <row r="1" spans="1:22" ht="24.6" customHeight="1" x14ac:dyDescent="0.3">
      <c r="A1" s="217" t="s">
        <v>0</v>
      </c>
      <c r="B1" s="217"/>
      <c r="C1" s="217"/>
      <c r="D1" s="217"/>
      <c r="E1" s="217"/>
      <c r="F1" s="217"/>
      <c r="G1" s="217"/>
      <c r="H1" s="217"/>
      <c r="O1" s="218" t="s">
        <v>103</v>
      </c>
      <c r="P1" s="218"/>
      <c r="Q1" s="218"/>
      <c r="R1" s="218"/>
      <c r="S1" s="218"/>
      <c r="T1" s="218"/>
      <c r="U1" s="218"/>
    </row>
    <row r="2" spans="1:22" ht="21.75" customHeight="1" x14ac:dyDescent="0.3">
      <c r="A2" s="219" t="s">
        <v>98</v>
      </c>
      <c r="B2" s="219"/>
      <c r="C2" s="219"/>
      <c r="D2" s="219"/>
      <c r="E2" s="219"/>
      <c r="F2" s="219"/>
      <c r="G2" s="219"/>
      <c r="H2" s="219"/>
    </row>
    <row r="3" spans="1:22" ht="21" customHeight="1" x14ac:dyDescent="0.3"/>
    <row r="4" spans="1:22" s="6" customFormat="1" ht="21" customHeight="1" x14ac:dyDescent="0.3">
      <c r="A4" s="3"/>
      <c r="B4" s="3"/>
      <c r="C4" s="3" t="s">
        <v>1</v>
      </c>
      <c r="D4" s="4"/>
      <c r="E4" s="5"/>
      <c r="F4" s="5"/>
    </row>
    <row r="5" spans="1:22" s="6" customFormat="1" ht="21" customHeight="1" x14ac:dyDescent="0.3">
      <c r="A5" s="3"/>
      <c r="B5" s="3"/>
      <c r="C5" s="3" t="s">
        <v>2</v>
      </c>
      <c r="D5" s="7"/>
      <c r="E5" s="8"/>
      <c r="F5" s="8"/>
    </row>
    <row r="6" spans="1:22" s="6" customFormat="1" ht="21" customHeight="1" thickBot="1" x14ac:dyDescent="0.35">
      <c r="A6" s="11" t="s">
        <v>99</v>
      </c>
      <c r="B6" s="9"/>
      <c r="C6" s="9"/>
      <c r="D6" s="9"/>
      <c r="E6" s="9"/>
      <c r="F6" s="9"/>
      <c r="G6" s="9"/>
      <c r="H6" s="10"/>
    </row>
    <row r="7" spans="1:22" s="6" customFormat="1" ht="21" customHeight="1" x14ac:dyDescent="0.3">
      <c r="A7" s="220" t="s">
        <v>3</v>
      </c>
      <c r="B7" s="221"/>
      <c r="C7" s="221"/>
      <c r="D7" s="221"/>
      <c r="E7" s="221"/>
      <c r="F7" s="221"/>
      <c r="G7" s="222"/>
      <c r="H7" s="220" t="s">
        <v>4</v>
      </c>
      <c r="I7" s="221"/>
      <c r="J7" s="221"/>
      <c r="K7" s="221"/>
      <c r="L7" s="221"/>
      <c r="M7" s="222"/>
      <c r="O7" s="38" t="s">
        <v>104</v>
      </c>
      <c r="P7" s="38" t="s">
        <v>105</v>
      </c>
      <c r="Q7" s="38" t="s">
        <v>106</v>
      </c>
      <c r="R7" s="38" t="s">
        <v>107</v>
      </c>
      <c r="S7" s="38" t="s">
        <v>107</v>
      </c>
      <c r="T7" s="38" t="s">
        <v>108</v>
      </c>
      <c r="U7" s="38" t="s">
        <v>109</v>
      </c>
    </row>
    <row r="8" spans="1:22" s="6" customFormat="1" ht="21" customHeight="1" x14ac:dyDescent="0.3">
      <c r="A8" s="162" t="s">
        <v>100</v>
      </c>
      <c r="B8" s="163"/>
      <c r="C8" s="163"/>
      <c r="D8" s="163"/>
      <c r="E8" s="163"/>
      <c r="F8" s="163"/>
      <c r="G8" s="163"/>
      <c r="H8" s="219"/>
      <c r="I8" s="219"/>
      <c r="J8" s="219"/>
      <c r="K8" s="219"/>
      <c r="L8" s="219"/>
      <c r="M8" s="223"/>
      <c r="O8" s="39"/>
      <c r="P8" s="39"/>
      <c r="Q8" s="39"/>
      <c r="R8" s="39"/>
      <c r="S8" s="39"/>
      <c r="T8" s="39"/>
      <c r="U8" s="39"/>
    </row>
    <row r="9" spans="1:22" s="6" customFormat="1" ht="21" customHeight="1" x14ac:dyDescent="0.3">
      <c r="A9" s="117" t="s">
        <v>101</v>
      </c>
      <c r="B9" s="118"/>
      <c r="C9" s="118"/>
      <c r="D9" s="118"/>
      <c r="E9" s="118"/>
      <c r="F9" s="118"/>
      <c r="G9" s="165"/>
      <c r="H9" s="40" t="s">
        <v>110</v>
      </c>
      <c r="I9" s="41" t="s">
        <v>111</v>
      </c>
      <c r="J9" s="42" t="s">
        <v>110</v>
      </c>
      <c r="K9" s="41" t="s">
        <v>109</v>
      </c>
      <c r="L9" s="41"/>
      <c r="M9" s="43"/>
      <c r="N9" s="44" t="str">
        <f>IF(OR(R9=1,S9=1),"*","")</f>
        <v/>
      </c>
      <c r="O9" s="38"/>
      <c r="P9" s="38"/>
      <c r="Q9" s="38"/>
      <c r="R9" s="38">
        <f>IF(H9="[V]",1,0)</f>
        <v>0</v>
      </c>
      <c r="S9" s="38"/>
      <c r="T9" s="38"/>
      <c r="U9" s="38">
        <f>IF(J9="[V]",1,0)</f>
        <v>0</v>
      </c>
    </row>
    <row r="10" spans="1:22" s="6" customFormat="1" ht="25.15" customHeight="1" x14ac:dyDescent="0.3">
      <c r="A10" s="12"/>
      <c r="B10" s="5"/>
      <c r="C10" s="5"/>
      <c r="D10" s="5"/>
      <c r="E10" s="5"/>
      <c r="F10" s="5"/>
      <c r="G10" s="13"/>
      <c r="H10" s="214" t="s">
        <v>112</v>
      </c>
      <c r="I10" s="215"/>
      <c r="J10" s="215"/>
      <c r="K10" s="215"/>
      <c r="L10" s="215"/>
      <c r="M10" s="216"/>
      <c r="N10" s="44" t="str">
        <f t="shared" ref="N10:N73" si="0">IF(OR(R10=1,S10=1),"*","")</f>
        <v/>
      </c>
      <c r="O10" s="39"/>
      <c r="P10" s="39"/>
      <c r="Q10" s="39"/>
      <c r="R10" s="39"/>
      <c r="S10" s="39"/>
      <c r="T10" s="39"/>
      <c r="U10" s="39"/>
    </row>
    <row r="11" spans="1:22" s="6" customFormat="1" ht="20.45" customHeight="1" x14ac:dyDescent="0.3">
      <c r="A11" s="156" t="s">
        <v>5</v>
      </c>
      <c r="B11" s="157"/>
      <c r="C11" s="157"/>
      <c r="D11" s="157"/>
      <c r="E11" s="157"/>
      <c r="F11" s="157"/>
      <c r="G11" s="158"/>
      <c r="H11" s="45" t="s">
        <v>110</v>
      </c>
      <c r="I11" s="41" t="s">
        <v>111</v>
      </c>
      <c r="J11" s="45" t="s">
        <v>110</v>
      </c>
      <c r="K11" s="41" t="s">
        <v>109</v>
      </c>
      <c r="L11" s="24"/>
      <c r="M11" s="23"/>
      <c r="N11" s="44" t="str">
        <f t="shared" si="0"/>
        <v/>
      </c>
      <c r="O11" s="38"/>
      <c r="P11" s="38"/>
      <c r="Q11" s="38"/>
      <c r="R11" s="38">
        <f>IF(H11="[V]",1,0)</f>
        <v>0</v>
      </c>
      <c r="S11" s="38"/>
      <c r="T11" s="38"/>
      <c r="U11" s="38">
        <f>IF(J11="[V]",1,0)</f>
        <v>0</v>
      </c>
    </row>
    <row r="12" spans="1:22" s="6" customFormat="1" ht="32.450000000000003" customHeight="1" x14ac:dyDescent="0.3">
      <c r="A12" s="204"/>
      <c r="B12" s="167"/>
      <c r="C12" s="167"/>
      <c r="D12" s="167"/>
      <c r="E12" s="167"/>
      <c r="F12" s="167"/>
      <c r="G12" s="168"/>
      <c r="H12" s="214" t="s">
        <v>112</v>
      </c>
      <c r="I12" s="215"/>
      <c r="J12" s="215"/>
      <c r="K12" s="215"/>
      <c r="L12" s="215"/>
      <c r="M12" s="216"/>
      <c r="N12" s="44" t="str">
        <f t="shared" si="0"/>
        <v/>
      </c>
      <c r="O12" s="39"/>
      <c r="P12" s="39"/>
      <c r="Q12" s="39"/>
      <c r="R12" s="39"/>
      <c r="S12" s="39"/>
      <c r="T12" s="39"/>
      <c r="U12" s="39"/>
    </row>
    <row r="13" spans="1:22" s="6" customFormat="1" ht="14.25" x14ac:dyDescent="0.3">
      <c r="A13" s="172" t="s">
        <v>6</v>
      </c>
      <c r="B13" s="173"/>
      <c r="C13" s="173"/>
      <c r="D13" s="173"/>
      <c r="E13" s="173"/>
      <c r="F13" s="173"/>
      <c r="G13" s="173"/>
      <c r="H13" s="173"/>
      <c r="I13" s="173"/>
      <c r="J13" s="173"/>
      <c r="K13" s="173"/>
      <c r="L13" s="173"/>
      <c r="M13" s="174"/>
      <c r="N13" s="44" t="str">
        <f t="shared" si="0"/>
        <v/>
      </c>
      <c r="O13" s="39"/>
      <c r="P13" s="39"/>
      <c r="Q13" s="39"/>
      <c r="R13" s="39"/>
      <c r="S13" s="39"/>
      <c r="T13" s="39"/>
      <c r="U13" s="39"/>
    </row>
    <row r="14" spans="1:22" s="6" customFormat="1" ht="52.15" customHeight="1" x14ac:dyDescent="0.3">
      <c r="A14" s="208" t="s">
        <v>113</v>
      </c>
      <c r="B14" s="209"/>
      <c r="C14" s="209"/>
      <c r="D14" s="209"/>
      <c r="E14" s="209"/>
      <c r="F14" s="209"/>
      <c r="G14" s="209"/>
      <c r="H14" s="209"/>
      <c r="I14" s="209"/>
      <c r="J14" s="209"/>
      <c r="K14" s="209"/>
      <c r="L14" s="209"/>
      <c r="M14" s="210"/>
      <c r="N14" s="44" t="str">
        <f t="shared" si="0"/>
        <v/>
      </c>
      <c r="O14" s="39"/>
      <c r="P14" s="39"/>
      <c r="Q14" s="39"/>
      <c r="R14" s="39"/>
      <c r="S14" s="39"/>
      <c r="T14" s="39"/>
      <c r="U14" s="39"/>
    </row>
    <row r="15" spans="1:22" s="6" customFormat="1" ht="39.6" customHeight="1" x14ac:dyDescent="0.3">
      <c r="A15" s="204" t="s">
        <v>7</v>
      </c>
      <c r="B15" s="167"/>
      <c r="C15" s="167"/>
      <c r="D15" s="167"/>
      <c r="E15" s="167"/>
      <c r="F15" s="167"/>
      <c r="G15" s="168"/>
      <c r="H15" s="46" t="s">
        <v>110</v>
      </c>
      <c r="I15" s="47" t="s">
        <v>111</v>
      </c>
      <c r="J15" s="48" t="s">
        <v>110</v>
      </c>
      <c r="K15" s="27" t="s">
        <v>109</v>
      </c>
      <c r="L15" s="27"/>
      <c r="M15" s="25"/>
      <c r="N15" s="44" t="str">
        <f t="shared" si="0"/>
        <v/>
      </c>
      <c r="O15" s="38"/>
      <c r="P15" s="38"/>
      <c r="Q15" s="38"/>
      <c r="R15" s="38">
        <f>IF(J15="[V]",1,0)</f>
        <v>0</v>
      </c>
      <c r="S15" s="38"/>
      <c r="T15" s="38"/>
      <c r="U15" s="38">
        <f>IF(H15="[V]",1,0)</f>
        <v>0</v>
      </c>
      <c r="V15" s="6" t="s">
        <v>114</v>
      </c>
    </row>
    <row r="16" spans="1:22" s="6" customFormat="1" ht="53.45" customHeight="1" x14ac:dyDescent="0.3">
      <c r="A16" s="159" t="s">
        <v>8</v>
      </c>
      <c r="B16" s="160"/>
      <c r="C16" s="160"/>
      <c r="D16" s="160"/>
      <c r="E16" s="160"/>
      <c r="F16" s="160"/>
      <c r="G16" s="161"/>
      <c r="H16" s="46" t="s">
        <v>110</v>
      </c>
      <c r="I16" s="47" t="s">
        <v>111</v>
      </c>
      <c r="J16" s="48" t="s">
        <v>110</v>
      </c>
      <c r="K16" s="27" t="s">
        <v>109</v>
      </c>
      <c r="L16" s="27"/>
      <c r="M16" s="25"/>
      <c r="N16" s="44" t="str">
        <f t="shared" si="0"/>
        <v/>
      </c>
      <c r="O16" s="38"/>
      <c r="P16" s="38"/>
      <c r="Q16" s="38"/>
      <c r="R16" s="38">
        <f>IF(J16="[V]",1,0)</f>
        <v>0</v>
      </c>
      <c r="S16" s="38"/>
      <c r="T16" s="38"/>
      <c r="U16" s="38">
        <f>IF(H16="[V]",1,0)</f>
        <v>0</v>
      </c>
      <c r="V16" s="6" t="s">
        <v>114</v>
      </c>
    </row>
    <row r="17" spans="1:22" s="6" customFormat="1" ht="36" customHeight="1" x14ac:dyDescent="0.3">
      <c r="A17" s="159" t="s">
        <v>9</v>
      </c>
      <c r="B17" s="160"/>
      <c r="C17" s="160"/>
      <c r="D17" s="160"/>
      <c r="E17" s="160"/>
      <c r="F17" s="160"/>
      <c r="G17" s="161"/>
      <c r="H17" s="46" t="s">
        <v>110</v>
      </c>
      <c r="I17" s="47" t="s">
        <v>111</v>
      </c>
      <c r="J17" s="48" t="s">
        <v>110</v>
      </c>
      <c r="K17" s="27" t="s">
        <v>109</v>
      </c>
      <c r="L17" s="27"/>
      <c r="M17" s="25"/>
      <c r="N17" s="44" t="str">
        <f t="shared" si="0"/>
        <v/>
      </c>
      <c r="O17" s="38"/>
      <c r="P17" s="38"/>
      <c r="Q17" s="38"/>
      <c r="R17" s="38">
        <f>IF(J17="[V]",1,0)</f>
        <v>0</v>
      </c>
      <c r="S17" s="38"/>
      <c r="T17" s="38"/>
      <c r="U17" s="38">
        <f>IF(H17="[V]",1,0)</f>
        <v>0</v>
      </c>
      <c r="V17" s="6" t="s">
        <v>114</v>
      </c>
    </row>
    <row r="18" spans="1:22" s="6" customFormat="1" ht="23.45" customHeight="1" x14ac:dyDescent="0.3">
      <c r="A18" s="159" t="s">
        <v>10</v>
      </c>
      <c r="B18" s="160"/>
      <c r="C18" s="160"/>
      <c r="D18" s="160"/>
      <c r="E18" s="160"/>
      <c r="F18" s="160"/>
      <c r="G18" s="161"/>
      <c r="H18" s="46" t="s">
        <v>110</v>
      </c>
      <c r="I18" s="47" t="s">
        <v>111</v>
      </c>
      <c r="J18" s="48" t="s">
        <v>110</v>
      </c>
      <c r="K18" s="27" t="s">
        <v>109</v>
      </c>
      <c r="L18" s="27"/>
      <c r="M18" s="25"/>
      <c r="N18" s="44" t="str">
        <f t="shared" si="0"/>
        <v/>
      </c>
      <c r="O18" s="38"/>
      <c r="P18" s="38"/>
      <c r="Q18" s="38"/>
      <c r="R18" s="38">
        <f>IF(J18="[V]",1,0)</f>
        <v>0</v>
      </c>
      <c r="S18" s="38"/>
      <c r="T18" s="38"/>
      <c r="U18" s="38">
        <f>IF(H18="[V]",1,0)</f>
        <v>0</v>
      </c>
      <c r="V18" s="6" t="s">
        <v>114</v>
      </c>
    </row>
    <row r="19" spans="1:22" s="6" customFormat="1" ht="21.6" customHeight="1" x14ac:dyDescent="0.3">
      <c r="A19" s="175" t="s">
        <v>11</v>
      </c>
      <c r="B19" s="166"/>
      <c r="C19" s="166"/>
      <c r="D19" s="166"/>
      <c r="E19" s="166"/>
      <c r="F19" s="166"/>
      <c r="G19" s="176"/>
      <c r="H19" s="46" t="s">
        <v>110</v>
      </c>
      <c r="I19" s="47" t="s">
        <v>111</v>
      </c>
      <c r="J19" s="45" t="s">
        <v>110</v>
      </c>
      <c r="K19" s="27" t="s">
        <v>109</v>
      </c>
      <c r="L19" s="27"/>
      <c r="M19" s="25"/>
      <c r="N19" s="44" t="str">
        <f t="shared" si="0"/>
        <v/>
      </c>
      <c r="O19" s="38"/>
      <c r="P19" s="38"/>
      <c r="Q19" s="38"/>
      <c r="R19" s="38">
        <f>IF(J19="[V]",1,0)</f>
        <v>0</v>
      </c>
      <c r="S19" s="38"/>
      <c r="T19" s="38"/>
      <c r="U19" s="38">
        <f>IF(H19="[V]",1,0)</f>
        <v>0</v>
      </c>
      <c r="V19" s="6" t="s">
        <v>114</v>
      </c>
    </row>
    <row r="20" spans="1:22" s="6" customFormat="1" ht="21" customHeight="1" x14ac:dyDescent="0.3">
      <c r="A20" s="211" t="s">
        <v>12</v>
      </c>
      <c r="B20" s="212"/>
      <c r="C20" s="212"/>
      <c r="D20" s="212"/>
      <c r="E20" s="212"/>
      <c r="F20" s="212"/>
      <c r="G20" s="212"/>
      <c r="H20" s="212"/>
      <c r="I20" s="212"/>
      <c r="J20" s="212"/>
      <c r="K20" s="212"/>
      <c r="L20" s="212"/>
      <c r="M20" s="213"/>
      <c r="N20" s="44" t="str">
        <f t="shared" si="0"/>
        <v/>
      </c>
      <c r="O20" s="39"/>
      <c r="P20" s="39"/>
      <c r="Q20" s="39"/>
      <c r="R20" s="39"/>
      <c r="S20" s="39"/>
      <c r="T20" s="39"/>
      <c r="U20" s="39"/>
    </row>
    <row r="21" spans="1:22" s="6" customFormat="1" ht="35.450000000000003" customHeight="1" x14ac:dyDescent="0.3">
      <c r="A21" s="156" t="s">
        <v>13</v>
      </c>
      <c r="B21" s="157"/>
      <c r="C21" s="157"/>
      <c r="D21" s="157"/>
      <c r="E21" s="157"/>
      <c r="F21" s="157"/>
      <c r="G21" s="158"/>
      <c r="H21" s="40" t="s">
        <v>110</v>
      </c>
      <c r="I21" s="41" t="s">
        <v>111</v>
      </c>
      <c r="J21" s="42" t="s">
        <v>110</v>
      </c>
      <c r="K21" s="24" t="s">
        <v>109</v>
      </c>
      <c r="L21" s="24"/>
      <c r="M21" s="23"/>
      <c r="N21" s="44" t="str">
        <f t="shared" si="0"/>
        <v/>
      </c>
      <c r="O21" s="38"/>
      <c r="P21" s="38"/>
      <c r="Q21" s="38"/>
      <c r="R21" s="38">
        <f>IF(J21="[V]",1,0)</f>
        <v>0</v>
      </c>
      <c r="S21" s="38"/>
      <c r="T21" s="38"/>
      <c r="U21" s="38">
        <f>IF(H21="[V]",1,0)</f>
        <v>0</v>
      </c>
      <c r="V21" s="6" t="s">
        <v>114</v>
      </c>
    </row>
    <row r="22" spans="1:22" s="6" customFormat="1" ht="57.6" customHeight="1" x14ac:dyDescent="0.3">
      <c r="A22" s="208" t="s">
        <v>14</v>
      </c>
      <c r="B22" s="209"/>
      <c r="C22" s="209"/>
      <c r="D22" s="209"/>
      <c r="E22" s="209"/>
      <c r="F22" s="209"/>
      <c r="G22" s="209"/>
      <c r="H22" s="49"/>
      <c r="I22" s="50"/>
      <c r="J22" s="50"/>
      <c r="K22" s="50"/>
      <c r="L22" s="50"/>
      <c r="M22" s="51"/>
      <c r="N22" s="44" t="str">
        <f t="shared" si="0"/>
        <v/>
      </c>
      <c r="O22" s="39"/>
      <c r="P22" s="39"/>
      <c r="Q22" s="39"/>
      <c r="R22" s="39"/>
      <c r="S22" s="39"/>
      <c r="T22" s="39"/>
      <c r="U22" s="39"/>
    </row>
    <row r="23" spans="1:22" s="6" customFormat="1" ht="25.9" customHeight="1" x14ac:dyDescent="0.3">
      <c r="A23" s="159" t="s">
        <v>15</v>
      </c>
      <c r="B23" s="160"/>
      <c r="C23" s="160"/>
      <c r="D23" s="160"/>
      <c r="E23" s="160"/>
      <c r="F23" s="160"/>
      <c r="G23" s="160"/>
      <c r="H23" s="160"/>
      <c r="I23" s="160"/>
      <c r="J23" s="160"/>
      <c r="K23" s="160"/>
      <c r="L23" s="160"/>
      <c r="M23" s="161"/>
      <c r="N23" s="44" t="str">
        <f t="shared" si="0"/>
        <v/>
      </c>
      <c r="O23" s="39"/>
      <c r="P23" s="39"/>
      <c r="Q23" s="39"/>
      <c r="R23" s="39"/>
      <c r="S23" s="39"/>
      <c r="T23" s="39"/>
      <c r="U23" s="39"/>
    </row>
    <row r="24" spans="1:22" s="6" customFormat="1" ht="39.950000000000003" customHeight="1" x14ac:dyDescent="0.3">
      <c r="A24" s="132" t="s">
        <v>16</v>
      </c>
      <c r="B24" s="133"/>
      <c r="C24" s="133"/>
      <c r="D24" s="133"/>
      <c r="E24" s="133"/>
      <c r="F24" s="133"/>
      <c r="G24" s="133"/>
      <c r="H24" s="133"/>
      <c r="I24" s="133"/>
      <c r="J24" s="133"/>
      <c r="K24" s="133"/>
      <c r="L24" s="133"/>
      <c r="M24" s="134"/>
      <c r="N24" s="44" t="str">
        <f t="shared" si="0"/>
        <v/>
      </c>
      <c r="O24" s="39"/>
      <c r="P24" s="39"/>
      <c r="Q24" s="39"/>
      <c r="R24" s="39"/>
      <c r="S24" s="39"/>
      <c r="T24" s="39"/>
      <c r="U24" s="39"/>
    </row>
    <row r="25" spans="1:22" s="6" customFormat="1" ht="14.25" x14ac:dyDescent="0.3">
      <c r="A25" s="52"/>
      <c r="B25" s="45" t="s">
        <v>110</v>
      </c>
      <c r="C25" s="94" t="s">
        <v>115</v>
      </c>
      <c r="D25" s="94"/>
      <c r="E25" s="94"/>
      <c r="F25" s="94"/>
      <c r="G25" s="94"/>
      <c r="H25" s="94"/>
      <c r="I25" s="94"/>
      <c r="J25" s="94"/>
      <c r="K25" s="94"/>
      <c r="L25" s="94"/>
      <c r="M25" s="95"/>
      <c r="N25" s="44" t="str">
        <f t="shared" si="0"/>
        <v/>
      </c>
      <c r="O25" s="38"/>
      <c r="P25" s="38"/>
      <c r="Q25" s="38"/>
      <c r="R25" s="38"/>
      <c r="S25" s="38">
        <f>IF(B25="[V]",1,0)</f>
        <v>0</v>
      </c>
      <c r="T25" s="38"/>
      <c r="U25" s="38"/>
    </row>
    <row r="26" spans="1:22" s="6" customFormat="1" ht="42" customHeight="1" x14ac:dyDescent="0.3">
      <c r="A26" s="52"/>
      <c r="B26" s="45" t="s">
        <v>110</v>
      </c>
      <c r="C26" s="94" t="s">
        <v>116</v>
      </c>
      <c r="D26" s="94"/>
      <c r="E26" s="94"/>
      <c r="F26" s="94"/>
      <c r="G26" s="94"/>
      <c r="H26" s="94"/>
      <c r="I26" s="94"/>
      <c r="J26" s="94"/>
      <c r="K26" s="94"/>
      <c r="L26" s="94"/>
      <c r="M26" s="95"/>
      <c r="N26" s="44" t="str">
        <f t="shared" si="0"/>
        <v/>
      </c>
      <c r="O26" s="38"/>
      <c r="P26" s="38"/>
      <c r="Q26" s="38"/>
      <c r="R26" s="38"/>
      <c r="S26" s="38">
        <f t="shared" ref="S26:S28" si="1">IF(B26="[V]",1,0)</f>
        <v>0</v>
      </c>
      <c r="T26" s="38"/>
      <c r="U26" s="38"/>
    </row>
    <row r="27" spans="1:22" s="6" customFormat="1" ht="21" customHeight="1" x14ac:dyDescent="0.3">
      <c r="A27" s="52"/>
      <c r="B27" s="45" t="s">
        <v>110</v>
      </c>
      <c r="C27" s="94" t="s">
        <v>117</v>
      </c>
      <c r="D27" s="94"/>
      <c r="E27" s="94"/>
      <c r="F27" s="94"/>
      <c r="G27" s="94"/>
      <c r="H27" s="94"/>
      <c r="I27" s="94"/>
      <c r="J27" s="94"/>
      <c r="K27" s="94"/>
      <c r="L27" s="94"/>
      <c r="M27" s="95"/>
      <c r="N27" s="44" t="str">
        <f t="shared" si="0"/>
        <v/>
      </c>
      <c r="O27" s="38"/>
      <c r="P27" s="38"/>
      <c r="Q27" s="38"/>
      <c r="R27" s="38"/>
      <c r="S27" s="38">
        <f t="shared" si="1"/>
        <v>0</v>
      </c>
      <c r="T27" s="38"/>
      <c r="U27" s="38"/>
    </row>
    <row r="28" spans="1:22" s="6" customFormat="1" ht="21" customHeight="1" x14ac:dyDescent="0.3">
      <c r="A28" s="52"/>
      <c r="B28" s="45" t="s">
        <v>110</v>
      </c>
      <c r="C28" s="94" t="s">
        <v>118</v>
      </c>
      <c r="D28" s="94"/>
      <c r="E28" s="94"/>
      <c r="F28" s="94"/>
      <c r="G28" s="94"/>
      <c r="H28" s="94"/>
      <c r="I28" s="94"/>
      <c r="J28" s="94"/>
      <c r="K28" s="94"/>
      <c r="L28" s="94"/>
      <c r="M28" s="95"/>
      <c r="N28" s="44" t="str">
        <f t="shared" si="0"/>
        <v/>
      </c>
      <c r="O28" s="38"/>
      <c r="P28" s="38"/>
      <c r="Q28" s="38"/>
      <c r="R28" s="38"/>
      <c r="S28" s="38">
        <f t="shared" si="1"/>
        <v>0</v>
      </c>
      <c r="T28" s="38"/>
      <c r="U28" s="38"/>
    </row>
    <row r="29" spans="1:22" s="6" customFormat="1" ht="39.950000000000003" customHeight="1" x14ac:dyDescent="0.3">
      <c r="A29" s="53"/>
      <c r="B29" s="45" t="s">
        <v>110</v>
      </c>
      <c r="C29" s="96" t="s">
        <v>119</v>
      </c>
      <c r="D29" s="96"/>
      <c r="E29" s="96"/>
      <c r="F29" s="96"/>
      <c r="G29" s="96"/>
      <c r="H29" s="96"/>
      <c r="I29" s="96"/>
      <c r="J29" s="96"/>
      <c r="K29" s="96"/>
      <c r="L29" s="96"/>
      <c r="M29" s="97"/>
      <c r="N29" s="44" t="str">
        <f t="shared" si="0"/>
        <v/>
      </c>
      <c r="O29" s="38"/>
      <c r="P29" s="38"/>
      <c r="Q29" s="38"/>
      <c r="R29" s="38"/>
      <c r="S29" s="38"/>
      <c r="T29" s="38">
        <f>IF(B29="[v]",1,0)</f>
        <v>0</v>
      </c>
      <c r="U29" s="38"/>
    </row>
    <row r="30" spans="1:22" s="6" customFormat="1" ht="14.25" x14ac:dyDescent="0.3">
      <c r="A30" s="159" t="s">
        <v>120</v>
      </c>
      <c r="B30" s="160"/>
      <c r="C30" s="160"/>
      <c r="D30" s="160"/>
      <c r="E30" s="160"/>
      <c r="F30" s="160"/>
      <c r="G30" s="160"/>
      <c r="H30" s="160"/>
      <c r="I30" s="160"/>
      <c r="J30" s="160"/>
      <c r="K30" s="160"/>
      <c r="L30" s="160"/>
      <c r="M30" s="161"/>
      <c r="N30" s="44" t="str">
        <f t="shared" si="0"/>
        <v/>
      </c>
      <c r="O30" s="39"/>
      <c r="P30" s="39"/>
      <c r="Q30" s="39"/>
      <c r="R30" s="39"/>
      <c r="S30" s="39"/>
      <c r="T30" s="39"/>
      <c r="U30" s="39"/>
    </row>
    <row r="31" spans="1:22" s="6" customFormat="1" ht="39.6" customHeight="1" x14ac:dyDescent="0.3">
      <c r="A31" s="159" t="s">
        <v>17</v>
      </c>
      <c r="B31" s="160"/>
      <c r="C31" s="160"/>
      <c r="D31" s="160"/>
      <c r="E31" s="160"/>
      <c r="F31" s="160"/>
      <c r="G31" s="160"/>
      <c r="H31" s="160"/>
      <c r="I31" s="160"/>
      <c r="J31" s="160"/>
      <c r="K31" s="160"/>
      <c r="L31" s="160"/>
      <c r="M31" s="161"/>
      <c r="N31" s="44" t="str">
        <f t="shared" si="0"/>
        <v/>
      </c>
      <c r="O31" s="39"/>
      <c r="P31" s="39"/>
      <c r="Q31" s="39"/>
      <c r="R31" s="39"/>
      <c r="S31" s="39"/>
      <c r="T31" s="39"/>
      <c r="U31" s="39"/>
    </row>
    <row r="32" spans="1:22" s="6" customFormat="1" ht="39" customHeight="1" x14ac:dyDescent="0.3">
      <c r="A32" s="204" t="s">
        <v>18</v>
      </c>
      <c r="B32" s="167"/>
      <c r="C32" s="167"/>
      <c r="D32" s="167"/>
      <c r="E32" s="167"/>
      <c r="F32" s="167"/>
      <c r="G32" s="168"/>
      <c r="H32" s="46" t="s">
        <v>110</v>
      </c>
      <c r="I32" s="47" t="s">
        <v>111</v>
      </c>
      <c r="J32" s="48" t="s">
        <v>110</v>
      </c>
      <c r="K32" s="47" t="s">
        <v>109</v>
      </c>
      <c r="L32" s="47"/>
      <c r="M32" s="54"/>
      <c r="N32" s="44" t="str">
        <f t="shared" si="0"/>
        <v/>
      </c>
      <c r="O32" s="39"/>
      <c r="P32" s="39"/>
      <c r="Q32" s="39"/>
      <c r="R32" s="39"/>
      <c r="S32" s="38">
        <f>IF(J32="[v]",1,0)</f>
        <v>0</v>
      </c>
      <c r="T32" s="38">
        <f>IF(H32="[v]",1,0)</f>
        <v>0</v>
      </c>
      <c r="U32" s="39"/>
    </row>
    <row r="33" spans="1:21" s="6" customFormat="1" ht="38.450000000000003" customHeight="1" x14ac:dyDescent="0.3">
      <c r="A33" s="204" t="s">
        <v>19</v>
      </c>
      <c r="B33" s="167"/>
      <c r="C33" s="167"/>
      <c r="D33" s="167"/>
      <c r="E33" s="167"/>
      <c r="F33" s="167"/>
      <c r="G33" s="168"/>
      <c r="H33" s="45" t="s">
        <v>110</v>
      </c>
      <c r="I33" s="47" t="s">
        <v>111</v>
      </c>
      <c r="J33" s="45" t="s">
        <v>110</v>
      </c>
      <c r="K33" s="47" t="s">
        <v>109</v>
      </c>
      <c r="L33" s="47"/>
      <c r="M33" s="54"/>
      <c r="N33" s="44" t="str">
        <f t="shared" si="0"/>
        <v/>
      </c>
      <c r="O33" s="39"/>
      <c r="P33" s="39"/>
      <c r="Q33" s="39"/>
      <c r="R33" s="39"/>
      <c r="S33" s="38">
        <f>IF(J33="[v]",1,0)</f>
        <v>0</v>
      </c>
      <c r="T33" s="38">
        <f>IF(H33="[v]",1,0)</f>
        <v>0</v>
      </c>
      <c r="U33" s="39"/>
    </row>
    <row r="34" spans="1:21" s="6" customFormat="1" ht="20.100000000000001" customHeight="1" x14ac:dyDescent="0.3">
      <c r="A34" s="172" t="s">
        <v>20</v>
      </c>
      <c r="B34" s="173"/>
      <c r="C34" s="173"/>
      <c r="D34" s="173"/>
      <c r="E34" s="173"/>
      <c r="F34" s="173"/>
      <c r="G34" s="173"/>
      <c r="H34" s="205"/>
      <c r="I34" s="206"/>
      <c r="J34" s="206"/>
      <c r="K34" s="206"/>
      <c r="L34" s="206"/>
      <c r="M34" s="207"/>
      <c r="N34" s="44" t="str">
        <f t="shared" si="0"/>
        <v/>
      </c>
      <c r="O34" s="39"/>
      <c r="P34" s="39"/>
      <c r="Q34" s="39"/>
      <c r="R34" s="39"/>
      <c r="S34" s="39"/>
      <c r="T34" s="39"/>
      <c r="U34" s="39"/>
    </row>
    <row r="35" spans="1:21" s="6" customFormat="1" ht="33.6" customHeight="1" x14ac:dyDescent="0.3">
      <c r="A35" s="175" t="s">
        <v>21</v>
      </c>
      <c r="B35" s="166"/>
      <c r="C35" s="166"/>
      <c r="D35" s="166"/>
      <c r="E35" s="166"/>
      <c r="F35" s="166"/>
      <c r="G35" s="176"/>
      <c r="H35" s="40" t="s">
        <v>110</v>
      </c>
      <c r="I35" s="41" t="s">
        <v>111</v>
      </c>
      <c r="J35" s="42" t="s">
        <v>110</v>
      </c>
      <c r="K35" s="41" t="s">
        <v>109</v>
      </c>
      <c r="L35" s="41"/>
      <c r="M35" s="43"/>
      <c r="N35" s="44" t="str">
        <f t="shared" si="0"/>
        <v/>
      </c>
      <c r="O35" s="39"/>
      <c r="P35" s="39"/>
      <c r="Q35" s="39"/>
      <c r="R35" s="39"/>
      <c r="S35" s="38">
        <f>IF(J35="[v]",1,0)</f>
        <v>0</v>
      </c>
      <c r="T35" s="38">
        <f>IF(H35="[v]",1,0)</f>
        <v>0</v>
      </c>
      <c r="U35" s="39"/>
    </row>
    <row r="36" spans="1:21" s="6" customFormat="1" ht="67.150000000000006" customHeight="1" x14ac:dyDescent="0.3">
      <c r="A36" s="208" t="s">
        <v>121</v>
      </c>
      <c r="B36" s="209"/>
      <c r="C36" s="209"/>
      <c r="D36" s="209"/>
      <c r="E36" s="209"/>
      <c r="F36" s="209"/>
      <c r="G36" s="210"/>
      <c r="H36" s="114" t="s">
        <v>122</v>
      </c>
      <c r="I36" s="115"/>
      <c r="J36" s="115"/>
      <c r="K36" s="115"/>
      <c r="L36" s="115"/>
      <c r="M36" s="116"/>
      <c r="N36" s="44" t="str">
        <f t="shared" si="0"/>
        <v/>
      </c>
      <c r="O36" s="39"/>
      <c r="P36" s="39"/>
      <c r="Q36" s="39"/>
      <c r="R36" s="39"/>
      <c r="S36" s="39"/>
      <c r="T36" s="39"/>
      <c r="U36" s="39"/>
    </row>
    <row r="37" spans="1:21" s="6" customFormat="1" ht="29.45" customHeight="1" x14ac:dyDescent="0.3">
      <c r="A37" s="201" t="s">
        <v>123</v>
      </c>
      <c r="B37" s="202"/>
      <c r="C37" s="202"/>
      <c r="D37" s="202"/>
      <c r="E37" s="202"/>
      <c r="F37" s="202"/>
      <c r="G37" s="203"/>
      <c r="H37" s="55"/>
      <c r="I37" s="56"/>
      <c r="J37" s="56"/>
      <c r="K37" s="56"/>
      <c r="L37" s="56"/>
      <c r="M37" s="57"/>
      <c r="N37" s="44" t="str">
        <f t="shared" si="0"/>
        <v/>
      </c>
      <c r="O37" s="39"/>
      <c r="P37" s="39"/>
      <c r="Q37" s="39"/>
      <c r="R37" s="39"/>
      <c r="S37" s="39"/>
      <c r="T37" s="39"/>
      <c r="U37" s="39"/>
    </row>
    <row r="38" spans="1:21" s="6" customFormat="1" ht="20.100000000000001" customHeight="1" x14ac:dyDescent="0.3">
      <c r="A38" s="117" t="s">
        <v>124</v>
      </c>
      <c r="B38" s="118"/>
      <c r="C38" s="118"/>
      <c r="D38" s="118"/>
      <c r="E38" s="118"/>
      <c r="F38" s="118"/>
      <c r="G38" s="165"/>
      <c r="H38" s="195"/>
      <c r="I38" s="196"/>
      <c r="J38" s="196"/>
      <c r="K38" s="196"/>
      <c r="L38" s="196"/>
      <c r="M38" s="197"/>
      <c r="N38" s="44" t="str">
        <f t="shared" si="0"/>
        <v/>
      </c>
      <c r="O38" s="39"/>
      <c r="P38" s="39"/>
      <c r="Q38" s="39"/>
      <c r="R38" s="39"/>
      <c r="S38" s="39"/>
      <c r="T38" s="39"/>
      <c r="U38" s="39"/>
    </row>
    <row r="39" spans="1:21" s="6" customFormat="1" ht="20.100000000000001" customHeight="1" x14ac:dyDescent="0.3">
      <c r="A39" s="117" t="s">
        <v>125</v>
      </c>
      <c r="B39" s="118"/>
      <c r="C39" s="118"/>
      <c r="D39" s="118"/>
      <c r="E39" s="118"/>
      <c r="F39" s="118"/>
      <c r="G39" s="165"/>
      <c r="H39" s="195"/>
      <c r="I39" s="196"/>
      <c r="J39" s="196"/>
      <c r="K39" s="196"/>
      <c r="L39" s="196"/>
      <c r="M39" s="197"/>
      <c r="N39" s="44" t="str">
        <f t="shared" si="0"/>
        <v/>
      </c>
      <c r="O39" s="39"/>
      <c r="P39" s="39"/>
      <c r="Q39" s="39"/>
      <c r="R39" s="39"/>
      <c r="S39" s="39"/>
      <c r="T39" s="39"/>
      <c r="U39" s="39"/>
    </row>
    <row r="40" spans="1:21" s="6" customFormat="1" ht="20.100000000000001" customHeight="1" x14ac:dyDescent="0.3">
      <c r="A40" s="117" t="s">
        <v>22</v>
      </c>
      <c r="B40" s="118"/>
      <c r="C40" s="118"/>
      <c r="D40" s="118"/>
      <c r="E40" s="118"/>
      <c r="F40" s="118"/>
      <c r="G40" s="165"/>
      <c r="H40" s="195"/>
      <c r="I40" s="196"/>
      <c r="J40" s="196"/>
      <c r="K40" s="196"/>
      <c r="L40" s="196"/>
      <c r="M40" s="197"/>
      <c r="N40" s="44" t="str">
        <f t="shared" si="0"/>
        <v/>
      </c>
      <c r="O40" s="39"/>
      <c r="P40" s="39"/>
      <c r="Q40" s="39"/>
      <c r="R40" s="39"/>
      <c r="S40" s="39"/>
      <c r="T40" s="39"/>
      <c r="U40" s="39"/>
    </row>
    <row r="41" spans="1:21" s="6" customFormat="1" ht="20.100000000000001" customHeight="1" x14ac:dyDescent="0.3">
      <c r="A41" s="117" t="s">
        <v>23</v>
      </c>
      <c r="B41" s="118"/>
      <c r="C41" s="118"/>
      <c r="D41" s="118"/>
      <c r="E41" s="118"/>
      <c r="F41" s="118"/>
      <c r="G41" s="165"/>
      <c r="H41" s="195"/>
      <c r="I41" s="196"/>
      <c r="J41" s="196"/>
      <c r="K41" s="196"/>
      <c r="L41" s="196"/>
      <c r="M41" s="197"/>
      <c r="N41" s="44" t="str">
        <f t="shared" si="0"/>
        <v/>
      </c>
      <c r="O41" s="39"/>
      <c r="P41" s="39"/>
      <c r="Q41" s="39"/>
      <c r="R41" s="39"/>
      <c r="S41" s="39"/>
      <c r="T41" s="39"/>
      <c r="U41" s="39"/>
    </row>
    <row r="42" spans="1:21" s="6" customFormat="1" ht="20.100000000000001" customHeight="1" x14ac:dyDescent="0.3">
      <c r="A42" s="117" t="s">
        <v>24</v>
      </c>
      <c r="B42" s="118"/>
      <c r="C42" s="118"/>
      <c r="D42" s="118"/>
      <c r="E42" s="118"/>
      <c r="F42" s="118"/>
      <c r="G42" s="165"/>
      <c r="H42" s="198" t="s">
        <v>126</v>
      </c>
      <c r="I42" s="199"/>
      <c r="J42" s="199"/>
      <c r="K42" s="199"/>
      <c r="L42" s="199"/>
      <c r="M42" s="200"/>
      <c r="N42" s="44" t="str">
        <f t="shared" si="0"/>
        <v/>
      </c>
      <c r="O42" s="39"/>
      <c r="P42" s="39"/>
      <c r="Q42" s="39"/>
      <c r="R42" s="39"/>
      <c r="S42" s="39"/>
      <c r="T42" s="39"/>
      <c r="U42" s="39"/>
    </row>
    <row r="43" spans="1:21" s="6" customFormat="1" ht="34.15" customHeight="1" x14ac:dyDescent="0.3">
      <c r="A43" s="34"/>
      <c r="B43" s="45" t="s">
        <v>110</v>
      </c>
      <c r="C43" s="166" t="s">
        <v>127</v>
      </c>
      <c r="D43" s="166"/>
      <c r="E43" s="166"/>
      <c r="F43" s="166"/>
      <c r="G43" s="176"/>
      <c r="H43" s="192"/>
      <c r="I43" s="193"/>
      <c r="J43" s="193"/>
      <c r="K43" s="193"/>
      <c r="L43" s="193"/>
      <c r="M43" s="194"/>
      <c r="N43" s="44" t="str">
        <f t="shared" si="0"/>
        <v/>
      </c>
      <c r="O43" s="38"/>
      <c r="P43" s="38"/>
      <c r="Q43" s="38"/>
      <c r="R43" s="38"/>
      <c r="S43" s="38">
        <f t="shared" ref="S43:S45" si="2">IF(B43="[V]",1,0)</f>
        <v>0</v>
      </c>
      <c r="T43" s="38"/>
      <c r="U43" s="38"/>
    </row>
    <row r="44" spans="1:21" s="6" customFormat="1" ht="46.9" customHeight="1" x14ac:dyDescent="0.3">
      <c r="A44" s="34"/>
      <c r="B44" s="45" t="s">
        <v>110</v>
      </c>
      <c r="C44" s="166" t="s">
        <v>128</v>
      </c>
      <c r="D44" s="166"/>
      <c r="E44" s="166"/>
      <c r="F44" s="166"/>
      <c r="G44" s="176"/>
      <c r="H44" s="192"/>
      <c r="I44" s="193"/>
      <c r="J44" s="193"/>
      <c r="K44" s="193"/>
      <c r="L44" s="193"/>
      <c r="M44" s="194"/>
      <c r="N44" s="44" t="str">
        <f t="shared" si="0"/>
        <v/>
      </c>
      <c r="O44" s="38"/>
      <c r="P44" s="38"/>
      <c r="Q44" s="38"/>
      <c r="R44" s="38"/>
      <c r="S44" s="38">
        <f t="shared" si="2"/>
        <v>0</v>
      </c>
      <c r="T44" s="38"/>
      <c r="U44" s="38"/>
    </row>
    <row r="45" spans="1:21" s="6" customFormat="1" ht="39" customHeight="1" x14ac:dyDescent="0.3">
      <c r="A45" s="34"/>
      <c r="B45" s="45" t="s">
        <v>110</v>
      </c>
      <c r="C45" s="166" t="s">
        <v>129</v>
      </c>
      <c r="D45" s="166"/>
      <c r="E45" s="166"/>
      <c r="F45" s="166"/>
      <c r="G45" s="176"/>
      <c r="H45" s="192"/>
      <c r="I45" s="193"/>
      <c r="J45" s="193"/>
      <c r="K45" s="193"/>
      <c r="L45" s="193"/>
      <c r="M45" s="194"/>
      <c r="N45" s="44" t="str">
        <f t="shared" si="0"/>
        <v/>
      </c>
      <c r="O45" s="38"/>
      <c r="P45" s="38"/>
      <c r="Q45" s="38"/>
      <c r="R45" s="38"/>
      <c r="S45" s="38">
        <f t="shared" si="2"/>
        <v>0</v>
      </c>
      <c r="T45" s="38"/>
      <c r="U45" s="38"/>
    </row>
    <row r="46" spans="1:21" s="6" customFormat="1" ht="14.25" x14ac:dyDescent="0.3">
      <c r="A46" s="34"/>
      <c r="B46" s="45" t="s">
        <v>110</v>
      </c>
      <c r="C46" s="166" t="s">
        <v>130</v>
      </c>
      <c r="D46" s="166"/>
      <c r="E46" s="166"/>
      <c r="F46" s="166"/>
      <c r="G46" s="176"/>
      <c r="H46" s="175"/>
      <c r="I46" s="166"/>
      <c r="J46" s="166"/>
      <c r="K46" s="166"/>
      <c r="L46" s="166"/>
      <c r="M46" s="176"/>
      <c r="N46" s="44" t="str">
        <f t="shared" si="0"/>
        <v/>
      </c>
      <c r="O46" s="38"/>
      <c r="P46" s="38"/>
      <c r="Q46" s="38"/>
      <c r="R46" s="38"/>
      <c r="S46" s="38"/>
      <c r="T46" s="38">
        <f>IF(B46="[v]",1,0)</f>
        <v>0</v>
      </c>
      <c r="U46" s="38"/>
    </row>
    <row r="47" spans="1:21" s="6" customFormat="1" ht="39.950000000000003" customHeight="1" x14ac:dyDescent="0.3">
      <c r="A47" s="156" t="s">
        <v>25</v>
      </c>
      <c r="B47" s="157"/>
      <c r="C47" s="157"/>
      <c r="D47" s="157"/>
      <c r="E47" s="157"/>
      <c r="F47" s="157"/>
      <c r="G47" s="158"/>
      <c r="H47" s="40" t="s">
        <v>110</v>
      </c>
      <c r="I47" s="41" t="s">
        <v>111</v>
      </c>
      <c r="J47" s="42" t="s">
        <v>110</v>
      </c>
      <c r="K47" s="24" t="s">
        <v>109</v>
      </c>
      <c r="L47" s="24"/>
      <c r="M47" s="23"/>
      <c r="N47" s="44" t="str">
        <f t="shared" si="0"/>
        <v/>
      </c>
      <c r="O47" s="38"/>
      <c r="P47" s="38"/>
      <c r="Q47" s="38"/>
      <c r="R47" s="38">
        <f>IF(H47="[V]",1,0)</f>
        <v>0</v>
      </c>
      <c r="S47" s="38"/>
      <c r="T47" s="38"/>
      <c r="U47" s="38">
        <f>IF(J47="[V]",1,0)</f>
        <v>0</v>
      </c>
    </row>
    <row r="48" spans="1:21" s="6" customFormat="1" ht="42" customHeight="1" x14ac:dyDescent="0.3">
      <c r="A48" s="183"/>
      <c r="B48" s="184"/>
      <c r="C48" s="184"/>
      <c r="D48" s="184"/>
      <c r="E48" s="184"/>
      <c r="F48" s="184"/>
      <c r="G48" s="185"/>
      <c r="H48" s="186" t="s">
        <v>26</v>
      </c>
      <c r="I48" s="187"/>
      <c r="J48" s="187"/>
      <c r="K48" s="187"/>
      <c r="L48" s="187"/>
      <c r="M48" s="188"/>
      <c r="N48" s="44" t="str">
        <f t="shared" si="0"/>
        <v/>
      </c>
      <c r="O48" s="39"/>
      <c r="P48" s="39"/>
      <c r="Q48" s="39"/>
      <c r="R48" s="39"/>
      <c r="S48" s="39"/>
      <c r="T48" s="39"/>
      <c r="U48" s="39"/>
    </row>
    <row r="49" spans="1:21" s="6" customFormat="1" ht="21" customHeight="1" x14ac:dyDescent="0.3">
      <c r="A49" s="153" t="s">
        <v>27</v>
      </c>
      <c r="B49" s="154"/>
      <c r="C49" s="154"/>
      <c r="D49" s="154"/>
      <c r="E49" s="154"/>
      <c r="F49" s="154"/>
      <c r="G49" s="155"/>
      <c r="H49" s="45" t="s">
        <v>110</v>
      </c>
      <c r="I49" s="41" t="s">
        <v>111</v>
      </c>
      <c r="J49" s="45" t="s">
        <v>110</v>
      </c>
      <c r="K49" s="24" t="s">
        <v>109</v>
      </c>
      <c r="L49" s="24"/>
      <c r="M49" s="23"/>
      <c r="N49" s="44" t="str">
        <f t="shared" si="0"/>
        <v/>
      </c>
      <c r="O49" s="38"/>
      <c r="P49" s="38"/>
      <c r="Q49" s="38"/>
      <c r="R49" s="38">
        <f>IF(H49="[V]",1,0)</f>
        <v>0</v>
      </c>
      <c r="S49" s="38"/>
      <c r="T49" s="38"/>
      <c r="U49" s="38">
        <f>IF(J49="[V]",1,0)</f>
        <v>0</v>
      </c>
    </row>
    <row r="50" spans="1:21" s="6" customFormat="1" ht="46.5" customHeight="1" thickBot="1" x14ac:dyDescent="0.35">
      <c r="A50" s="183"/>
      <c r="B50" s="184"/>
      <c r="C50" s="184"/>
      <c r="D50" s="184"/>
      <c r="E50" s="184"/>
      <c r="F50" s="184"/>
      <c r="G50" s="185"/>
      <c r="H50" s="189" t="s">
        <v>26</v>
      </c>
      <c r="I50" s="190"/>
      <c r="J50" s="190"/>
      <c r="K50" s="190"/>
      <c r="L50" s="190"/>
      <c r="M50" s="191"/>
      <c r="N50" s="44" t="str">
        <f t="shared" si="0"/>
        <v/>
      </c>
      <c r="O50" s="39"/>
      <c r="P50" s="39"/>
      <c r="Q50" s="39"/>
      <c r="R50" s="39"/>
      <c r="S50" s="39"/>
      <c r="T50" s="39"/>
      <c r="U50" s="39"/>
    </row>
    <row r="51" spans="1:21" s="6" customFormat="1" ht="21" customHeight="1" x14ac:dyDescent="0.3">
      <c r="A51" s="19" t="s">
        <v>28</v>
      </c>
      <c r="B51" s="58"/>
      <c r="C51" s="58"/>
      <c r="D51" s="20"/>
      <c r="E51" s="20"/>
      <c r="F51" s="20"/>
      <c r="G51" s="20"/>
      <c r="H51" s="20"/>
      <c r="I51" s="20"/>
      <c r="J51" s="20"/>
      <c r="K51" s="20"/>
      <c r="L51" s="20"/>
      <c r="M51" s="21"/>
      <c r="N51" s="44" t="str">
        <f t="shared" si="0"/>
        <v/>
      </c>
      <c r="O51" s="38"/>
      <c r="P51" s="38"/>
      <c r="Q51" s="38"/>
      <c r="R51" s="38"/>
      <c r="S51" s="38"/>
      <c r="T51" s="38"/>
      <c r="U51" s="38"/>
    </row>
    <row r="52" spans="1:21" s="5" customFormat="1" ht="21" customHeight="1" x14ac:dyDescent="0.3">
      <c r="A52" s="22" t="s">
        <v>102</v>
      </c>
      <c r="B52" s="59"/>
      <c r="C52" s="59"/>
      <c r="M52" s="13"/>
      <c r="N52" s="44" t="str">
        <f t="shared" si="0"/>
        <v/>
      </c>
      <c r="O52" s="60"/>
      <c r="P52" s="60"/>
      <c r="Q52" s="60"/>
      <c r="R52" s="60"/>
      <c r="S52" s="60"/>
      <c r="T52" s="60"/>
      <c r="U52" s="60"/>
    </row>
    <row r="53" spans="1:21" s="5" customFormat="1" ht="60" customHeight="1" x14ac:dyDescent="0.3">
      <c r="A53" s="175" t="s">
        <v>29</v>
      </c>
      <c r="B53" s="166"/>
      <c r="C53" s="166"/>
      <c r="D53" s="166"/>
      <c r="E53" s="166"/>
      <c r="F53" s="166"/>
      <c r="G53" s="166"/>
      <c r="H53" s="166"/>
      <c r="I53" s="166"/>
      <c r="J53" s="166"/>
      <c r="K53" s="166"/>
      <c r="L53" s="166"/>
      <c r="M53" s="176"/>
      <c r="N53" s="44" t="str">
        <f t="shared" si="0"/>
        <v/>
      </c>
      <c r="O53" s="60"/>
      <c r="P53" s="60"/>
      <c r="Q53" s="60"/>
      <c r="R53" s="60"/>
      <c r="S53" s="60"/>
      <c r="T53" s="60"/>
      <c r="U53" s="60"/>
    </row>
    <row r="54" spans="1:21" s="5" customFormat="1" ht="39.950000000000003" customHeight="1" x14ac:dyDescent="0.3">
      <c r="A54" s="175" t="s">
        <v>30</v>
      </c>
      <c r="B54" s="166"/>
      <c r="C54" s="166"/>
      <c r="D54" s="166"/>
      <c r="E54" s="166"/>
      <c r="F54" s="166"/>
      <c r="G54" s="166"/>
      <c r="H54" s="166"/>
      <c r="I54" s="166"/>
      <c r="J54" s="166"/>
      <c r="K54" s="166"/>
      <c r="L54" s="166"/>
      <c r="M54" s="176"/>
      <c r="N54" s="44" t="str">
        <f t="shared" si="0"/>
        <v/>
      </c>
      <c r="O54" s="60"/>
      <c r="P54" s="60"/>
      <c r="Q54" s="60"/>
      <c r="R54" s="60"/>
      <c r="S54" s="60"/>
      <c r="T54" s="60"/>
      <c r="U54" s="60"/>
    </row>
    <row r="55" spans="1:21" s="6" customFormat="1" ht="60" customHeight="1" x14ac:dyDescent="0.3">
      <c r="A55" s="175" t="s">
        <v>31</v>
      </c>
      <c r="B55" s="166"/>
      <c r="C55" s="166"/>
      <c r="D55" s="166"/>
      <c r="E55" s="166"/>
      <c r="F55" s="166"/>
      <c r="G55" s="166"/>
      <c r="H55" s="166"/>
      <c r="I55" s="166"/>
      <c r="J55" s="166"/>
      <c r="K55" s="166"/>
      <c r="L55" s="166"/>
      <c r="M55" s="176"/>
      <c r="N55" s="44" t="str">
        <f t="shared" si="0"/>
        <v/>
      </c>
      <c r="O55" s="38"/>
      <c r="P55" s="38"/>
      <c r="Q55" s="38"/>
      <c r="R55" s="38"/>
      <c r="S55" s="38"/>
      <c r="T55" s="38"/>
      <c r="U55" s="38"/>
    </row>
    <row r="56" spans="1:21" s="6" customFormat="1" ht="14.25" x14ac:dyDescent="0.3">
      <c r="A56" s="15"/>
      <c r="B56" s="16"/>
      <c r="C56" s="16"/>
      <c r="D56" s="16"/>
      <c r="E56" s="16"/>
      <c r="F56" s="16"/>
      <c r="G56" s="16"/>
      <c r="H56" s="5"/>
      <c r="I56" s="5"/>
      <c r="J56" s="5"/>
      <c r="K56" s="5"/>
      <c r="L56" s="5"/>
      <c r="M56" s="13"/>
      <c r="N56" s="44" t="str">
        <f t="shared" si="0"/>
        <v/>
      </c>
      <c r="O56" s="38"/>
      <c r="P56" s="38"/>
      <c r="Q56" s="38"/>
      <c r="R56" s="38"/>
      <c r="S56" s="38"/>
      <c r="T56" s="38"/>
      <c r="U56" s="38"/>
    </row>
    <row r="57" spans="1:21" s="6" customFormat="1" ht="15.75" customHeight="1" x14ac:dyDescent="0.3">
      <c r="A57" s="177" t="s">
        <v>3</v>
      </c>
      <c r="B57" s="178"/>
      <c r="C57" s="178"/>
      <c r="D57" s="179"/>
      <c r="E57" s="179"/>
      <c r="F57" s="179"/>
      <c r="G57" s="180"/>
      <c r="H57" s="181" t="s">
        <v>4</v>
      </c>
      <c r="I57" s="104"/>
      <c r="J57" s="104"/>
      <c r="K57" s="104"/>
      <c r="L57" s="104"/>
      <c r="M57" s="182"/>
      <c r="N57" s="44" t="str">
        <f t="shared" si="0"/>
        <v/>
      </c>
      <c r="O57" s="38"/>
      <c r="P57" s="38"/>
      <c r="Q57" s="38"/>
      <c r="R57" s="38"/>
      <c r="S57" s="38"/>
      <c r="T57" s="38"/>
      <c r="U57" s="38"/>
    </row>
    <row r="58" spans="1:21" s="6" customFormat="1" ht="21" customHeight="1" x14ac:dyDescent="0.3">
      <c r="A58" s="126" t="s">
        <v>32</v>
      </c>
      <c r="B58" s="127"/>
      <c r="C58" s="127"/>
      <c r="D58" s="127"/>
      <c r="E58" s="127"/>
      <c r="F58" s="127"/>
      <c r="G58" s="127"/>
      <c r="H58" s="127"/>
      <c r="I58" s="127"/>
      <c r="J58" s="127"/>
      <c r="K58" s="127"/>
      <c r="L58" s="127"/>
      <c r="M58" s="128"/>
      <c r="N58" s="44" t="str">
        <f t="shared" si="0"/>
        <v/>
      </c>
      <c r="O58" s="38"/>
      <c r="P58" s="38"/>
      <c r="Q58" s="38"/>
      <c r="R58" s="38"/>
      <c r="S58" s="38"/>
      <c r="T58" s="38"/>
      <c r="U58" s="38"/>
    </row>
    <row r="59" spans="1:21" s="6" customFormat="1" ht="21" customHeight="1" x14ac:dyDescent="0.3">
      <c r="A59" s="117" t="s">
        <v>33</v>
      </c>
      <c r="B59" s="118"/>
      <c r="C59" s="118"/>
      <c r="D59" s="118"/>
      <c r="E59" s="118"/>
      <c r="F59" s="118"/>
      <c r="G59" s="118"/>
      <c r="H59" s="118"/>
      <c r="I59" s="118"/>
      <c r="J59" s="118"/>
      <c r="K59" s="118"/>
      <c r="L59" s="118"/>
      <c r="M59" s="165"/>
      <c r="N59" s="44" t="str">
        <f t="shared" si="0"/>
        <v/>
      </c>
      <c r="O59" s="38"/>
      <c r="P59" s="38"/>
      <c r="Q59" s="38"/>
      <c r="R59" s="38"/>
      <c r="S59" s="38"/>
      <c r="T59" s="38"/>
      <c r="U59" s="38"/>
    </row>
    <row r="60" spans="1:21" s="6" customFormat="1" ht="27.75" customHeight="1" x14ac:dyDescent="0.3">
      <c r="A60" s="36"/>
      <c r="B60" s="45" t="s">
        <v>110</v>
      </c>
      <c r="C60" s="118" t="s">
        <v>131</v>
      </c>
      <c r="D60" s="118"/>
      <c r="E60" s="118"/>
      <c r="F60" s="118"/>
      <c r="G60" s="118"/>
      <c r="H60" s="118"/>
      <c r="I60" s="118"/>
      <c r="J60" s="118"/>
      <c r="K60" s="118"/>
      <c r="L60" s="118"/>
      <c r="M60" s="165"/>
      <c r="N60" s="44" t="str">
        <f t="shared" si="0"/>
        <v/>
      </c>
      <c r="O60" s="38"/>
      <c r="P60" s="38"/>
      <c r="Q60" s="38">
        <f>IF(B60="[V]",1,0)</f>
        <v>0</v>
      </c>
      <c r="R60" s="38"/>
      <c r="S60" s="38"/>
      <c r="T60" s="38"/>
      <c r="U60" s="38"/>
    </row>
    <row r="61" spans="1:21" s="6" customFormat="1" ht="27.75" customHeight="1" x14ac:dyDescent="0.3">
      <c r="A61" s="36"/>
      <c r="B61" s="45" t="s">
        <v>110</v>
      </c>
      <c r="C61" s="118" t="s">
        <v>132</v>
      </c>
      <c r="D61" s="118"/>
      <c r="E61" s="118"/>
      <c r="F61" s="118"/>
      <c r="G61" s="118"/>
      <c r="H61" s="118"/>
      <c r="I61" s="118"/>
      <c r="J61" s="118"/>
      <c r="K61" s="118"/>
      <c r="L61" s="118"/>
      <c r="M61" s="165"/>
      <c r="N61" s="44" t="str">
        <f t="shared" si="0"/>
        <v/>
      </c>
      <c r="O61" s="38"/>
      <c r="P61" s="38"/>
      <c r="Q61" s="38">
        <f t="shared" ref="Q61:Q62" si="3">IF(B61="[V]",1,0)</f>
        <v>0</v>
      </c>
      <c r="R61" s="38"/>
      <c r="S61" s="38"/>
      <c r="T61" s="38"/>
      <c r="U61" s="38"/>
    </row>
    <row r="62" spans="1:21" s="6" customFormat="1" ht="31.5" customHeight="1" x14ac:dyDescent="0.3">
      <c r="A62" s="36"/>
      <c r="B62" s="45" t="s">
        <v>110</v>
      </c>
      <c r="C62" s="118" t="s">
        <v>133</v>
      </c>
      <c r="D62" s="118"/>
      <c r="E62" s="118"/>
      <c r="F62" s="118"/>
      <c r="G62" s="118"/>
      <c r="H62" s="118"/>
      <c r="I62" s="118"/>
      <c r="J62" s="118"/>
      <c r="K62" s="118"/>
      <c r="L62" s="118"/>
      <c r="M62" s="165"/>
      <c r="N62" s="44" t="str">
        <f t="shared" si="0"/>
        <v/>
      </c>
      <c r="O62" s="38"/>
      <c r="P62" s="38"/>
      <c r="Q62" s="38">
        <f t="shared" si="3"/>
        <v>0</v>
      </c>
      <c r="R62" s="38"/>
      <c r="S62" s="38"/>
      <c r="T62" s="38"/>
      <c r="U62" s="38"/>
    </row>
    <row r="63" spans="1:21" s="6" customFormat="1" ht="21" customHeight="1" x14ac:dyDescent="0.3">
      <c r="A63" s="36"/>
      <c r="B63" s="45" t="s">
        <v>110</v>
      </c>
      <c r="C63" s="118" t="s">
        <v>134</v>
      </c>
      <c r="D63" s="118"/>
      <c r="E63" s="118"/>
      <c r="F63" s="118"/>
      <c r="G63" s="118"/>
      <c r="H63" s="118"/>
      <c r="I63" s="118"/>
      <c r="J63" s="118"/>
      <c r="K63" s="118"/>
      <c r="L63" s="118"/>
      <c r="M63" s="165"/>
      <c r="N63" s="44" t="str">
        <f t="shared" si="0"/>
        <v/>
      </c>
      <c r="O63" s="38"/>
      <c r="P63" s="38">
        <f>IF(B63="[V]",1,0)</f>
        <v>0</v>
      </c>
      <c r="Q63" s="38"/>
      <c r="R63" s="38"/>
      <c r="S63" s="38"/>
      <c r="T63" s="38"/>
      <c r="U63" s="38"/>
    </row>
    <row r="64" spans="1:21" s="6" customFormat="1" ht="21" customHeight="1" x14ac:dyDescent="0.3">
      <c r="A64" s="36"/>
      <c r="B64" s="45" t="s">
        <v>110</v>
      </c>
      <c r="C64" s="118" t="s">
        <v>135</v>
      </c>
      <c r="D64" s="118"/>
      <c r="E64" s="118"/>
      <c r="F64" s="118"/>
      <c r="G64" s="118"/>
      <c r="H64" s="118"/>
      <c r="I64" s="118"/>
      <c r="J64" s="118"/>
      <c r="K64" s="118"/>
      <c r="L64" s="118"/>
      <c r="M64" s="165"/>
      <c r="N64" s="44" t="str">
        <f t="shared" si="0"/>
        <v/>
      </c>
      <c r="O64" s="38">
        <f>IF(B64="[V]",1,0)</f>
        <v>0</v>
      </c>
      <c r="P64" s="38"/>
      <c r="Q64" s="38"/>
      <c r="R64" s="38"/>
      <c r="S64" s="38"/>
      <c r="T64" s="38"/>
      <c r="U64" s="38"/>
    </row>
    <row r="65" spans="1:21" s="6" customFormat="1" ht="21" customHeight="1" x14ac:dyDescent="0.3">
      <c r="A65" s="34"/>
      <c r="B65" s="45" t="s">
        <v>110</v>
      </c>
      <c r="C65" s="118" t="s">
        <v>136</v>
      </c>
      <c r="D65" s="118"/>
      <c r="E65" s="118"/>
      <c r="F65" s="118"/>
      <c r="G65" s="118"/>
      <c r="H65" s="118"/>
      <c r="I65" s="118"/>
      <c r="J65" s="118"/>
      <c r="K65" s="118"/>
      <c r="L65" s="118"/>
      <c r="M65" s="165"/>
      <c r="N65" s="44" t="str">
        <f t="shared" si="0"/>
        <v/>
      </c>
      <c r="O65" s="38"/>
      <c r="P65" s="38"/>
      <c r="Q65" s="38"/>
      <c r="R65" s="38"/>
      <c r="S65" s="38"/>
      <c r="T65" s="38">
        <f>IF(B65="[v]",1,0)</f>
        <v>0</v>
      </c>
      <c r="U65" s="38"/>
    </row>
    <row r="66" spans="1:21" s="6" customFormat="1" ht="21" customHeight="1" x14ac:dyDescent="0.3">
      <c r="A66" s="153" t="s">
        <v>34</v>
      </c>
      <c r="B66" s="154"/>
      <c r="C66" s="154"/>
      <c r="D66" s="154"/>
      <c r="E66" s="154"/>
      <c r="F66" s="154"/>
      <c r="G66" s="154"/>
      <c r="H66" s="154"/>
      <c r="I66" s="154"/>
      <c r="J66" s="154"/>
      <c r="K66" s="154"/>
      <c r="L66" s="154"/>
      <c r="M66" s="155"/>
      <c r="N66" s="44" t="str">
        <f t="shared" si="0"/>
        <v/>
      </c>
      <c r="O66" s="38"/>
      <c r="P66" s="38"/>
      <c r="Q66" s="38"/>
      <c r="R66" s="38"/>
      <c r="S66" s="38"/>
      <c r="T66" s="38"/>
      <c r="U66" s="38"/>
    </row>
    <row r="67" spans="1:21" s="6" customFormat="1" ht="21" customHeight="1" x14ac:dyDescent="0.3">
      <c r="A67" s="36"/>
      <c r="B67" s="45" t="s">
        <v>110</v>
      </c>
      <c r="C67" s="118" t="s">
        <v>131</v>
      </c>
      <c r="D67" s="118"/>
      <c r="E67" s="118"/>
      <c r="F67" s="118"/>
      <c r="G67" s="118"/>
      <c r="H67" s="118"/>
      <c r="I67" s="118"/>
      <c r="J67" s="118"/>
      <c r="K67" s="118"/>
      <c r="L67" s="118"/>
      <c r="M67" s="165"/>
      <c r="N67" s="44" t="str">
        <f t="shared" si="0"/>
        <v/>
      </c>
      <c r="O67" s="38"/>
      <c r="P67" s="38"/>
      <c r="Q67" s="38">
        <f>IF(B67="[V]",1,0)</f>
        <v>0</v>
      </c>
      <c r="R67" s="38"/>
      <c r="S67" s="38"/>
      <c r="T67" s="38"/>
      <c r="U67" s="38"/>
    </row>
    <row r="68" spans="1:21" s="6" customFormat="1" ht="21" customHeight="1" x14ac:dyDescent="0.3">
      <c r="A68" s="36"/>
      <c r="B68" s="45" t="s">
        <v>110</v>
      </c>
      <c r="C68" s="118" t="s">
        <v>132</v>
      </c>
      <c r="D68" s="118"/>
      <c r="E68" s="118"/>
      <c r="F68" s="118"/>
      <c r="G68" s="118"/>
      <c r="H68" s="118"/>
      <c r="I68" s="118"/>
      <c r="J68" s="118"/>
      <c r="K68" s="118"/>
      <c r="L68" s="118"/>
      <c r="M68" s="165"/>
      <c r="N68" s="44" t="str">
        <f t="shared" si="0"/>
        <v/>
      </c>
      <c r="O68" s="38"/>
      <c r="P68" s="38"/>
      <c r="Q68" s="38">
        <f t="shared" ref="Q68:Q69" si="4">IF(B68="[V]",1,0)</f>
        <v>0</v>
      </c>
      <c r="R68" s="38"/>
      <c r="S68" s="38"/>
      <c r="T68" s="38"/>
      <c r="U68" s="38"/>
    </row>
    <row r="69" spans="1:21" s="6" customFormat="1" ht="21" customHeight="1" x14ac:dyDescent="0.3">
      <c r="A69" s="36"/>
      <c r="B69" s="45" t="s">
        <v>110</v>
      </c>
      <c r="C69" s="118" t="s">
        <v>133</v>
      </c>
      <c r="D69" s="118"/>
      <c r="E69" s="118"/>
      <c r="F69" s="118"/>
      <c r="G69" s="118"/>
      <c r="H69" s="118"/>
      <c r="I69" s="118"/>
      <c r="J69" s="118"/>
      <c r="K69" s="118"/>
      <c r="L69" s="118"/>
      <c r="M69" s="165"/>
      <c r="N69" s="44" t="str">
        <f t="shared" si="0"/>
        <v/>
      </c>
      <c r="O69" s="38"/>
      <c r="P69" s="38"/>
      <c r="Q69" s="38">
        <f t="shared" si="4"/>
        <v>0</v>
      </c>
      <c r="R69" s="38"/>
      <c r="S69" s="38"/>
      <c r="T69" s="38"/>
      <c r="U69" s="38"/>
    </row>
    <row r="70" spans="1:21" s="6" customFormat="1" ht="21" customHeight="1" x14ac:dyDescent="0.3">
      <c r="A70" s="36"/>
      <c r="B70" s="45" t="s">
        <v>110</v>
      </c>
      <c r="C70" s="118" t="s">
        <v>134</v>
      </c>
      <c r="D70" s="118"/>
      <c r="E70" s="118"/>
      <c r="F70" s="118"/>
      <c r="G70" s="118"/>
      <c r="H70" s="118"/>
      <c r="I70" s="118"/>
      <c r="J70" s="118"/>
      <c r="K70" s="118"/>
      <c r="L70" s="118"/>
      <c r="M70" s="165"/>
      <c r="N70" s="44" t="str">
        <f t="shared" si="0"/>
        <v/>
      </c>
      <c r="O70" s="38"/>
      <c r="P70" s="38">
        <f>IF(B70="[V]",1,0)</f>
        <v>0</v>
      </c>
      <c r="Q70" s="38"/>
      <c r="R70" s="38"/>
      <c r="S70" s="38"/>
      <c r="T70" s="38"/>
      <c r="U70" s="38"/>
    </row>
    <row r="71" spans="1:21" s="6" customFormat="1" ht="49.9" customHeight="1" x14ac:dyDescent="0.3">
      <c r="A71" s="35"/>
      <c r="B71" s="61" t="s">
        <v>110</v>
      </c>
      <c r="C71" s="167" t="s">
        <v>137</v>
      </c>
      <c r="D71" s="167"/>
      <c r="E71" s="167"/>
      <c r="F71" s="167"/>
      <c r="G71" s="167"/>
      <c r="H71" s="167"/>
      <c r="I71" s="167"/>
      <c r="J71" s="167"/>
      <c r="K71" s="167"/>
      <c r="L71" s="167"/>
      <c r="M71" s="168"/>
      <c r="N71" s="44" t="str">
        <f t="shared" si="0"/>
        <v/>
      </c>
      <c r="O71" s="38">
        <f>IF(B71="[V]",1,0)</f>
        <v>0</v>
      </c>
      <c r="P71" s="38"/>
      <c r="Q71" s="38"/>
      <c r="R71" s="38"/>
      <c r="S71" s="38"/>
      <c r="T71" s="38"/>
      <c r="U71" s="38"/>
    </row>
    <row r="72" spans="1:21" s="6" customFormat="1" ht="45" customHeight="1" x14ac:dyDescent="0.3">
      <c r="A72" s="159" t="s">
        <v>35</v>
      </c>
      <c r="B72" s="160"/>
      <c r="C72" s="160"/>
      <c r="D72" s="160"/>
      <c r="E72" s="160"/>
      <c r="F72" s="160"/>
      <c r="G72" s="161"/>
      <c r="H72" s="46" t="s">
        <v>110</v>
      </c>
      <c r="I72" s="47" t="s">
        <v>111</v>
      </c>
      <c r="J72" s="48" t="s">
        <v>110</v>
      </c>
      <c r="K72" s="47" t="s">
        <v>109</v>
      </c>
      <c r="L72" s="47" t="s">
        <v>110</v>
      </c>
      <c r="M72" s="25" t="s">
        <v>108</v>
      </c>
      <c r="N72" s="44" t="str">
        <f t="shared" si="0"/>
        <v/>
      </c>
      <c r="O72" s="38"/>
      <c r="P72" s="38"/>
      <c r="Q72" s="38"/>
      <c r="R72" s="38">
        <f>IF(H72="[V]",1,0)</f>
        <v>0</v>
      </c>
      <c r="S72" s="38"/>
      <c r="T72" s="38">
        <f>IF(L72="[V]",1,0)</f>
        <v>0</v>
      </c>
      <c r="U72" s="38">
        <f>IF(J72="[V]",1,0)</f>
        <v>0</v>
      </c>
    </row>
    <row r="73" spans="1:21" s="6" customFormat="1" ht="21" customHeight="1" x14ac:dyDescent="0.3">
      <c r="A73" s="117" t="s">
        <v>36</v>
      </c>
      <c r="B73" s="118"/>
      <c r="C73" s="118"/>
      <c r="D73" s="118"/>
      <c r="E73" s="118"/>
      <c r="F73" s="118"/>
      <c r="G73" s="118"/>
      <c r="H73" s="118"/>
      <c r="I73" s="118"/>
      <c r="J73" s="118"/>
      <c r="K73" s="118"/>
      <c r="L73" s="118"/>
      <c r="M73" s="165"/>
      <c r="N73" s="44" t="str">
        <f t="shared" si="0"/>
        <v/>
      </c>
      <c r="O73" s="38"/>
      <c r="P73" s="38"/>
      <c r="Q73" s="38"/>
      <c r="R73" s="38"/>
      <c r="S73" s="38"/>
      <c r="T73" s="38"/>
      <c r="U73" s="38"/>
    </row>
    <row r="74" spans="1:21" s="6" customFormat="1" ht="21" customHeight="1" x14ac:dyDescent="0.3">
      <c r="A74" s="36"/>
      <c r="B74" s="45" t="s">
        <v>110</v>
      </c>
      <c r="C74" s="93" t="s">
        <v>138</v>
      </c>
      <c r="D74" s="93"/>
      <c r="E74" s="93"/>
      <c r="F74" s="93"/>
      <c r="G74" s="93"/>
      <c r="H74" s="93"/>
      <c r="I74" s="93"/>
      <c r="J74" s="93"/>
      <c r="K74" s="93"/>
      <c r="L74" s="93"/>
      <c r="M74" s="142"/>
      <c r="N74" s="44" t="str">
        <f t="shared" ref="N74:N137" si="5">IF(OR(R74=1,S74=1),"*","")</f>
        <v/>
      </c>
      <c r="O74" s="38"/>
      <c r="P74" s="38"/>
      <c r="Q74" s="38"/>
      <c r="R74" s="38"/>
      <c r="S74" s="38">
        <f>IF(B74="[V]",1,0)</f>
        <v>0</v>
      </c>
      <c r="T74" s="38"/>
      <c r="U74" s="38"/>
    </row>
    <row r="75" spans="1:21" s="6" customFormat="1" ht="21" customHeight="1" x14ac:dyDescent="0.3">
      <c r="A75" s="36"/>
      <c r="B75" s="45" t="s">
        <v>110</v>
      </c>
      <c r="C75" s="93" t="s">
        <v>139</v>
      </c>
      <c r="D75" s="93"/>
      <c r="E75" s="93"/>
      <c r="F75" s="93"/>
      <c r="G75" s="93"/>
      <c r="H75" s="93"/>
      <c r="I75" s="93"/>
      <c r="J75" s="93"/>
      <c r="K75" s="93"/>
      <c r="L75" s="93"/>
      <c r="M75" s="142"/>
      <c r="N75" s="44" t="str">
        <f t="shared" si="5"/>
        <v/>
      </c>
      <c r="O75" s="38"/>
      <c r="P75" s="38"/>
      <c r="Q75" s="38"/>
      <c r="R75" s="38"/>
      <c r="S75" s="38">
        <f t="shared" ref="S75:S77" si="6">IF(B75="[V]",1,0)</f>
        <v>0</v>
      </c>
      <c r="T75" s="38"/>
      <c r="U75" s="38"/>
    </row>
    <row r="76" spans="1:21" s="6" customFormat="1" ht="21" customHeight="1" x14ac:dyDescent="0.3">
      <c r="A76" s="36"/>
      <c r="B76" s="45" t="s">
        <v>110</v>
      </c>
      <c r="C76" s="93" t="s">
        <v>140</v>
      </c>
      <c r="D76" s="93"/>
      <c r="E76" s="93"/>
      <c r="F76" s="93"/>
      <c r="G76" s="93"/>
      <c r="H76" s="93"/>
      <c r="I76" s="93"/>
      <c r="J76" s="93"/>
      <c r="K76" s="93"/>
      <c r="L76" s="93"/>
      <c r="M76" s="142"/>
      <c r="N76" s="44" t="str">
        <f t="shared" si="5"/>
        <v/>
      </c>
      <c r="O76" s="38"/>
      <c r="P76" s="38"/>
      <c r="Q76" s="38"/>
      <c r="R76" s="38"/>
      <c r="S76" s="38">
        <f t="shared" si="6"/>
        <v>0</v>
      </c>
      <c r="T76" s="38"/>
      <c r="U76" s="38"/>
    </row>
    <row r="77" spans="1:21" s="6" customFormat="1" ht="21" customHeight="1" x14ac:dyDescent="0.3">
      <c r="A77" s="36"/>
      <c r="B77" s="45" t="s">
        <v>110</v>
      </c>
      <c r="C77" s="93" t="s">
        <v>141</v>
      </c>
      <c r="D77" s="93"/>
      <c r="E77" s="93"/>
      <c r="F77" s="93"/>
      <c r="G77" s="93"/>
      <c r="H77" s="93"/>
      <c r="I77" s="93"/>
      <c r="J77" s="93"/>
      <c r="K77" s="93"/>
      <c r="L77" s="93"/>
      <c r="M77" s="142"/>
      <c r="N77" s="44" t="str">
        <f t="shared" si="5"/>
        <v/>
      </c>
      <c r="O77" s="38"/>
      <c r="P77" s="38"/>
      <c r="Q77" s="38"/>
      <c r="R77" s="38"/>
      <c r="S77" s="38">
        <f t="shared" si="6"/>
        <v>0</v>
      </c>
      <c r="T77" s="38"/>
      <c r="U77" s="38"/>
    </row>
    <row r="78" spans="1:21" s="6" customFormat="1" ht="21" customHeight="1" x14ac:dyDescent="0.3">
      <c r="A78" s="36"/>
      <c r="B78" s="63" t="s">
        <v>110</v>
      </c>
      <c r="C78" s="145" t="s">
        <v>136</v>
      </c>
      <c r="D78" s="145"/>
      <c r="E78" s="145"/>
      <c r="F78" s="145"/>
      <c r="G78" s="145"/>
      <c r="H78" s="145"/>
      <c r="I78" s="145"/>
      <c r="J78" s="145"/>
      <c r="K78" s="145"/>
      <c r="L78" s="145"/>
      <c r="M78" s="146"/>
      <c r="N78" s="44" t="str">
        <f t="shared" si="5"/>
        <v/>
      </c>
      <c r="O78" s="38"/>
      <c r="P78" s="38"/>
      <c r="Q78" s="38"/>
      <c r="R78" s="38"/>
      <c r="S78" s="38"/>
      <c r="T78" s="38">
        <f>IF(B78="[v]",1,0)</f>
        <v>0</v>
      </c>
      <c r="U78" s="38"/>
    </row>
    <row r="79" spans="1:21" s="6" customFormat="1" ht="21" customHeight="1" x14ac:dyDescent="0.3">
      <c r="A79" s="153" t="s">
        <v>37</v>
      </c>
      <c r="B79" s="154"/>
      <c r="C79" s="154"/>
      <c r="D79" s="154"/>
      <c r="E79" s="154"/>
      <c r="F79" s="154"/>
      <c r="G79" s="154"/>
      <c r="H79" s="154"/>
      <c r="I79" s="154"/>
      <c r="J79" s="154"/>
      <c r="K79" s="154"/>
      <c r="L79" s="154"/>
      <c r="M79" s="155"/>
      <c r="N79" s="44" t="str">
        <f t="shared" si="5"/>
        <v/>
      </c>
      <c r="O79" s="38"/>
      <c r="P79" s="38"/>
      <c r="Q79" s="38"/>
      <c r="R79" s="38"/>
      <c r="S79" s="38"/>
      <c r="T79" s="38"/>
      <c r="U79" s="38"/>
    </row>
    <row r="80" spans="1:21" s="6" customFormat="1" ht="21" customHeight="1" x14ac:dyDescent="0.3">
      <c r="A80" s="36"/>
      <c r="B80" s="45" t="s">
        <v>110</v>
      </c>
      <c r="C80" s="118" t="s">
        <v>131</v>
      </c>
      <c r="D80" s="118"/>
      <c r="E80" s="118"/>
      <c r="F80" s="118"/>
      <c r="G80" s="118"/>
      <c r="H80" s="118"/>
      <c r="I80" s="118"/>
      <c r="J80" s="118"/>
      <c r="K80" s="118"/>
      <c r="L80" s="118"/>
      <c r="M80" s="165"/>
      <c r="N80" s="44" t="str">
        <f t="shared" si="5"/>
        <v/>
      </c>
      <c r="O80" s="38"/>
      <c r="P80" s="38"/>
      <c r="Q80" s="38">
        <f>IF(B80="[V]",1,0)</f>
        <v>0</v>
      </c>
      <c r="R80" s="38"/>
      <c r="S80" s="38"/>
      <c r="T80" s="38"/>
      <c r="U80" s="38"/>
    </row>
    <row r="81" spans="1:21" s="6" customFormat="1" ht="21" customHeight="1" x14ac:dyDescent="0.3">
      <c r="A81" s="36"/>
      <c r="B81" s="45" t="s">
        <v>110</v>
      </c>
      <c r="C81" s="118" t="s">
        <v>132</v>
      </c>
      <c r="D81" s="118"/>
      <c r="E81" s="118"/>
      <c r="F81" s="118"/>
      <c r="G81" s="118"/>
      <c r="H81" s="118"/>
      <c r="I81" s="118"/>
      <c r="J81" s="118"/>
      <c r="K81" s="118"/>
      <c r="L81" s="118"/>
      <c r="M81" s="165"/>
      <c r="N81" s="44" t="str">
        <f t="shared" si="5"/>
        <v/>
      </c>
      <c r="O81" s="38"/>
      <c r="P81" s="38"/>
      <c r="Q81" s="38">
        <f t="shared" ref="Q81:Q82" si="7">IF(B81="[V]",1,0)</f>
        <v>0</v>
      </c>
      <c r="R81" s="38"/>
      <c r="S81" s="38"/>
      <c r="T81" s="38"/>
      <c r="U81" s="38"/>
    </row>
    <row r="82" spans="1:21" s="6" customFormat="1" ht="21" customHeight="1" x14ac:dyDescent="0.3">
      <c r="A82" s="36"/>
      <c r="B82" s="45" t="s">
        <v>110</v>
      </c>
      <c r="C82" s="118" t="s">
        <v>133</v>
      </c>
      <c r="D82" s="118"/>
      <c r="E82" s="118"/>
      <c r="F82" s="118"/>
      <c r="G82" s="118"/>
      <c r="H82" s="118"/>
      <c r="I82" s="118"/>
      <c r="J82" s="118"/>
      <c r="K82" s="118"/>
      <c r="L82" s="118"/>
      <c r="M82" s="165"/>
      <c r="N82" s="44" t="str">
        <f t="shared" si="5"/>
        <v/>
      </c>
      <c r="O82" s="38"/>
      <c r="P82" s="38"/>
      <c r="Q82" s="38">
        <f t="shared" si="7"/>
        <v>0</v>
      </c>
      <c r="R82" s="38"/>
      <c r="S82" s="38"/>
      <c r="T82" s="38"/>
      <c r="U82" s="38"/>
    </row>
    <row r="83" spans="1:21" s="6" customFormat="1" ht="21" customHeight="1" x14ac:dyDescent="0.3">
      <c r="A83" s="36"/>
      <c r="B83" s="45" t="s">
        <v>110</v>
      </c>
      <c r="C83" s="118" t="s">
        <v>134</v>
      </c>
      <c r="D83" s="118"/>
      <c r="E83" s="118"/>
      <c r="F83" s="118"/>
      <c r="G83" s="118"/>
      <c r="H83" s="118"/>
      <c r="I83" s="118"/>
      <c r="J83" s="118"/>
      <c r="K83" s="118"/>
      <c r="L83" s="118"/>
      <c r="M83" s="165"/>
      <c r="N83" s="44" t="str">
        <f t="shared" si="5"/>
        <v/>
      </c>
      <c r="O83" s="38"/>
      <c r="P83" s="38">
        <f>IF(B83="[V]",1,0)</f>
        <v>0</v>
      </c>
      <c r="Q83" s="38"/>
      <c r="R83" s="38"/>
      <c r="S83" s="38"/>
      <c r="T83" s="38"/>
      <c r="U83" s="38"/>
    </row>
    <row r="84" spans="1:21" s="6" customFormat="1" ht="59.45" customHeight="1" x14ac:dyDescent="0.3">
      <c r="A84" s="35"/>
      <c r="B84" s="45" t="s">
        <v>110</v>
      </c>
      <c r="C84" s="167" t="s">
        <v>142</v>
      </c>
      <c r="D84" s="167"/>
      <c r="E84" s="167"/>
      <c r="F84" s="167"/>
      <c r="G84" s="167"/>
      <c r="H84" s="167"/>
      <c r="I84" s="167"/>
      <c r="J84" s="167"/>
      <c r="K84" s="167"/>
      <c r="L84" s="167"/>
      <c r="M84" s="168"/>
      <c r="N84" s="44" t="str">
        <f t="shared" si="5"/>
        <v/>
      </c>
      <c r="O84" s="38">
        <f>IF(B84="[V]",1,0)</f>
        <v>0</v>
      </c>
      <c r="P84" s="38"/>
      <c r="Q84" s="38"/>
      <c r="R84" s="38"/>
      <c r="S84" s="38"/>
      <c r="T84" s="38"/>
      <c r="U84" s="38"/>
    </row>
    <row r="85" spans="1:21" s="6" customFormat="1" ht="21" customHeight="1" x14ac:dyDescent="0.3">
      <c r="A85" s="172" t="s">
        <v>38</v>
      </c>
      <c r="B85" s="173"/>
      <c r="C85" s="173"/>
      <c r="D85" s="173"/>
      <c r="E85" s="173"/>
      <c r="F85" s="173"/>
      <c r="G85" s="173"/>
      <c r="H85" s="173"/>
      <c r="I85" s="173"/>
      <c r="J85" s="173"/>
      <c r="K85" s="173"/>
      <c r="L85" s="173"/>
      <c r="M85" s="174"/>
      <c r="N85" s="44" t="str">
        <f t="shared" si="5"/>
        <v/>
      </c>
      <c r="O85" s="38"/>
      <c r="P85" s="38"/>
      <c r="Q85" s="38"/>
      <c r="R85" s="38"/>
      <c r="S85" s="38"/>
      <c r="T85" s="38"/>
      <c r="U85" s="38"/>
    </row>
    <row r="86" spans="1:21" s="6" customFormat="1" ht="21" customHeight="1" x14ac:dyDescent="0.3">
      <c r="A86" s="117" t="s">
        <v>39</v>
      </c>
      <c r="B86" s="118"/>
      <c r="C86" s="118"/>
      <c r="D86" s="118"/>
      <c r="E86" s="118"/>
      <c r="F86" s="118"/>
      <c r="G86" s="118"/>
      <c r="H86" s="118"/>
      <c r="I86" s="118"/>
      <c r="J86" s="118"/>
      <c r="K86" s="118"/>
      <c r="L86" s="118"/>
      <c r="M86" s="165"/>
      <c r="N86" s="44" t="str">
        <f t="shared" si="5"/>
        <v/>
      </c>
      <c r="O86" s="38"/>
      <c r="P86" s="38"/>
      <c r="Q86" s="38"/>
      <c r="R86" s="38"/>
      <c r="S86" s="38"/>
      <c r="T86" s="38"/>
      <c r="U86" s="38"/>
    </row>
    <row r="87" spans="1:21" s="6" customFormat="1" ht="21" customHeight="1" x14ac:dyDescent="0.3">
      <c r="A87" s="36"/>
      <c r="B87" s="45" t="s">
        <v>110</v>
      </c>
      <c r="C87" s="118" t="s">
        <v>131</v>
      </c>
      <c r="D87" s="118"/>
      <c r="E87" s="118"/>
      <c r="F87" s="118"/>
      <c r="G87" s="118"/>
      <c r="H87" s="118"/>
      <c r="I87" s="118"/>
      <c r="J87" s="118"/>
      <c r="K87" s="118"/>
      <c r="L87" s="118"/>
      <c r="M87" s="165"/>
      <c r="N87" s="44" t="str">
        <f t="shared" si="5"/>
        <v/>
      </c>
      <c r="O87" s="38"/>
      <c r="P87" s="38"/>
      <c r="Q87" s="38">
        <f>IF(B87="[V]",1,0)</f>
        <v>0</v>
      </c>
      <c r="R87" s="38"/>
      <c r="S87" s="38"/>
      <c r="T87" s="38"/>
      <c r="U87" s="38"/>
    </row>
    <row r="88" spans="1:21" s="6" customFormat="1" ht="21" customHeight="1" x14ac:dyDescent="0.3">
      <c r="A88" s="36"/>
      <c r="B88" s="45" t="s">
        <v>110</v>
      </c>
      <c r="C88" s="118" t="s">
        <v>132</v>
      </c>
      <c r="D88" s="118"/>
      <c r="E88" s="118"/>
      <c r="F88" s="118"/>
      <c r="G88" s="118"/>
      <c r="H88" s="118"/>
      <c r="I88" s="118"/>
      <c r="J88" s="118"/>
      <c r="K88" s="118"/>
      <c r="L88" s="118"/>
      <c r="M88" s="165"/>
      <c r="N88" s="44" t="str">
        <f t="shared" si="5"/>
        <v/>
      </c>
      <c r="O88" s="38"/>
      <c r="P88" s="38"/>
      <c r="Q88" s="38">
        <f t="shared" ref="Q88:Q89" si="8">IF(B88="[V]",1,0)</f>
        <v>0</v>
      </c>
      <c r="R88" s="38"/>
      <c r="S88" s="38"/>
      <c r="T88" s="38"/>
      <c r="U88" s="38"/>
    </row>
    <row r="89" spans="1:21" s="6" customFormat="1" ht="21" customHeight="1" x14ac:dyDescent="0.3">
      <c r="A89" s="36"/>
      <c r="B89" s="45" t="s">
        <v>110</v>
      </c>
      <c r="C89" s="118" t="s">
        <v>133</v>
      </c>
      <c r="D89" s="118"/>
      <c r="E89" s="118"/>
      <c r="F89" s="118"/>
      <c r="G89" s="118"/>
      <c r="H89" s="118"/>
      <c r="I89" s="118"/>
      <c r="J89" s="118"/>
      <c r="K89" s="118"/>
      <c r="L89" s="118"/>
      <c r="M89" s="165"/>
      <c r="N89" s="44" t="str">
        <f t="shared" si="5"/>
        <v/>
      </c>
      <c r="O89" s="38"/>
      <c r="P89" s="38"/>
      <c r="Q89" s="38">
        <f t="shared" si="8"/>
        <v>0</v>
      </c>
      <c r="R89" s="38"/>
      <c r="S89" s="38"/>
      <c r="T89" s="38"/>
      <c r="U89" s="38"/>
    </row>
    <row r="90" spans="1:21" s="6" customFormat="1" ht="21" customHeight="1" x14ac:dyDescent="0.3">
      <c r="A90" s="36"/>
      <c r="B90" s="45" t="s">
        <v>110</v>
      </c>
      <c r="C90" s="118" t="s">
        <v>134</v>
      </c>
      <c r="D90" s="118"/>
      <c r="E90" s="118"/>
      <c r="F90" s="118"/>
      <c r="G90" s="118"/>
      <c r="H90" s="118"/>
      <c r="I90" s="118"/>
      <c r="J90" s="118"/>
      <c r="K90" s="118"/>
      <c r="L90" s="118"/>
      <c r="M90" s="165"/>
      <c r="N90" s="44" t="str">
        <f t="shared" si="5"/>
        <v/>
      </c>
      <c r="O90" s="38"/>
      <c r="P90" s="38">
        <f>IF(B90="[V]",1,0)</f>
        <v>0</v>
      </c>
      <c r="Q90" s="38"/>
      <c r="R90" s="38"/>
      <c r="S90" s="38"/>
      <c r="T90" s="38"/>
      <c r="U90" s="38"/>
    </row>
    <row r="91" spans="1:21" s="6" customFormat="1" ht="86.45" customHeight="1" x14ac:dyDescent="0.3">
      <c r="A91" s="35"/>
      <c r="B91" s="45" t="s">
        <v>110</v>
      </c>
      <c r="C91" s="167" t="s">
        <v>143</v>
      </c>
      <c r="D91" s="167"/>
      <c r="E91" s="167"/>
      <c r="F91" s="167"/>
      <c r="G91" s="167"/>
      <c r="H91" s="167"/>
      <c r="I91" s="167"/>
      <c r="J91" s="167"/>
      <c r="K91" s="167"/>
      <c r="L91" s="167"/>
      <c r="M91" s="168"/>
      <c r="N91" s="44" t="str">
        <f t="shared" si="5"/>
        <v/>
      </c>
      <c r="O91" s="38">
        <f>IF(B91="[V]",1,0)</f>
        <v>0</v>
      </c>
      <c r="P91" s="38"/>
      <c r="Q91" s="38"/>
      <c r="R91" s="38"/>
      <c r="S91" s="38"/>
      <c r="T91" s="38"/>
      <c r="U91" s="38"/>
    </row>
    <row r="92" spans="1:21" s="6" customFormat="1" ht="21" customHeight="1" x14ac:dyDescent="0.3">
      <c r="A92" s="153" t="s">
        <v>40</v>
      </c>
      <c r="B92" s="154"/>
      <c r="C92" s="154"/>
      <c r="D92" s="154"/>
      <c r="E92" s="154"/>
      <c r="F92" s="154"/>
      <c r="G92" s="154"/>
      <c r="H92" s="154"/>
      <c r="I92" s="154"/>
      <c r="J92" s="154"/>
      <c r="K92" s="154"/>
      <c r="L92" s="154"/>
      <c r="M92" s="155"/>
      <c r="N92" s="44" t="str">
        <f t="shared" si="5"/>
        <v/>
      </c>
      <c r="O92" s="38"/>
      <c r="P92" s="38"/>
      <c r="Q92" s="38"/>
      <c r="R92" s="38"/>
      <c r="S92" s="38"/>
      <c r="T92" s="38"/>
      <c r="U92" s="38"/>
    </row>
    <row r="93" spans="1:21" s="6" customFormat="1" ht="21" customHeight="1" x14ac:dyDescent="0.3">
      <c r="A93" s="36"/>
      <c r="B93" s="45" t="s">
        <v>110</v>
      </c>
      <c r="C93" s="118" t="s">
        <v>131</v>
      </c>
      <c r="D93" s="118"/>
      <c r="E93" s="118"/>
      <c r="F93" s="118"/>
      <c r="G93" s="118"/>
      <c r="H93" s="118"/>
      <c r="I93" s="118"/>
      <c r="J93" s="118"/>
      <c r="K93" s="118"/>
      <c r="L93" s="118"/>
      <c r="M93" s="165"/>
      <c r="N93" s="44" t="str">
        <f t="shared" si="5"/>
        <v/>
      </c>
      <c r="O93" s="38"/>
      <c r="P93" s="38"/>
      <c r="Q93" s="38">
        <f>IF(B93="[V]",1,0)</f>
        <v>0</v>
      </c>
      <c r="R93" s="38"/>
      <c r="S93" s="38"/>
      <c r="T93" s="38"/>
      <c r="U93" s="38"/>
    </row>
    <row r="94" spans="1:21" s="6" customFormat="1" ht="21" customHeight="1" x14ac:dyDescent="0.3">
      <c r="A94" s="36"/>
      <c r="B94" s="45" t="s">
        <v>110</v>
      </c>
      <c r="C94" s="118" t="s">
        <v>132</v>
      </c>
      <c r="D94" s="118"/>
      <c r="E94" s="118"/>
      <c r="F94" s="118"/>
      <c r="G94" s="118"/>
      <c r="H94" s="118"/>
      <c r="I94" s="118"/>
      <c r="J94" s="118"/>
      <c r="K94" s="118"/>
      <c r="L94" s="118"/>
      <c r="M94" s="165"/>
      <c r="N94" s="44" t="str">
        <f t="shared" si="5"/>
        <v/>
      </c>
      <c r="O94" s="38"/>
      <c r="P94" s="38"/>
      <c r="Q94" s="38">
        <f t="shared" ref="Q94:Q95" si="9">IF(B94="[V]",1,0)</f>
        <v>0</v>
      </c>
      <c r="R94" s="38"/>
      <c r="S94" s="38"/>
      <c r="T94" s="38"/>
      <c r="U94" s="38"/>
    </row>
    <row r="95" spans="1:21" s="6" customFormat="1" ht="21" customHeight="1" x14ac:dyDescent="0.3">
      <c r="A95" s="36"/>
      <c r="B95" s="45" t="s">
        <v>110</v>
      </c>
      <c r="C95" s="118" t="s">
        <v>133</v>
      </c>
      <c r="D95" s="118"/>
      <c r="E95" s="118"/>
      <c r="F95" s="118"/>
      <c r="G95" s="118"/>
      <c r="H95" s="118"/>
      <c r="I95" s="118"/>
      <c r="J95" s="118"/>
      <c r="K95" s="118"/>
      <c r="L95" s="118"/>
      <c r="M95" s="165"/>
      <c r="N95" s="44" t="str">
        <f t="shared" si="5"/>
        <v/>
      </c>
      <c r="O95" s="38"/>
      <c r="P95" s="38"/>
      <c r="Q95" s="38">
        <f t="shared" si="9"/>
        <v>0</v>
      </c>
      <c r="R95" s="38"/>
      <c r="S95" s="38"/>
      <c r="T95" s="38"/>
      <c r="U95" s="38"/>
    </row>
    <row r="96" spans="1:21" s="6" customFormat="1" ht="21" customHeight="1" x14ac:dyDescent="0.3">
      <c r="A96" s="36"/>
      <c r="B96" s="45" t="s">
        <v>110</v>
      </c>
      <c r="C96" s="118" t="s">
        <v>134</v>
      </c>
      <c r="D96" s="118"/>
      <c r="E96" s="118"/>
      <c r="F96" s="118"/>
      <c r="G96" s="118"/>
      <c r="H96" s="118"/>
      <c r="I96" s="118"/>
      <c r="J96" s="118"/>
      <c r="K96" s="118"/>
      <c r="L96" s="118"/>
      <c r="M96" s="165"/>
      <c r="N96" s="44" t="str">
        <f t="shared" si="5"/>
        <v/>
      </c>
      <c r="O96" s="38"/>
      <c r="P96" s="38">
        <f>IF(B96="[V]",1,0)</f>
        <v>0</v>
      </c>
      <c r="Q96" s="38"/>
      <c r="R96" s="38"/>
      <c r="S96" s="38"/>
      <c r="T96" s="38"/>
      <c r="U96" s="38"/>
    </row>
    <row r="97" spans="1:21" s="6" customFormat="1" ht="33" customHeight="1" x14ac:dyDescent="0.3">
      <c r="A97" s="35"/>
      <c r="B97" s="45" t="s">
        <v>110</v>
      </c>
      <c r="C97" s="167" t="s">
        <v>144</v>
      </c>
      <c r="D97" s="167"/>
      <c r="E97" s="167"/>
      <c r="F97" s="167"/>
      <c r="G97" s="167"/>
      <c r="H97" s="167"/>
      <c r="I97" s="167"/>
      <c r="J97" s="167"/>
      <c r="K97" s="167"/>
      <c r="L97" s="167"/>
      <c r="M97" s="168"/>
      <c r="N97" s="44" t="str">
        <f t="shared" si="5"/>
        <v/>
      </c>
      <c r="O97" s="38">
        <f>IF(B97="[V]",1,0)</f>
        <v>0</v>
      </c>
      <c r="P97" s="38"/>
      <c r="Q97" s="38"/>
      <c r="R97" s="38"/>
      <c r="S97" s="38"/>
      <c r="T97" s="38"/>
      <c r="U97" s="38"/>
    </row>
    <row r="98" spans="1:21" s="6" customFormat="1" ht="21" customHeight="1" x14ac:dyDescent="0.3">
      <c r="A98" s="153" t="s">
        <v>41</v>
      </c>
      <c r="B98" s="154"/>
      <c r="C98" s="154"/>
      <c r="D98" s="154"/>
      <c r="E98" s="154"/>
      <c r="F98" s="154"/>
      <c r="G98" s="154"/>
      <c r="H98" s="154"/>
      <c r="I98" s="154"/>
      <c r="J98" s="154"/>
      <c r="K98" s="154"/>
      <c r="L98" s="154"/>
      <c r="M98" s="155"/>
      <c r="N98" s="44" t="str">
        <f t="shared" si="5"/>
        <v/>
      </c>
      <c r="O98" s="38"/>
      <c r="P98" s="38"/>
      <c r="Q98" s="38"/>
      <c r="R98" s="38"/>
      <c r="S98" s="38"/>
      <c r="T98" s="38"/>
      <c r="U98" s="38"/>
    </row>
    <row r="99" spans="1:21" s="6" customFormat="1" ht="21" customHeight="1" x14ac:dyDescent="0.3">
      <c r="A99" s="36"/>
      <c r="B99" s="45" t="s">
        <v>110</v>
      </c>
      <c r="C99" s="118" t="s">
        <v>131</v>
      </c>
      <c r="D99" s="118"/>
      <c r="E99" s="118"/>
      <c r="F99" s="118"/>
      <c r="G99" s="118"/>
      <c r="H99" s="118"/>
      <c r="I99" s="118"/>
      <c r="J99" s="118"/>
      <c r="K99" s="118"/>
      <c r="L99" s="118"/>
      <c r="M99" s="165"/>
      <c r="N99" s="44" t="str">
        <f t="shared" si="5"/>
        <v/>
      </c>
      <c r="O99" s="38"/>
      <c r="P99" s="38"/>
      <c r="Q99" s="38">
        <f>IF(B99="[V]",1,0)</f>
        <v>0</v>
      </c>
      <c r="R99" s="38"/>
      <c r="S99" s="38"/>
      <c r="T99" s="38"/>
      <c r="U99" s="38"/>
    </row>
    <row r="100" spans="1:21" s="6" customFormat="1" ht="21" customHeight="1" x14ac:dyDescent="0.3">
      <c r="A100" s="36"/>
      <c r="B100" s="45" t="s">
        <v>110</v>
      </c>
      <c r="C100" s="118" t="s">
        <v>132</v>
      </c>
      <c r="D100" s="118"/>
      <c r="E100" s="118"/>
      <c r="F100" s="118"/>
      <c r="G100" s="118"/>
      <c r="H100" s="118"/>
      <c r="I100" s="118"/>
      <c r="J100" s="118"/>
      <c r="K100" s="118"/>
      <c r="L100" s="118"/>
      <c r="M100" s="165"/>
      <c r="N100" s="44" t="str">
        <f t="shared" si="5"/>
        <v/>
      </c>
      <c r="O100" s="38"/>
      <c r="P100" s="38"/>
      <c r="Q100" s="38">
        <f t="shared" ref="Q100:Q101" si="10">IF(B100="[V]",1,0)</f>
        <v>0</v>
      </c>
      <c r="R100" s="38"/>
      <c r="S100" s="38"/>
      <c r="T100" s="38"/>
      <c r="U100" s="38"/>
    </row>
    <row r="101" spans="1:21" s="6" customFormat="1" ht="21" customHeight="1" x14ac:dyDescent="0.3">
      <c r="A101" s="36"/>
      <c r="B101" s="45" t="s">
        <v>110</v>
      </c>
      <c r="C101" s="118" t="s">
        <v>133</v>
      </c>
      <c r="D101" s="118"/>
      <c r="E101" s="118"/>
      <c r="F101" s="118"/>
      <c r="G101" s="118"/>
      <c r="H101" s="118"/>
      <c r="I101" s="118"/>
      <c r="J101" s="118"/>
      <c r="K101" s="118"/>
      <c r="L101" s="118"/>
      <c r="M101" s="165"/>
      <c r="N101" s="44" t="str">
        <f t="shared" si="5"/>
        <v/>
      </c>
      <c r="O101" s="38"/>
      <c r="P101" s="38"/>
      <c r="Q101" s="38">
        <f t="shared" si="10"/>
        <v>0</v>
      </c>
      <c r="R101" s="38"/>
      <c r="S101" s="38"/>
      <c r="T101" s="38"/>
      <c r="U101" s="38"/>
    </row>
    <row r="102" spans="1:21" s="6" customFormat="1" ht="21" customHeight="1" x14ac:dyDescent="0.3">
      <c r="A102" s="36"/>
      <c r="B102" s="45" t="s">
        <v>110</v>
      </c>
      <c r="C102" s="118" t="s">
        <v>134</v>
      </c>
      <c r="D102" s="118"/>
      <c r="E102" s="118"/>
      <c r="F102" s="118"/>
      <c r="G102" s="118"/>
      <c r="H102" s="118"/>
      <c r="I102" s="118"/>
      <c r="J102" s="118"/>
      <c r="K102" s="118"/>
      <c r="L102" s="118"/>
      <c r="M102" s="165"/>
      <c r="N102" s="44" t="str">
        <f t="shared" si="5"/>
        <v/>
      </c>
      <c r="O102" s="38"/>
      <c r="P102" s="38">
        <f>IF(B102="[V]",1,0)</f>
        <v>0</v>
      </c>
      <c r="Q102" s="38"/>
      <c r="R102" s="38"/>
      <c r="S102" s="38"/>
      <c r="T102" s="38"/>
      <c r="U102" s="38"/>
    </row>
    <row r="103" spans="1:21" s="6" customFormat="1" ht="60" customHeight="1" x14ac:dyDescent="0.3">
      <c r="A103" s="35"/>
      <c r="B103" s="45" t="s">
        <v>110</v>
      </c>
      <c r="C103" s="167" t="s">
        <v>145</v>
      </c>
      <c r="D103" s="167"/>
      <c r="E103" s="167"/>
      <c r="F103" s="167"/>
      <c r="G103" s="167"/>
      <c r="H103" s="167"/>
      <c r="I103" s="167"/>
      <c r="J103" s="167"/>
      <c r="K103" s="167"/>
      <c r="L103" s="167"/>
      <c r="M103" s="168"/>
      <c r="N103" s="44" t="str">
        <f t="shared" si="5"/>
        <v/>
      </c>
      <c r="O103" s="38">
        <f>IF(B103="[V]",1,0)</f>
        <v>0</v>
      </c>
      <c r="P103" s="38"/>
      <c r="Q103" s="38"/>
      <c r="R103" s="38"/>
      <c r="S103" s="38"/>
      <c r="T103" s="38"/>
      <c r="U103" s="38"/>
    </row>
    <row r="104" spans="1:21" s="6" customFormat="1" ht="21" customHeight="1" x14ac:dyDescent="0.3">
      <c r="A104" s="162" t="s">
        <v>42</v>
      </c>
      <c r="B104" s="163"/>
      <c r="C104" s="163"/>
      <c r="D104" s="163"/>
      <c r="E104" s="163"/>
      <c r="F104" s="163"/>
      <c r="G104" s="163"/>
      <c r="H104" s="163"/>
      <c r="I104" s="163"/>
      <c r="J104" s="163"/>
      <c r="K104" s="163"/>
      <c r="L104" s="163"/>
      <c r="M104" s="164"/>
      <c r="N104" s="44" t="str">
        <f t="shared" si="5"/>
        <v/>
      </c>
      <c r="O104" s="38"/>
      <c r="P104" s="38"/>
      <c r="Q104" s="38"/>
      <c r="R104" s="38"/>
      <c r="S104" s="38"/>
      <c r="T104" s="38"/>
      <c r="U104" s="38"/>
    </row>
    <row r="105" spans="1:21" s="6" customFormat="1" ht="45" customHeight="1" x14ac:dyDescent="0.3">
      <c r="A105" s="159" t="s">
        <v>43</v>
      </c>
      <c r="B105" s="160"/>
      <c r="C105" s="160"/>
      <c r="D105" s="160"/>
      <c r="E105" s="160"/>
      <c r="F105" s="160"/>
      <c r="G105" s="161"/>
      <c r="H105" s="45" t="s">
        <v>110</v>
      </c>
      <c r="I105" s="47" t="s">
        <v>111</v>
      </c>
      <c r="J105" s="45" t="s">
        <v>110</v>
      </c>
      <c r="K105" s="47" t="s">
        <v>109</v>
      </c>
      <c r="L105" s="45" t="s">
        <v>110</v>
      </c>
      <c r="M105" s="25" t="s">
        <v>108</v>
      </c>
      <c r="N105" s="44" t="str">
        <f t="shared" si="5"/>
        <v/>
      </c>
      <c r="O105" s="38"/>
      <c r="P105" s="38"/>
      <c r="Q105" s="38"/>
      <c r="R105" s="38">
        <f>IF(H105="[V]",1,0)</f>
        <v>0</v>
      </c>
      <c r="S105" s="38"/>
      <c r="T105" s="38">
        <f>IF(L105="[V]",1,0)</f>
        <v>0</v>
      </c>
      <c r="U105" s="38">
        <f>IF(J105="[V]",1,0)</f>
        <v>0</v>
      </c>
    </row>
    <row r="106" spans="1:21" s="6" customFormat="1" ht="42" customHeight="1" x14ac:dyDescent="0.3">
      <c r="A106" s="156" t="s">
        <v>44</v>
      </c>
      <c r="B106" s="157"/>
      <c r="C106" s="157"/>
      <c r="D106" s="157"/>
      <c r="E106" s="157"/>
      <c r="F106" s="157"/>
      <c r="G106" s="157"/>
      <c r="H106" s="157"/>
      <c r="I106" s="157"/>
      <c r="J106" s="157"/>
      <c r="K106" s="157"/>
      <c r="L106" s="157"/>
      <c r="M106" s="158"/>
      <c r="N106" s="44" t="str">
        <f t="shared" si="5"/>
        <v/>
      </c>
      <c r="O106" s="38"/>
      <c r="P106" s="38"/>
      <c r="Q106" s="38"/>
      <c r="R106" s="38"/>
      <c r="S106" s="38"/>
      <c r="T106" s="38"/>
      <c r="U106" s="38"/>
    </row>
    <row r="107" spans="1:21" s="6" customFormat="1" ht="21" customHeight="1" x14ac:dyDescent="0.3">
      <c r="A107" s="36"/>
      <c r="B107" s="45" t="s">
        <v>110</v>
      </c>
      <c r="C107" s="118" t="s">
        <v>146</v>
      </c>
      <c r="D107" s="118"/>
      <c r="E107" s="118"/>
      <c r="F107" s="118"/>
      <c r="G107" s="118"/>
      <c r="H107" s="118"/>
      <c r="I107" s="118"/>
      <c r="J107" s="118"/>
      <c r="K107" s="118"/>
      <c r="L107" s="118"/>
      <c r="M107" s="165"/>
      <c r="N107" s="44" t="str">
        <f t="shared" si="5"/>
        <v/>
      </c>
      <c r="O107" s="38"/>
      <c r="P107" s="38"/>
      <c r="Q107" s="38"/>
      <c r="R107" s="38"/>
      <c r="S107" s="38">
        <f t="shared" ref="S107:S116" si="11">IF(B107="[V]",1,0)</f>
        <v>0</v>
      </c>
      <c r="T107" s="38"/>
      <c r="U107" s="38"/>
    </row>
    <row r="108" spans="1:21" s="6" customFormat="1" ht="21" customHeight="1" x14ac:dyDescent="0.3">
      <c r="A108" s="36"/>
      <c r="B108" s="45" t="s">
        <v>110</v>
      </c>
      <c r="C108" s="118" t="s">
        <v>147</v>
      </c>
      <c r="D108" s="118"/>
      <c r="E108" s="118"/>
      <c r="F108" s="118"/>
      <c r="G108" s="118"/>
      <c r="H108" s="118"/>
      <c r="I108" s="118"/>
      <c r="J108" s="118"/>
      <c r="K108" s="118"/>
      <c r="L108" s="118"/>
      <c r="M108" s="165"/>
      <c r="N108" s="44" t="str">
        <f t="shared" si="5"/>
        <v/>
      </c>
      <c r="O108" s="38"/>
      <c r="P108" s="38"/>
      <c r="Q108" s="38"/>
      <c r="R108" s="38"/>
      <c r="S108" s="38">
        <f t="shared" si="11"/>
        <v>0</v>
      </c>
      <c r="T108" s="38"/>
      <c r="U108" s="38"/>
    </row>
    <row r="109" spans="1:21" s="6" customFormat="1" ht="21" customHeight="1" x14ac:dyDescent="0.3">
      <c r="A109" s="36"/>
      <c r="B109" s="45" t="s">
        <v>110</v>
      </c>
      <c r="C109" s="118" t="s">
        <v>148</v>
      </c>
      <c r="D109" s="118"/>
      <c r="E109" s="118"/>
      <c r="F109" s="118"/>
      <c r="G109" s="118"/>
      <c r="H109" s="118"/>
      <c r="I109" s="118"/>
      <c r="J109" s="118"/>
      <c r="K109" s="118"/>
      <c r="L109" s="118"/>
      <c r="M109" s="165"/>
      <c r="N109" s="44" t="str">
        <f t="shared" si="5"/>
        <v/>
      </c>
      <c r="O109" s="38"/>
      <c r="P109" s="38"/>
      <c r="Q109" s="38"/>
      <c r="R109" s="38"/>
      <c r="S109" s="38">
        <f t="shared" si="11"/>
        <v>0</v>
      </c>
      <c r="T109" s="38"/>
      <c r="U109" s="38"/>
    </row>
    <row r="110" spans="1:21" s="6" customFormat="1" ht="21" customHeight="1" x14ac:dyDescent="0.3">
      <c r="A110" s="36"/>
      <c r="B110" s="45" t="s">
        <v>110</v>
      </c>
      <c r="C110" s="118" t="s">
        <v>149</v>
      </c>
      <c r="D110" s="118"/>
      <c r="E110" s="118"/>
      <c r="F110" s="118"/>
      <c r="G110" s="118"/>
      <c r="H110" s="118"/>
      <c r="I110" s="118"/>
      <c r="J110" s="118"/>
      <c r="K110" s="118"/>
      <c r="L110" s="118"/>
      <c r="M110" s="165"/>
      <c r="N110" s="44" t="str">
        <f t="shared" si="5"/>
        <v/>
      </c>
      <c r="O110" s="38"/>
      <c r="P110" s="38"/>
      <c r="Q110" s="38"/>
      <c r="R110" s="38"/>
      <c r="S110" s="38">
        <f t="shared" si="11"/>
        <v>0</v>
      </c>
      <c r="T110" s="38"/>
      <c r="U110" s="38"/>
    </row>
    <row r="111" spans="1:21" s="6" customFormat="1" ht="21" customHeight="1" x14ac:dyDescent="0.3">
      <c r="A111" s="37"/>
      <c r="B111" s="45" t="s">
        <v>110</v>
      </c>
      <c r="C111" s="118" t="s">
        <v>150</v>
      </c>
      <c r="D111" s="118"/>
      <c r="E111" s="118"/>
      <c r="F111" s="118"/>
      <c r="G111" s="118"/>
      <c r="H111" s="118"/>
      <c r="I111" s="118"/>
      <c r="J111" s="118"/>
      <c r="K111" s="118"/>
      <c r="L111" s="118"/>
      <c r="M111" s="165"/>
      <c r="N111" s="44" t="str">
        <f t="shared" si="5"/>
        <v/>
      </c>
      <c r="O111" s="38"/>
      <c r="P111" s="38"/>
      <c r="Q111" s="38"/>
      <c r="R111" s="38"/>
      <c r="S111" s="38"/>
      <c r="T111" s="38">
        <f>IF(B111="[v]",1,0)</f>
        <v>0</v>
      </c>
      <c r="U111" s="38"/>
    </row>
    <row r="112" spans="1:21" s="6" customFormat="1" ht="21" customHeight="1" x14ac:dyDescent="0.3">
      <c r="A112" s="153" t="s">
        <v>45</v>
      </c>
      <c r="B112" s="154"/>
      <c r="C112" s="154"/>
      <c r="D112" s="154"/>
      <c r="E112" s="154"/>
      <c r="F112" s="154"/>
      <c r="G112" s="154"/>
      <c r="H112" s="154"/>
      <c r="I112" s="154"/>
      <c r="J112" s="154"/>
      <c r="K112" s="154"/>
      <c r="L112" s="154"/>
      <c r="M112" s="155"/>
      <c r="N112" s="44" t="str">
        <f t="shared" si="5"/>
        <v/>
      </c>
      <c r="O112" s="38"/>
      <c r="P112" s="38"/>
      <c r="Q112" s="38"/>
      <c r="R112" s="38"/>
      <c r="S112" s="38"/>
      <c r="T112" s="38"/>
      <c r="U112" s="38"/>
    </row>
    <row r="113" spans="1:21" s="6" customFormat="1" ht="21" customHeight="1" x14ac:dyDescent="0.3">
      <c r="A113" s="36"/>
      <c r="B113" s="45" t="s">
        <v>110</v>
      </c>
      <c r="C113" s="118" t="s">
        <v>151</v>
      </c>
      <c r="D113" s="118"/>
      <c r="E113" s="118"/>
      <c r="F113" s="118"/>
      <c r="G113" s="118"/>
      <c r="H113" s="118"/>
      <c r="I113" s="118"/>
      <c r="J113" s="118"/>
      <c r="K113" s="118"/>
      <c r="L113" s="118"/>
      <c r="M113" s="165"/>
      <c r="N113" s="44" t="str">
        <f t="shared" si="5"/>
        <v/>
      </c>
      <c r="O113" s="38"/>
      <c r="P113" s="38"/>
      <c r="Q113" s="38"/>
      <c r="R113" s="38"/>
      <c r="S113" s="38">
        <f t="shared" si="11"/>
        <v>0</v>
      </c>
      <c r="T113" s="38"/>
      <c r="U113" s="38"/>
    </row>
    <row r="114" spans="1:21" s="6" customFormat="1" ht="21" customHeight="1" x14ac:dyDescent="0.3">
      <c r="A114" s="36"/>
      <c r="B114" s="45" t="s">
        <v>110</v>
      </c>
      <c r="C114" s="118" t="s">
        <v>152</v>
      </c>
      <c r="D114" s="118"/>
      <c r="E114" s="118"/>
      <c r="F114" s="118"/>
      <c r="G114" s="118"/>
      <c r="H114" s="118"/>
      <c r="I114" s="118"/>
      <c r="J114" s="118"/>
      <c r="K114" s="118"/>
      <c r="L114" s="118"/>
      <c r="M114" s="165"/>
      <c r="N114" s="44" t="str">
        <f t="shared" si="5"/>
        <v/>
      </c>
      <c r="O114" s="38"/>
      <c r="P114" s="38"/>
      <c r="Q114" s="38"/>
      <c r="R114" s="38"/>
      <c r="S114" s="38">
        <f t="shared" si="11"/>
        <v>0</v>
      </c>
      <c r="T114" s="38"/>
      <c r="U114" s="38"/>
    </row>
    <row r="115" spans="1:21" s="6" customFormat="1" ht="21" customHeight="1" x14ac:dyDescent="0.3">
      <c r="A115" s="36"/>
      <c r="B115" s="45" t="s">
        <v>110</v>
      </c>
      <c r="C115" s="118" t="s">
        <v>153</v>
      </c>
      <c r="D115" s="118"/>
      <c r="E115" s="118"/>
      <c r="F115" s="118"/>
      <c r="G115" s="118"/>
      <c r="H115" s="118"/>
      <c r="I115" s="118"/>
      <c r="J115" s="118"/>
      <c r="K115" s="118"/>
      <c r="L115" s="118"/>
      <c r="M115" s="165"/>
      <c r="N115" s="44" t="str">
        <f t="shared" si="5"/>
        <v/>
      </c>
      <c r="O115" s="38"/>
      <c r="P115" s="38"/>
      <c r="Q115" s="38"/>
      <c r="R115" s="38"/>
      <c r="S115" s="38">
        <f t="shared" si="11"/>
        <v>0</v>
      </c>
      <c r="T115" s="38"/>
      <c r="U115" s="38"/>
    </row>
    <row r="116" spans="1:21" s="6" customFormat="1" ht="21" customHeight="1" x14ac:dyDescent="0.3">
      <c r="A116" s="36"/>
      <c r="B116" s="45" t="s">
        <v>110</v>
      </c>
      <c r="C116" s="118" t="s">
        <v>154</v>
      </c>
      <c r="D116" s="118"/>
      <c r="E116" s="118"/>
      <c r="F116" s="118"/>
      <c r="G116" s="118"/>
      <c r="H116" s="118"/>
      <c r="I116" s="118"/>
      <c r="J116" s="118"/>
      <c r="K116" s="118"/>
      <c r="L116" s="118"/>
      <c r="M116" s="165"/>
      <c r="N116" s="44" t="str">
        <f t="shared" si="5"/>
        <v/>
      </c>
      <c r="O116" s="38"/>
      <c r="P116" s="38"/>
      <c r="Q116" s="38"/>
      <c r="R116" s="38"/>
      <c r="S116" s="38">
        <f t="shared" si="11"/>
        <v>0</v>
      </c>
      <c r="T116" s="38"/>
      <c r="U116" s="38"/>
    </row>
    <row r="117" spans="1:21" s="6" customFormat="1" ht="21" customHeight="1" x14ac:dyDescent="0.3">
      <c r="A117" s="37"/>
      <c r="B117" s="45" t="s">
        <v>110</v>
      </c>
      <c r="C117" s="118" t="s">
        <v>155</v>
      </c>
      <c r="D117" s="118"/>
      <c r="E117" s="118"/>
      <c r="F117" s="118"/>
      <c r="G117" s="118"/>
      <c r="H117" s="118"/>
      <c r="I117" s="118"/>
      <c r="J117" s="118"/>
      <c r="K117" s="118"/>
      <c r="L117" s="118"/>
      <c r="M117" s="165"/>
      <c r="N117" s="44" t="str">
        <f t="shared" si="5"/>
        <v/>
      </c>
      <c r="O117" s="38"/>
      <c r="P117" s="38"/>
      <c r="Q117" s="38"/>
      <c r="R117" s="38"/>
      <c r="S117" s="38"/>
      <c r="T117" s="38">
        <f>IF(B117="[v]",1,0)</f>
        <v>0</v>
      </c>
      <c r="U117" s="38"/>
    </row>
    <row r="118" spans="1:21" s="6" customFormat="1" ht="21" customHeight="1" x14ac:dyDescent="0.3">
      <c r="A118" s="169" t="s">
        <v>46</v>
      </c>
      <c r="B118" s="170"/>
      <c r="C118" s="170"/>
      <c r="D118" s="170"/>
      <c r="E118" s="170"/>
      <c r="F118" s="170"/>
      <c r="G118" s="171"/>
      <c r="H118" s="46" t="s">
        <v>110</v>
      </c>
      <c r="I118" s="47" t="s">
        <v>111</v>
      </c>
      <c r="J118" s="48" t="s">
        <v>110</v>
      </c>
      <c r="K118" s="27" t="s">
        <v>109</v>
      </c>
      <c r="L118" s="29"/>
      <c r="M118" s="25"/>
      <c r="N118" s="44" t="str">
        <f t="shared" si="5"/>
        <v/>
      </c>
      <c r="O118" s="38"/>
      <c r="P118" s="38"/>
      <c r="Q118" s="38"/>
      <c r="R118" s="38">
        <f>IF(H118="[V]",1,0)</f>
        <v>0</v>
      </c>
      <c r="S118" s="38"/>
      <c r="T118" s="38"/>
      <c r="U118" s="38">
        <f>IF(J118="[V]",1,0)</f>
        <v>0</v>
      </c>
    </row>
    <row r="119" spans="1:21" s="6" customFormat="1" ht="21" customHeight="1" x14ac:dyDescent="0.3">
      <c r="A119" s="153" t="s">
        <v>156</v>
      </c>
      <c r="B119" s="154"/>
      <c r="C119" s="154"/>
      <c r="D119" s="154"/>
      <c r="E119" s="154"/>
      <c r="F119" s="154"/>
      <c r="G119" s="154"/>
      <c r="H119" s="154"/>
      <c r="I119" s="154"/>
      <c r="J119" s="154"/>
      <c r="K119" s="154"/>
      <c r="L119" s="154"/>
      <c r="M119" s="155"/>
      <c r="N119" s="44" t="str">
        <f t="shared" si="5"/>
        <v/>
      </c>
      <c r="O119" s="38"/>
      <c r="P119" s="38"/>
      <c r="Q119" s="38"/>
      <c r="R119" s="38"/>
      <c r="S119" s="38"/>
      <c r="T119" s="38"/>
      <c r="U119" s="38"/>
    </row>
    <row r="120" spans="1:21" s="6" customFormat="1" ht="21" customHeight="1" x14ac:dyDescent="0.3">
      <c r="A120" s="36"/>
      <c r="B120" s="45" t="s">
        <v>110</v>
      </c>
      <c r="C120" s="118" t="s">
        <v>131</v>
      </c>
      <c r="D120" s="118"/>
      <c r="E120" s="118"/>
      <c r="F120" s="118"/>
      <c r="G120" s="118"/>
      <c r="H120" s="118"/>
      <c r="I120" s="118"/>
      <c r="J120" s="118"/>
      <c r="K120" s="118"/>
      <c r="L120" s="118"/>
      <c r="M120" s="165"/>
      <c r="N120" s="44" t="str">
        <f t="shared" si="5"/>
        <v/>
      </c>
      <c r="O120" s="38"/>
      <c r="P120" s="38"/>
      <c r="Q120" s="38">
        <f>IF(B120="[V]",1,0)</f>
        <v>0</v>
      </c>
      <c r="R120" s="38"/>
      <c r="S120" s="38"/>
      <c r="T120" s="38"/>
      <c r="U120" s="38"/>
    </row>
    <row r="121" spans="1:21" s="6" customFormat="1" ht="21" customHeight="1" x14ac:dyDescent="0.3">
      <c r="A121" s="36"/>
      <c r="B121" s="45" t="s">
        <v>110</v>
      </c>
      <c r="C121" s="118" t="s">
        <v>132</v>
      </c>
      <c r="D121" s="118"/>
      <c r="E121" s="118"/>
      <c r="F121" s="118"/>
      <c r="G121" s="118"/>
      <c r="H121" s="118"/>
      <c r="I121" s="118"/>
      <c r="J121" s="118"/>
      <c r="K121" s="118"/>
      <c r="L121" s="118"/>
      <c r="M121" s="165"/>
      <c r="N121" s="44" t="str">
        <f t="shared" si="5"/>
        <v/>
      </c>
      <c r="O121" s="38"/>
      <c r="P121" s="38"/>
      <c r="Q121" s="38">
        <f t="shared" ref="Q121:Q122" si="12">IF(B121="[V]",1,0)</f>
        <v>0</v>
      </c>
      <c r="R121" s="38"/>
      <c r="S121" s="38"/>
      <c r="T121" s="38"/>
      <c r="U121" s="38"/>
    </row>
    <row r="122" spans="1:21" s="6" customFormat="1" ht="21" customHeight="1" x14ac:dyDescent="0.3">
      <c r="A122" s="36"/>
      <c r="B122" s="45" t="s">
        <v>110</v>
      </c>
      <c r="C122" s="118" t="s">
        <v>133</v>
      </c>
      <c r="D122" s="118"/>
      <c r="E122" s="118"/>
      <c r="F122" s="118"/>
      <c r="G122" s="118"/>
      <c r="H122" s="118"/>
      <c r="I122" s="118"/>
      <c r="J122" s="118"/>
      <c r="K122" s="118"/>
      <c r="L122" s="118"/>
      <c r="M122" s="165"/>
      <c r="N122" s="44" t="str">
        <f t="shared" si="5"/>
        <v/>
      </c>
      <c r="O122" s="38"/>
      <c r="P122" s="38"/>
      <c r="Q122" s="38">
        <f t="shared" si="12"/>
        <v>0</v>
      </c>
      <c r="R122" s="38"/>
      <c r="S122" s="38"/>
      <c r="T122" s="38"/>
      <c r="U122" s="38"/>
    </row>
    <row r="123" spans="1:21" s="6" customFormat="1" ht="21" customHeight="1" x14ac:dyDescent="0.3">
      <c r="A123" s="36"/>
      <c r="B123" s="45" t="s">
        <v>110</v>
      </c>
      <c r="C123" s="118" t="s">
        <v>134</v>
      </c>
      <c r="D123" s="118"/>
      <c r="E123" s="118"/>
      <c r="F123" s="118"/>
      <c r="G123" s="118"/>
      <c r="H123" s="118"/>
      <c r="I123" s="118"/>
      <c r="J123" s="118"/>
      <c r="K123" s="118"/>
      <c r="L123" s="118"/>
      <c r="M123" s="165"/>
      <c r="N123" s="44" t="str">
        <f t="shared" si="5"/>
        <v/>
      </c>
      <c r="O123" s="38"/>
      <c r="P123" s="38">
        <f>IF(B123="[V]",1,0)</f>
        <v>0</v>
      </c>
      <c r="Q123" s="38"/>
      <c r="R123" s="38"/>
      <c r="S123" s="38"/>
      <c r="T123" s="38"/>
      <c r="U123" s="38"/>
    </row>
    <row r="124" spans="1:21" s="6" customFormat="1" ht="53.45" customHeight="1" x14ac:dyDescent="0.3">
      <c r="A124" s="35"/>
      <c r="B124" s="45" t="s">
        <v>110</v>
      </c>
      <c r="C124" s="167" t="s">
        <v>157</v>
      </c>
      <c r="D124" s="167"/>
      <c r="E124" s="167"/>
      <c r="F124" s="167"/>
      <c r="G124" s="167"/>
      <c r="H124" s="167"/>
      <c r="I124" s="167"/>
      <c r="J124" s="167"/>
      <c r="K124" s="167"/>
      <c r="L124" s="167"/>
      <c r="M124" s="168"/>
      <c r="N124" s="44" t="str">
        <f t="shared" si="5"/>
        <v/>
      </c>
      <c r="O124" s="38">
        <f>IF(B124="[V]",1,0)</f>
        <v>0</v>
      </c>
      <c r="P124" s="38"/>
      <c r="Q124" s="38"/>
      <c r="R124" s="38"/>
      <c r="S124" s="38"/>
      <c r="T124" s="38"/>
      <c r="U124" s="38"/>
    </row>
    <row r="125" spans="1:21" s="6" customFormat="1" ht="21" customHeight="1" x14ac:dyDescent="0.3">
      <c r="A125" s="153" t="s">
        <v>47</v>
      </c>
      <c r="B125" s="154"/>
      <c r="C125" s="154"/>
      <c r="D125" s="154"/>
      <c r="E125" s="154"/>
      <c r="F125" s="154"/>
      <c r="G125" s="154"/>
      <c r="H125" s="154"/>
      <c r="I125" s="154"/>
      <c r="J125" s="154"/>
      <c r="K125" s="154"/>
      <c r="L125" s="154"/>
      <c r="M125" s="155"/>
      <c r="N125" s="44" t="str">
        <f t="shared" si="5"/>
        <v/>
      </c>
      <c r="O125" s="38"/>
      <c r="P125" s="38"/>
      <c r="Q125" s="38"/>
      <c r="R125" s="38"/>
      <c r="S125" s="38"/>
      <c r="T125" s="38"/>
      <c r="U125" s="38"/>
    </row>
    <row r="126" spans="1:21" s="6" customFormat="1" ht="21" customHeight="1" x14ac:dyDescent="0.3">
      <c r="A126" s="36"/>
      <c r="B126" s="45" t="s">
        <v>110</v>
      </c>
      <c r="C126" s="118" t="s">
        <v>131</v>
      </c>
      <c r="D126" s="118"/>
      <c r="E126" s="118"/>
      <c r="F126" s="118"/>
      <c r="G126" s="118"/>
      <c r="H126" s="118"/>
      <c r="I126" s="118"/>
      <c r="J126" s="118"/>
      <c r="K126" s="118"/>
      <c r="L126" s="118"/>
      <c r="M126" s="165"/>
      <c r="N126" s="44" t="str">
        <f t="shared" si="5"/>
        <v/>
      </c>
      <c r="O126" s="38"/>
      <c r="P126" s="38"/>
      <c r="Q126" s="38">
        <f>IF(B126="[V]",1,0)</f>
        <v>0</v>
      </c>
      <c r="R126" s="38"/>
      <c r="S126" s="38"/>
      <c r="T126" s="38"/>
      <c r="U126" s="38"/>
    </row>
    <row r="127" spans="1:21" s="6" customFormat="1" ht="21" customHeight="1" x14ac:dyDescent="0.3">
      <c r="A127" s="36"/>
      <c r="B127" s="45" t="s">
        <v>110</v>
      </c>
      <c r="C127" s="118" t="s">
        <v>132</v>
      </c>
      <c r="D127" s="118"/>
      <c r="E127" s="118"/>
      <c r="F127" s="118"/>
      <c r="G127" s="118"/>
      <c r="H127" s="118"/>
      <c r="I127" s="118"/>
      <c r="J127" s="118"/>
      <c r="K127" s="118"/>
      <c r="L127" s="118"/>
      <c r="M127" s="165"/>
      <c r="N127" s="44" t="str">
        <f t="shared" si="5"/>
        <v/>
      </c>
      <c r="O127" s="38"/>
      <c r="P127" s="38"/>
      <c r="Q127" s="38">
        <f t="shared" ref="Q127:Q128" si="13">IF(B127="[V]",1,0)</f>
        <v>0</v>
      </c>
      <c r="R127" s="38"/>
      <c r="S127" s="38"/>
      <c r="T127" s="38"/>
      <c r="U127" s="38"/>
    </row>
    <row r="128" spans="1:21" s="6" customFormat="1" ht="21" customHeight="1" x14ac:dyDescent="0.3">
      <c r="A128" s="36"/>
      <c r="B128" s="45" t="s">
        <v>110</v>
      </c>
      <c r="C128" s="118" t="s">
        <v>133</v>
      </c>
      <c r="D128" s="118"/>
      <c r="E128" s="118"/>
      <c r="F128" s="118"/>
      <c r="G128" s="118"/>
      <c r="H128" s="118"/>
      <c r="I128" s="118"/>
      <c r="J128" s="118"/>
      <c r="K128" s="118"/>
      <c r="L128" s="118"/>
      <c r="M128" s="165"/>
      <c r="N128" s="44" t="str">
        <f t="shared" si="5"/>
        <v/>
      </c>
      <c r="O128" s="38"/>
      <c r="P128" s="38"/>
      <c r="Q128" s="38">
        <f t="shared" si="13"/>
        <v>0</v>
      </c>
      <c r="R128" s="38"/>
      <c r="S128" s="38"/>
      <c r="T128" s="38"/>
      <c r="U128" s="38"/>
    </row>
    <row r="129" spans="1:21" s="6" customFormat="1" ht="21" customHeight="1" x14ac:dyDescent="0.3">
      <c r="A129" s="36"/>
      <c r="B129" s="45" t="s">
        <v>110</v>
      </c>
      <c r="C129" s="118" t="s">
        <v>134</v>
      </c>
      <c r="D129" s="118"/>
      <c r="E129" s="118"/>
      <c r="F129" s="118"/>
      <c r="G129" s="118"/>
      <c r="H129" s="118"/>
      <c r="I129" s="118"/>
      <c r="J129" s="118"/>
      <c r="K129" s="118"/>
      <c r="L129" s="118"/>
      <c r="M129" s="165"/>
      <c r="N129" s="44" t="str">
        <f t="shared" si="5"/>
        <v/>
      </c>
      <c r="O129" s="38"/>
      <c r="P129" s="38">
        <f>IF(B129="[V]",1,0)</f>
        <v>0</v>
      </c>
      <c r="Q129" s="38"/>
      <c r="R129" s="38"/>
      <c r="S129" s="38"/>
      <c r="T129" s="38"/>
      <c r="U129" s="38"/>
    </row>
    <row r="130" spans="1:21" s="6" customFormat="1" ht="33" customHeight="1" x14ac:dyDescent="0.3">
      <c r="A130" s="34"/>
      <c r="B130" s="45" t="s">
        <v>110</v>
      </c>
      <c r="C130" s="166" t="s">
        <v>158</v>
      </c>
      <c r="D130" s="166"/>
      <c r="E130" s="166"/>
      <c r="F130" s="166"/>
      <c r="G130" s="166"/>
      <c r="H130" s="167"/>
      <c r="I130" s="167"/>
      <c r="J130" s="167"/>
      <c r="K130" s="167"/>
      <c r="L130" s="167"/>
      <c r="M130" s="168"/>
      <c r="N130" s="44" t="str">
        <f t="shared" si="5"/>
        <v/>
      </c>
      <c r="O130" s="38">
        <f>IF(B130="[V]",1,0)</f>
        <v>0</v>
      </c>
      <c r="P130" s="38"/>
      <c r="Q130" s="38"/>
      <c r="R130" s="38"/>
      <c r="S130" s="38"/>
      <c r="T130" s="38"/>
      <c r="U130" s="38"/>
    </row>
    <row r="131" spans="1:21" s="6" customFormat="1" ht="60" customHeight="1" x14ac:dyDescent="0.3">
      <c r="A131" s="159" t="s">
        <v>48</v>
      </c>
      <c r="B131" s="160"/>
      <c r="C131" s="160"/>
      <c r="D131" s="160"/>
      <c r="E131" s="160"/>
      <c r="F131" s="160"/>
      <c r="G131" s="161"/>
      <c r="H131" s="45" t="s">
        <v>110</v>
      </c>
      <c r="I131" s="47" t="s">
        <v>111</v>
      </c>
      <c r="J131" s="45" t="s">
        <v>110</v>
      </c>
      <c r="K131" s="27" t="s">
        <v>109</v>
      </c>
      <c r="L131" s="27"/>
      <c r="M131" s="25"/>
      <c r="N131" s="44" t="str">
        <f t="shared" si="5"/>
        <v/>
      </c>
      <c r="O131" s="38"/>
      <c r="P131" s="38"/>
      <c r="Q131" s="38"/>
      <c r="R131" s="38">
        <f>IF(H131="[V]",1,0)</f>
        <v>0</v>
      </c>
      <c r="S131" s="38"/>
      <c r="T131" s="38"/>
      <c r="U131" s="38">
        <f>IF(J131="[V]",1,0)</f>
        <v>0</v>
      </c>
    </row>
    <row r="132" spans="1:21" s="6" customFormat="1" ht="21" customHeight="1" x14ac:dyDescent="0.3">
      <c r="A132" s="162" t="s">
        <v>49</v>
      </c>
      <c r="B132" s="163"/>
      <c r="C132" s="163"/>
      <c r="D132" s="163"/>
      <c r="E132" s="163"/>
      <c r="F132" s="163"/>
      <c r="G132" s="163"/>
      <c r="H132" s="163"/>
      <c r="I132" s="163"/>
      <c r="J132" s="163"/>
      <c r="K132" s="163"/>
      <c r="L132" s="163"/>
      <c r="M132" s="164"/>
      <c r="N132" s="44" t="str">
        <f t="shared" si="5"/>
        <v/>
      </c>
      <c r="O132" s="38"/>
      <c r="P132" s="38"/>
      <c r="Q132" s="38"/>
      <c r="R132" s="38"/>
      <c r="S132" s="38"/>
      <c r="T132" s="38"/>
      <c r="U132" s="38"/>
    </row>
    <row r="133" spans="1:21" s="6" customFormat="1" ht="39.950000000000003" customHeight="1" x14ac:dyDescent="0.3">
      <c r="A133" s="159" t="s">
        <v>50</v>
      </c>
      <c r="B133" s="160"/>
      <c r="C133" s="160"/>
      <c r="D133" s="160"/>
      <c r="E133" s="160"/>
      <c r="F133" s="160"/>
      <c r="G133" s="161"/>
      <c r="H133" s="46" t="s">
        <v>110</v>
      </c>
      <c r="I133" s="47" t="s">
        <v>111</v>
      </c>
      <c r="J133" s="48" t="s">
        <v>110</v>
      </c>
      <c r="K133" s="27" t="s">
        <v>109</v>
      </c>
      <c r="L133" s="27"/>
      <c r="M133" s="25"/>
      <c r="N133" s="44" t="str">
        <f t="shared" si="5"/>
        <v/>
      </c>
      <c r="O133" s="38"/>
      <c r="P133" s="38"/>
      <c r="Q133" s="38"/>
      <c r="R133" s="38">
        <f t="shared" ref="R133:R138" si="14">IF(H133="[V]",1,0)</f>
        <v>0</v>
      </c>
      <c r="S133" s="38"/>
      <c r="T133" s="38"/>
      <c r="U133" s="38">
        <f t="shared" ref="U133:U138" si="15">IF(J133="[V]",1,0)</f>
        <v>0</v>
      </c>
    </row>
    <row r="134" spans="1:21" s="6" customFormat="1" ht="63" customHeight="1" x14ac:dyDescent="0.3">
      <c r="A134" s="159" t="s">
        <v>51</v>
      </c>
      <c r="B134" s="160"/>
      <c r="C134" s="160"/>
      <c r="D134" s="160"/>
      <c r="E134" s="160"/>
      <c r="F134" s="160"/>
      <c r="G134" s="161"/>
      <c r="H134" s="46" t="s">
        <v>110</v>
      </c>
      <c r="I134" s="47" t="s">
        <v>111</v>
      </c>
      <c r="J134" s="48" t="s">
        <v>110</v>
      </c>
      <c r="K134" s="27" t="s">
        <v>109</v>
      </c>
      <c r="L134" s="27"/>
      <c r="M134" s="25"/>
      <c r="N134" s="44" t="str">
        <f t="shared" si="5"/>
        <v/>
      </c>
      <c r="O134" s="38"/>
      <c r="P134" s="38"/>
      <c r="Q134" s="38"/>
      <c r="R134" s="38">
        <f t="shared" si="14"/>
        <v>0</v>
      </c>
      <c r="S134" s="38"/>
      <c r="T134" s="38"/>
      <c r="U134" s="38">
        <f t="shared" si="15"/>
        <v>0</v>
      </c>
    </row>
    <row r="135" spans="1:21" s="6" customFormat="1" ht="39.950000000000003" customHeight="1" x14ac:dyDescent="0.3">
      <c r="A135" s="156" t="s">
        <v>52</v>
      </c>
      <c r="B135" s="157"/>
      <c r="C135" s="157"/>
      <c r="D135" s="157"/>
      <c r="E135" s="157"/>
      <c r="F135" s="157"/>
      <c r="G135" s="158"/>
      <c r="H135" s="46" t="s">
        <v>110</v>
      </c>
      <c r="I135" s="47" t="s">
        <v>111</v>
      </c>
      <c r="J135" s="48" t="s">
        <v>110</v>
      </c>
      <c r="K135" s="27" t="s">
        <v>109</v>
      </c>
      <c r="L135" s="27"/>
      <c r="M135" s="25"/>
      <c r="N135" s="44" t="str">
        <f t="shared" si="5"/>
        <v/>
      </c>
      <c r="O135" s="38"/>
      <c r="P135" s="38"/>
      <c r="Q135" s="38"/>
      <c r="R135" s="38">
        <f t="shared" si="14"/>
        <v>0</v>
      </c>
      <c r="S135" s="38"/>
      <c r="T135" s="38"/>
      <c r="U135" s="38">
        <f t="shared" si="15"/>
        <v>0</v>
      </c>
    </row>
    <row r="136" spans="1:21" s="6" customFormat="1" ht="42" customHeight="1" x14ac:dyDescent="0.3">
      <c r="A136" s="156" t="s">
        <v>53</v>
      </c>
      <c r="B136" s="157"/>
      <c r="C136" s="157"/>
      <c r="D136" s="157"/>
      <c r="E136" s="157"/>
      <c r="F136" s="157"/>
      <c r="G136" s="158"/>
      <c r="H136" s="46" t="s">
        <v>110</v>
      </c>
      <c r="I136" s="47" t="s">
        <v>111</v>
      </c>
      <c r="J136" s="48" t="s">
        <v>110</v>
      </c>
      <c r="K136" s="27" t="s">
        <v>109</v>
      </c>
      <c r="L136" s="27"/>
      <c r="M136" s="25"/>
      <c r="N136" s="44" t="str">
        <f t="shared" si="5"/>
        <v/>
      </c>
      <c r="O136" s="38"/>
      <c r="P136" s="38"/>
      <c r="Q136" s="38"/>
      <c r="R136" s="38">
        <f t="shared" si="14"/>
        <v>0</v>
      </c>
      <c r="S136" s="38"/>
      <c r="T136" s="38"/>
      <c r="U136" s="38">
        <f t="shared" si="15"/>
        <v>0</v>
      </c>
    </row>
    <row r="137" spans="1:21" s="6" customFormat="1" ht="39.950000000000003" customHeight="1" x14ac:dyDescent="0.3">
      <c r="A137" s="156" t="s">
        <v>54</v>
      </c>
      <c r="B137" s="157"/>
      <c r="C137" s="157"/>
      <c r="D137" s="157"/>
      <c r="E137" s="157"/>
      <c r="F137" s="157"/>
      <c r="G137" s="158"/>
      <c r="H137" s="46" t="s">
        <v>110</v>
      </c>
      <c r="I137" s="47" t="s">
        <v>111</v>
      </c>
      <c r="J137" s="48" t="s">
        <v>110</v>
      </c>
      <c r="K137" s="27" t="s">
        <v>109</v>
      </c>
      <c r="L137" s="27"/>
      <c r="M137" s="25"/>
      <c r="N137" s="44" t="str">
        <f t="shared" si="5"/>
        <v/>
      </c>
      <c r="O137" s="38"/>
      <c r="P137" s="38"/>
      <c r="Q137" s="38"/>
      <c r="R137" s="38">
        <f t="shared" si="14"/>
        <v>0</v>
      </c>
      <c r="S137" s="38"/>
      <c r="T137" s="38"/>
      <c r="U137" s="38">
        <f t="shared" si="15"/>
        <v>0</v>
      </c>
    </row>
    <row r="138" spans="1:21" s="6" customFormat="1" ht="60" customHeight="1" x14ac:dyDescent="0.3">
      <c r="A138" s="156" t="s">
        <v>55</v>
      </c>
      <c r="B138" s="157"/>
      <c r="C138" s="157"/>
      <c r="D138" s="157"/>
      <c r="E138" s="157"/>
      <c r="F138" s="157"/>
      <c r="G138" s="158"/>
      <c r="H138" s="46" t="s">
        <v>110</v>
      </c>
      <c r="I138" s="47" t="s">
        <v>111</v>
      </c>
      <c r="J138" s="48" t="s">
        <v>110</v>
      </c>
      <c r="K138" s="27" t="s">
        <v>109</v>
      </c>
      <c r="L138" s="27"/>
      <c r="M138" s="25"/>
      <c r="N138" s="44" t="str">
        <f t="shared" ref="N138:N201" si="16">IF(OR(R138=1,S138=1),"*","")</f>
        <v/>
      </c>
      <c r="O138" s="38"/>
      <c r="P138" s="38"/>
      <c r="Q138" s="38"/>
      <c r="R138" s="38">
        <f t="shared" si="14"/>
        <v>0</v>
      </c>
      <c r="S138" s="38"/>
      <c r="T138" s="38"/>
      <c r="U138" s="38">
        <f t="shared" si="15"/>
        <v>0</v>
      </c>
    </row>
    <row r="139" spans="1:21" s="6" customFormat="1" ht="21" customHeight="1" x14ac:dyDescent="0.3">
      <c r="A139" s="153" t="s">
        <v>56</v>
      </c>
      <c r="B139" s="154"/>
      <c r="C139" s="154"/>
      <c r="D139" s="154"/>
      <c r="E139" s="154"/>
      <c r="F139" s="154"/>
      <c r="G139" s="154"/>
      <c r="H139" s="154"/>
      <c r="I139" s="154"/>
      <c r="J139" s="154"/>
      <c r="K139" s="154"/>
      <c r="L139" s="154"/>
      <c r="M139" s="155"/>
      <c r="N139" s="44" t="str">
        <f t="shared" si="16"/>
        <v/>
      </c>
      <c r="O139" s="38"/>
      <c r="P139" s="38"/>
      <c r="Q139" s="38"/>
      <c r="R139" s="38"/>
      <c r="S139" s="38"/>
      <c r="T139" s="38"/>
      <c r="U139" s="38"/>
    </row>
    <row r="140" spans="1:21" s="6" customFormat="1" ht="21" customHeight="1" x14ac:dyDescent="0.3">
      <c r="A140" s="64"/>
      <c r="B140" s="45" t="s">
        <v>110</v>
      </c>
      <c r="C140" s="93" t="s">
        <v>131</v>
      </c>
      <c r="D140" s="93"/>
      <c r="E140" s="93"/>
      <c r="F140" s="93"/>
      <c r="G140" s="93"/>
      <c r="H140" s="93"/>
      <c r="I140" s="93"/>
      <c r="J140" s="93"/>
      <c r="K140" s="93"/>
      <c r="L140" s="93"/>
      <c r="M140" s="142"/>
      <c r="N140" s="44" t="str">
        <f t="shared" si="16"/>
        <v/>
      </c>
      <c r="O140" s="38"/>
      <c r="P140" s="38"/>
      <c r="Q140" s="38">
        <f>IF(B140="[V]",1,0)</f>
        <v>0</v>
      </c>
      <c r="R140" s="38"/>
      <c r="S140" s="38"/>
      <c r="T140" s="38"/>
      <c r="U140" s="38"/>
    </row>
    <row r="141" spans="1:21" s="6" customFormat="1" ht="21" customHeight="1" x14ac:dyDescent="0.3">
      <c r="A141" s="64"/>
      <c r="B141" s="45" t="s">
        <v>110</v>
      </c>
      <c r="C141" s="93" t="s">
        <v>132</v>
      </c>
      <c r="D141" s="93"/>
      <c r="E141" s="93"/>
      <c r="F141" s="93"/>
      <c r="G141" s="93"/>
      <c r="H141" s="93"/>
      <c r="I141" s="93"/>
      <c r="J141" s="93"/>
      <c r="K141" s="93"/>
      <c r="L141" s="93"/>
      <c r="M141" s="142"/>
      <c r="N141" s="44" t="str">
        <f t="shared" si="16"/>
        <v/>
      </c>
      <c r="O141" s="38"/>
      <c r="P141" s="38"/>
      <c r="Q141" s="38">
        <f t="shared" ref="Q141:Q142" si="17">IF(B141="[V]",1,0)</f>
        <v>0</v>
      </c>
      <c r="R141" s="38"/>
      <c r="S141" s="38"/>
      <c r="T141" s="38"/>
      <c r="U141" s="38"/>
    </row>
    <row r="142" spans="1:21" s="6" customFormat="1" ht="21" customHeight="1" x14ac:dyDescent="0.3">
      <c r="A142" s="64"/>
      <c r="B142" s="45" t="s">
        <v>110</v>
      </c>
      <c r="C142" s="93" t="s">
        <v>133</v>
      </c>
      <c r="D142" s="93"/>
      <c r="E142" s="93"/>
      <c r="F142" s="93"/>
      <c r="G142" s="93"/>
      <c r="H142" s="93"/>
      <c r="I142" s="93"/>
      <c r="J142" s="93"/>
      <c r="K142" s="93"/>
      <c r="L142" s="93"/>
      <c r="M142" s="142"/>
      <c r="N142" s="44" t="str">
        <f t="shared" si="16"/>
        <v/>
      </c>
      <c r="O142" s="38"/>
      <c r="P142" s="38"/>
      <c r="Q142" s="38">
        <f t="shared" si="17"/>
        <v>0</v>
      </c>
      <c r="R142" s="38"/>
      <c r="S142" s="38"/>
      <c r="T142" s="38"/>
      <c r="U142" s="38"/>
    </row>
    <row r="143" spans="1:21" s="6" customFormat="1" ht="21" customHeight="1" x14ac:dyDescent="0.3">
      <c r="A143" s="64"/>
      <c r="B143" s="45" t="s">
        <v>110</v>
      </c>
      <c r="C143" s="93" t="s">
        <v>134</v>
      </c>
      <c r="D143" s="93"/>
      <c r="E143" s="93"/>
      <c r="F143" s="93"/>
      <c r="G143" s="93"/>
      <c r="H143" s="93"/>
      <c r="I143" s="93"/>
      <c r="J143" s="93"/>
      <c r="K143" s="93"/>
      <c r="L143" s="93"/>
      <c r="M143" s="142"/>
      <c r="N143" s="44" t="str">
        <f t="shared" si="16"/>
        <v/>
      </c>
      <c r="O143" s="38"/>
      <c r="P143" s="38">
        <f>IF(B143="[V]",1,0)</f>
        <v>0</v>
      </c>
      <c r="Q143" s="38"/>
      <c r="R143" s="38"/>
      <c r="S143" s="38"/>
      <c r="T143" s="38"/>
      <c r="U143" s="38"/>
    </row>
    <row r="144" spans="1:21" s="6" customFormat="1" ht="67.900000000000006" customHeight="1" x14ac:dyDescent="0.3">
      <c r="A144" s="53"/>
      <c r="B144" s="45" t="s">
        <v>110</v>
      </c>
      <c r="C144" s="94" t="s">
        <v>159</v>
      </c>
      <c r="D144" s="94"/>
      <c r="E144" s="94"/>
      <c r="F144" s="94"/>
      <c r="G144" s="94"/>
      <c r="H144" s="96"/>
      <c r="I144" s="96"/>
      <c r="J144" s="96"/>
      <c r="K144" s="96"/>
      <c r="L144" s="96"/>
      <c r="M144" s="97"/>
      <c r="N144" s="44" t="str">
        <f t="shared" si="16"/>
        <v/>
      </c>
      <c r="O144" s="38">
        <f>IF(B144="[V]",1,0)</f>
        <v>0</v>
      </c>
      <c r="P144" s="38"/>
      <c r="Q144" s="38"/>
      <c r="R144" s="38"/>
      <c r="S144" s="38"/>
      <c r="T144" s="38"/>
      <c r="U144" s="38"/>
    </row>
    <row r="145" spans="1:21" s="6" customFormat="1" ht="21" customHeight="1" x14ac:dyDescent="0.3">
      <c r="A145" s="139" t="s">
        <v>57</v>
      </c>
      <c r="B145" s="140"/>
      <c r="C145" s="140"/>
      <c r="D145" s="140"/>
      <c r="E145" s="140"/>
      <c r="F145" s="140"/>
      <c r="G145" s="140"/>
      <c r="H145" s="140"/>
      <c r="I145" s="140"/>
      <c r="J145" s="140"/>
      <c r="K145" s="140"/>
      <c r="L145" s="140"/>
      <c r="M145" s="141"/>
      <c r="N145" s="44" t="str">
        <f t="shared" si="16"/>
        <v/>
      </c>
      <c r="O145" s="38"/>
      <c r="P145" s="38"/>
      <c r="Q145" s="38"/>
      <c r="R145" s="38"/>
      <c r="S145" s="38"/>
      <c r="T145" s="38"/>
      <c r="U145" s="38"/>
    </row>
    <row r="146" spans="1:21" s="6" customFormat="1" ht="21" customHeight="1" x14ac:dyDescent="0.3">
      <c r="A146" s="64"/>
      <c r="B146" s="45" t="s">
        <v>110</v>
      </c>
      <c r="C146" s="93" t="s">
        <v>131</v>
      </c>
      <c r="D146" s="93"/>
      <c r="E146" s="93"/>
      <c r="F146" s="93"/>
      <c r="G146" s="93"/>
      <c r="H146" s="93"/>
      <c r="I146" s="93"/>
      <c r="J146" s="93"/>
      <c r="K146" s="93"/>
      <c r="L146" s="93"/>
      <c r="M146" s="142"/>
      <c r="N146" s="44" t="str">
        <f t="shared" si="16"/>
        <v/>
      </c>
      <c r="O146" s="38"/>
      <c r="P146" s="38"/>
      <c r="Q146" s="38">
        <f>IF(B146="[V]",1,0)</f>
        <v>0</v>
      </c>
      <c r="R146" s="38"/>
      <c r="S146" s="38"/>
      <c r="T146" s="38"/>
      <c r="U146" s="38"/>
    </row>
    <row r="147" spans="1:21" s="6" customFormat="1" ht="21" customHeight="1" x14ac:dyDescent="0.3">
      <c r="A147" s="64"/>
      <c r="B147" s="45" t="s">
        <v>110</v>
      </c>
      <c r="C147" s="93" t="s">
        <v>132</v>
      </c>
      <c r="D147" s="93"/>
      <c r="E147" s="93"/>
      <c r="F147" s="93"/>
      <c r="G147" s="93"/>
      <c r="H147" s="93"/>
      <c r="I147" s="93"/>
      <c r="J147" s="93"/>
      <c r="K147" s="93"/>
      <c r="L147" s="93"/>
      <c r="M147" s="142"/>
      <c r="N147" s="44" t="str">
        <f t="shared" si="16"/>
        <v/>
      </c>
      <c r="O147" s="38"/>
      <c r="P147" s="38"/>
      <c r="Q147" s="38">
        <f t="shared" ref="Q147:Q148" si="18">IF(B147="[V]",1,0)</f>
        <v>0</v>
      </c>
      <c r="R147" s="38"/>
      <c r="S147" s="38"/>
      <c r="T147" s="38"/>
      <c r="U147" s="38"/>
    </row>
    <row r="148" spans="1:21" s="6" customFormat="1" ht="21" customHeight="1" x14ac:dyDescent="0.3">
      <c r="A148" s="64"/>
      <c r="B148" s="45" t="s">
        <v>110</v>
      </c>
      <c r="C148" s="93" t="s">
        <v>133</v>
      </c>
      <c r="D148" s="93"/>
      <c r="E148" s="93"/>
      <c r="F148" s="93"/>
      <c r="G148" s="93"/>
      <c r="H148" s="93"/>
      <c r="I148" s="93"/>
      <c r="J148" s="93"/>
      <c r="K148" s="93"/>
      <c r="L148" s="93"/>
      <c r="M148" s="142"/>
      <c r="N148" s="44" t="str">
        <f t="shared" si="16"/>
        <v/>
      </c>
      <c r="O148" s="38"/>
      <c r="P148" s="38"/>
      <c r="Q148" s="38">
        <f t="shared" si="18"/>
        <v>0</v>
      </c>
      <c r="R148" s="38"/>
      <c r="S148" s="38"/>
      <c r="T148" s="38"/>
      <c r="U148" s="38"/>
    </row>
    <row r="149" spans="1:21" s="6" customFormat="1" ht="21" customHeight="1" x14ac:dyDescent="0.3">
      <c r="A149" s="64"/>
      <c r="B149" s="45" t="s">
        <v>110</v>
      </c>
      <c r="C149" s="93" t="s">
        <v>134</v>
      </c>
      <c r="D149" s="93"/>
      <c r="E149" s="93"/>
      <c r="F149" s="93"/>
      <c r="G149" s="93"/>
      <c r="H149" s="93"/>
      <c r="I149" s="93"/>
      <c r="J149" s="93"/>
      <c r="K149" s="93"/>
      <c r="L149" s="93"/>
      <c r="M149" s="142"/>
      <c r="N149" s="44" t="str">
        <f t="shared" si="16"/>
        <v/>
      </c>
      <c r="O149" s="38"/>
      <c r="P149" s="38">
        <f>IF(B149="[V]",1,0)</f>
        <v>0</v>
      </c>
      <c r="Q149" s="38"/>
      <c r="R149" s="38"/>
      <c r="S149" s="38"/>
      <c r="T149" s="38"/>
      <c r="U149" s="38"/>
    </row>
    <row r="150" spans="1:21" s="6" customFormat="1" ht="49.9" customHeight="1" x14ac:dyDescent="0.3">
      <c r="A150" s="53"/>
      <c r="B150" s="45" t="s">
        <v>110</v>
      </c>
      <c r="C150" s="94" t="s">
        <v>160</v>
      </c>
      <c r="D150" s="94"/>
      <c r="E150" s="94"/>
      <c r="F150" s="94"/>
      <c r="G150" s="94"/>
      <c r="H150" s="96"/>
      <c r="I150" s="96"/>
      <c r="J150" s="96"/>
      <c r="K150" s="96"/>
      <c r="L150" s="96"/>
      <c r="M150" s="97"/>
      <c r="N150" s="44" t="str">
        <f t="shared" si="16"/>
        <v/>
      </c>
      <c r="O150" s="38">
        <f>IF(B150="[V]",1,0)</f>
        <v>0</v>
      </c>
      <c r="P150" s="38"/>
      <c r="Q150" s="38"/>
      <c r="R150" s="38"/>
      <c r="S150" s="38"/>
      <c r="T150" s="38"/>
      <c r="U150" s="38"/>
    </row>
    <row r="151" spans="1:21" s="6" customFormat="1" ht="21" customHeight="1" x14ac:dyDescent="0.3">
      <c r="A151" s="153" t="s">
        <v>58</v>
      </c>
      <c r="B151" s="154"/>
      <c r="C151" s="154"/>
      <c r="D151" s="154"/>
      <c r="E151" s="154"/>
      <c r="F151" s="154"/>
      <c r="G151" s="154"/>
      <c r="H151" s="154"/>
      <c r="I151" s="154"/>
      <c r="J151" s="154"/>
      <c r="K151" s="154"/>
      <c r="L151" s="154"/>
      <c r="M151" s="155"/>
      <c r="N151" s="44" t="str">
        <f t="shared" si="16"/>
        <v/>
      </c>
      <c r="O151" s="38"/>
      <c r="P151" s="38"/>
      <c r="Q151" s="38"/>
      <c r="R151" s="38"/>
      <c r="S151" s="38"/>
      <c r="T151" s="38"/>
      <c r="U151" s="38"/>
    </row>
    <row r="152" spans="1:21" s="6" customFormat="1" ht="21" customHeight="1" x14ac:dyDescent="0.3">
      <c r="A152" s="64"/>
      <c r="B152" s="45" t="s">
        <v>110</v>
      </c>
      <c r="C152" s="93" t="s">
        <v>131</v>
      </c>
      <c r="D152" s="93"/>
      <c r="E152" s="93"/>
      <c r="F152" s="93"/>
      <c r="G152" s="93"/>
      <c r="H152" s="93"/>
      <c r="I152" s="93"/>
      <c r="J152" s="93"/>
      <c r="K152" s="93"/>
      <c r="L152" s="93"/>
      <c r="M152" s="142"/>
      <c r="N152" s="44" t="str">
        <f t="shared" si="16"/>
        <v/>
      </c>
      <c r="O152" s="38"/>
      <c r="P152" s="38"/>
      <c r="Q152" s="38">
        <f>IF(B152="[V]",1,0)</f>
        <v>0</v>
      </c>
      <c r="R152" s="38"/>
      <c r="S152" s="38"/>
      <c r="T152" s="38"/>
      <c r="U152" s="38"/>
    </row>
    <row r="153" spans="1:21" s="6" customFormat="1" ht="21" customHeight="1" x14ac:dyDescent="0.3">
      <c r="A153" s="64"/>
      <c r="B153" s="45" t="s">
        <v>110</v>
      </c>
      <c r="C153" s="93" t="s">
        <v>132</v>
      </c>
      <c r="D153" s="93"/>
      <c r="E153" s="93"/>
      <c r="F153" s="93"/>
      <c r="G153" s="93"/>
      <c r="H153" s="93"/>
      <c r="I153" s="93"/>
      <c r="J153" s="93"/>
      <c r="K153" s="93"/>
      <c r="L153" s="93"/>
      <c r="M153" s="142"/>
      <c r="N153" s="44" t="str">
        <f t="shared" si="16"/>
        <v/>
      </c>
      <c r="O153" s="38"/>
      <c r="P153" s="38"/>
      <c r="Q153" s="38">
        <f t="shared" ref="Q153:Q154" si="19">IF(B153="[V]",1,0)</f>
        <v>0</v>
      </c>
      <c r="R153" s="38"/>
      <c r="S153" s="38"/>
      <c r="T153" s="38"/>
      <c r="U153" s="38"/>
    </row>
    <row r="154" spans="1:21" s="6" customFormat="1" ht="21" customHeight="1" x14ac:dyDescent="0.3">
      <c r="A154" s="64"/>
      <c r="B154" s="45" t="s">
        <v>110</v>
      </c>
      <c r="C154" s="93" t="s">
        <v>133</v>
      </c>
      <c r="D154" s="93"/>
      <c r="E154" s="93"/>
      <c r="F154" s="93"/>
      <c r="G154" s="93"/>
      <c r="H154" s="93"/>
      <c r="I154" s="93"/>
      <c r="J154" s="93"/>
      <c r="K154" s="93"/>
      <c r="L154" s="93"/>
      <c r="M154" s="142"/>
      <c r="N154" s="44" t="str">
        <f t="shared" si="16"/>
        <v/>
      </c>
      <c r="O154" s="38"/>
      <c r="P154" s="38"/>
      <c r="Q154" s="38">
        <f t="shared" si="19"/>
        <v>0</v>
      </c>
      <c r="R154" s="38"/>
      <c r="S154" s="38"/>
      <c r="T154" s="38"/>
      <c r="U154" s="38"/>
    </row>
    <row r="155" spans="1:21" s="6" customFormat="1" ht="21" customHeight="1" x14ac:dyDescent="0.3">
      <c r="A155" s="64"/>
      <c r="B155" s="45" t="s">
        <v>110</v>
      </c>
      <c r="C155" s="93" t="s">
        <v>134</v>
      </c>
      <c r="D155" s="93"/>
      <c r="E155" s="93"/>
      <c r="F155" s="93"/>
      <c r="G155" s="93"/>
      <c r="H155" s="93"/>
      <c r="I155" s="93"/>
      <c r="J155" s="93"/>
      <c r="K155" s="93"/>
      <c r="L155" s="93"/>
      <c r="M155" s="142"/>
      <c r="N155" s="44" t="str">
        <f t="shared" si="16"/>
        <v/>
      </c>
      <c r="O155" s="38"/>
      <c r="P155" s="38">
        <f>IF(B155="[V]",1,0)</f>
        <v>0</v>
      </c>
      <c r="Q155" s="38"/>
      <c r="R155" s="38"/>
      <c r="S155" s="38"/>
      <c r="T155" s="38"/>
      <c r="U155" s="38"/>
    </row>
    <row r="156" spans="1:21" s="6" customFormat="1" ht="21" customHeight="1" x14ac:dyDescent="0.3">
      <c r="A156" s="65"/>
      <c r="B156" s="45" t="s">
        <v>110</v>
      </c>
      <c r="C156" s="94" t="s">
        <v>161</v>
      </c>
      <c r="D156" s="94"/>
      <c r="E156" s="94"/>
      <c r="F156" s="94"/>
      <c r="G156" s="94"/>
      <c r="H156" s="96"/>
      <c r="I156" s="96"/>
      <c r="J156" s="96"/>
      <c r="K156" s="96"/>
      <c r="L156" s="96"/>
      <c r="M156" s="97"/>
      <c r="N156" s="44" t="str">
        <f t="shared" si="16"/>
        <v/>
      </c>
      <c r="O156" s="38">
        <f>IF(B156="[V]",1,0)</f>
        <v>0</v>
      </c>
      <c r="P156" s="38"/>
      <c r="Q156" s="38"/>
      <c r="R156" s="38"/>
      <c r="S156" s="38"/>
      <c r="T156" s="38"/>
      <c r="U156" s="38"/>
    </row>
    <row r="157" spans="1:21" s="6" customFormat="1" ht="33" customHeight="1" x14ac:dyDescent="0.3">
      <c r="A157" s="135" t="s">
        <v>59</v>
      </c>
      <c r="B157" s="121"/>
      <c r="C157" s="121"/>
      <c r="D157" s="121"/>
      <c r="E157" s="121"/>
      <c r="F157" s="121"/>
      <c r="G157" s="122"/>
      <c r="H157" s="45" t="s">
        <v>110</v>
      </c>
      <c r="I157" s="47" t="s">
        <v>111</v>
      </c>
      <c r="J157" s="45" t="s">
        <v>110</v>
      </c>
      <c r="K157" s="47" t="s">
        <v>109</v>
      </c>
      <c r="L157" s="47"/>
      <c r="M157" s="54"/>
      <c r="N157" s="44" t="str">
        <f t="shared" si="16"/>
        <v/>
      </c>
      <c r="O157" s="38"/>
      <c r="P157" s="38"/>
      <c r="Q157" s="38"/>
      <c r="R157" s="38">
        <f>IF(H157="[V]",1,0)</f>
        <v>0</v>
      </c>
      <c r="S157" s="38"/>
      <c r="T157" s="38"/>
      <c r="U157" s="38">
        <f>IF(J157="[V]",1,0)</f>
        <v>0</v>
      </c>
    </row>
    <row r="158" spans="1:21" s="6" customFormat="1" ht="21" customHeight="1" x14ac:dyDescent="0.3">
      <c r="A158" s="150" t="s">
        <v>60</v>
      </c>
      <c r="B158" s="151"/>
      <c r="C158" s="151"/>
      <c r="D158" s="151"/>
      <c r="E158" s="151"/>
      <c r="F158" s="151"/>
      <c r="G158" s="151"/>
      <c r="H158" s="151"/>
      <c r="I158" s="151"/>
      <c r="J158" s="151"/>
      <c r="K158" s="151"/>
      <c r="L158" s="151"/>
      <c r="M158" s="152"/>
      <c r="N158" s="44" t="str">
        <f t="shared" si="16"/>
        <v/>
      </c>
      <c r="O158" s="38"/>
      <c r="P158" s="38"/>
      <c r="Q158" s="38"/>
      <c r="R158" s="38"/>
      <c r="S158" s="38"/>
      <c r="T158" s="38"/>
      <c r="U158" s="38"/>
    </row>
    <row r="159" spans="1:21" s="6" customFormat="1" ht="42" customHeight="1" x14ac:dyDescent="0.3">
      <c r="A159" s="135" t="s">
        <v>61</v>
      </c>
      <c r="B159" s="121"/>
      <c r="C159" s="121"/>
      <c r="D159" s="121"/>
      <c r="E159" s="121"/>
      <c r="F159" s="121"/>
      <c r="G159" s="122"/>
      <c r="H159" s="46" t="s">
        <v>110</v>
      </c>
      <c r="I159" s="47" t="s">
        <v>111</v>
      </c>
      <c r="J159" s="48" t="s">
        <v>110</v>
      </c>
      <c r="K159" s="47" t="s">
        <v>109</v>
      </c>
      <c r="L159" s="47"/>
      <c r="M159" s="54"/>
      <c r="N159" s="44" t="str">
        <f t="shared" si="16"/>
        <v/>
      </c>
      <c r="O159" s="38"/>
      <c r="P159" s="38"/>
      <c r="Q159" s="38"/>
      <c r="R159" s="38">
        <f>IF(H159="[V]",1,0)</f>
        <v>0</v>
      </c>
      <c r="S159" s="38"/>
      <c r="T159" s="38"/>
      <c r="U159" s="38">
        <f>IF(J159="[V]",1,0)</f>
        <v>0</v>
      </c>
    </row>
    <row r="160" spans="1:21" s="6" customFormat="1" ht="42" customHeight="1" x14ac:dyDescent="0.3">
      <c r="A160" s="135" t="s">
        <v>62</v>
      </c>
      <c r="B160" s="121"/>
      <c r="C160" s="121"/>
      <c r="D160" s="121"/>
      <c r="E160" s="121"/>
      <c r="F160" s="121"/>
      <c r="G160" s="122"/>
      <c r="H160" s="45" t="s">
        <v>110</v>
      </c>
      <c r="I160" s="66" t="s">
        <v>111</v>
      </c>
      <c r="J160" s="45" t="s">
        <v>110</v>
      </c>
      <c r="K160" s="66" t="s">
        <v>109</v>
      </c>
      <c r="L160" s="66"/>
      <c r="M160" s="67"/>
      <c r="N160" s="44" t="str">
        <f t="shared" si="16"/>
        <v/>
      </c>
      <c r="O160" s="38"/>
      <c r="P160" s="38"/>
      <c r="Q160" s="38"/>
      <c r="R160" s="38">
        <f>IF(H160="[V]",1,0)</f>
        <v>0</v>
      </c>
      <c r="S160" s="38"/>
      <c r="T160" s="38"/>
      <c r="U160" s="38">
        <f>IF(J160="[V]",1,0)</f>
        <v>0</v>
      </c>
    </row>
    <row r="161" spans="1:21" s="6" customFormat="1" ht="14.25" x14ac:dyDescent="0.3">
      <c r="A161" s="132" t="s">
        <v>63</v>
      </c>
      <c r="B161" s="133"/>
      <c r="C161" s="133"/>
      <c r="D161" s="133"/>
      <c r="E161" s="133"/>
      <c r="F161" s="133"/>
      <c r="G161" s="133"/>
      <c r="H161" s="133"/>
      <c r="I161" s="133"/>
      <c r="J161" s="133"/>
      <c r="K161" s="133"/>
      <c r="L161" s="133"/>
      <c r="M161" s="134"/>
      <c r="N161" s="44" t="str">
        <f t="shared" si="16"/>
        <v/>
      </c>
      <c r="O161" s="38"/>
      <c r="P161" s="38"/>
      <c r="Q161" s="38"/>
      <c r="R161" s="38"/>
      <c r="S161" s="38"/>
      <c r="T161" s="38"/>
      <c r="U161" s="38"/>
    </row>
    <row r="162" spans="1:21" s="6" customFormat="1" ht="21" customHeight="1" x14ac:dyDescent="0.3">
      <c r="A162" s="52"/>
      <c r="B162" s="45" t="s">
        <v>110</v>
      </c>
      <c r="C162" s="94" t="s">
        <v>162</v>
      </c>
      <c r="D162" s="94"/>
      <c r="E162" s="94"/>
      <c r="F162" s="94"/>
      <c r="G162" s="94"/>
      <c r="H162" s="94"/>
      <c r="I162" s="94"/>
      <c r="J162" s="94"/>
      <c r="K162" s="94"/>
      <c r="L162" s="94"/>
      <c r="M162" s="95"/>
      <c r="N162" s="44" t="str">
        <f t="shared" si="16"/>
        <v/>
      </c>
      <c r="O162" s="38"/>
      <c r="P162" s="38"/>
      <c r="Q162" s="38"/>
      <c r="R162" s="38"/>
      <c r="S162" s="38">
        <f t="shared" ref="S162:S168" si="20">IF(B162="[V]",1,0)</f>
        <v>0</v>
      </c>
      <c r="T162" s="38"/>
      <c r="U162" s="38"/>
    </row>
    <row r="163" spans="1:21" s="6" customFormat="1" ht="14.25" x14ac:dyDescent="0.3">
      <c r="A163" s="52"/>
      <c r="B163" s="45" t="s">
        <v>110</v>
      </c>
      <c r="C163" s="94" t="s">
        <v>163</v>
      </c>
      <c r="D163" s="94"/>
      <c r="E163" s="94"/>
      <c r="F163" s="94"/>
      <c r="G163" s="94"/>
      <c r="H163" s="94"/>
      <c r="I163" s="94"/>
      <c r="J163" s="94"/>
      <c r="K163" s="94"/>
      <c r="L163" s="94"/>
      <c r="M163" s="95"/>
      <c r="N163" s="44" t="str">
        <f t="shared" si="16"/>
        <v/>
      </c>
      <c r="O163" s="38"/>
      <c r="P163" s="38"/>
      <c r="Q163" s="38"/>
      <c r="R163" s="38"/>
      <c r="S163" s="38">
        <f t="shared" si="20"/>
        <v>0</v>
      </c>
      <c r="T163" s="38"/>
      <c r="U163" s="38"/>
    </row>
    <row r="164" spans="1:21" s="6" customFormat="1" ht="14.25" x14ac:dyDescent="0.3">
      <c r="A164" s="52"/>
      <c r="B164" s="45" t="s">
        <v>110</v>
      </c>
      <c r="C164" s="94" t="s">
        <v>164</v>
      </c>
      <c r="D164" s="94"/>
      <c r="E164" s="94"/>
      <c r="F164" s="94"/>
      <c r="G164" s="94"/>
      <c r="H164" s="94"/>
      <c r="I164" s="94"/>
      <c r="J164" s="94"/>
      <c r="K164" s="94"/>
      <c r="L164" s="94"/>
      <c r="M164" s="95"/>
      <c r="N164" s="44" t="str">
        <f t="shared" si="16"/>
        <v/>
      </c>
      <c r="O164" s="38"/>
      <c r="P164" s="38"/>
      <c r="Q164" s="38"/>
      <c r="R164" s="38"/>
      <c r="S164" s="38">
        <f t="shared" si="20"/>
        <v>0</v>
      </c>
      <c r="T164" s="38"/>
      <c r="U164" s="38"/>
    </row>
    <row r="165" spans="1:21" s="6" customFormat="1" ht="21" customHeight="1" x14ac:dyDescent="0.3">
      <c r="A165" s="52"/>
      <c r="B165" s="45" t="s">
        <v>110</v>
      </c>
      <c r="C165" s="94" t="s">
        <v>165</v>
      </c>
      <c r="D165" s="94"/>
      <c r="E165" s="94"/>
      <c r="F165" s="94"/>
      <c r="G165" s="94"/>
      <c r="H165" s="94"/>
      <c r="I165" s="94"/>
      <c r="J165" s="94"/>
      <c r="K165" s="94"/>
      <c r="L165" s="94"/>
      <c r="M165" s="95"/>
      <c r="N165" s="44" t="str">
        <f t="shared" si="16"/>
        <v/>
      </c>
      <c r="O165" s="38"/>
      <c r="P165" s="38"/>
      <c r="Q165" s="38"/>
      <c r="R165" s="38"/>
      <c r="S165" s="38">
        <f t="shared" si="20"/>
        <v>0</v>
      </c>
      <c r="T165" s="38"/>
      <c r="U165" s="38"/>
    </row>
    <row r="166" spans="1:21" s="6" customFormat="1" ht="14.25" x14ac:dyDescent="0.3">
      <c r="A166" s="52"/>
      <c r="B166" s="45" t="s">
        <v>110</v>
      </c>
      <c r="C166" s="94" t="s">
        <v>166</v>
      </c>
      <c r="D166" s="94"/>
      <c r="E166" s="94"/>
      <c r="F166" s="94"/>
      <c r="G166" s="94"/>
      <c r="H166" s="94"/>
      <c r="I166" s="94"/>
      <c r="J166" s="94"/>
      <c r="K166" s="94"/>
      <c r="L166" s="94"/>
      <c r="M166" s="95"/>
      <c r="N166" s="44" t="str">
        <f t="shared" si="16"/>
        <v/>
      </c>
      <c r="O166" s="38"/>
      <c r="P166" s="38"/>
      <c r="Q166" s="38"/>
      <c r="R166" s="38"/>
      <c r="S166" s="38">
        <f t="shared" si="20"/>
        <v>0</v>
      </c>
      <c r="T166" s="38"/>
      <c r="U166" s="38"/>
    </row>
    <row r="167" spans="1:21" s="6" customFormat="1" ht="21" customHeight="1" x14ac:dyDescent="0.3">
      <c r="A167" s="52"/>
      <c r="B167" s="45" t="s">
        <v>110</v>
      </c>
      <c r="C167" s="94" t="s">
        <v>167</v>
      </c>
      <c r="D167" s="94"/>
      <c r="E167" s="94"/>
      <c r="F167" s="94"/>
      <c r="G167" s="94"/>
      <c r="H167" s="94"/>
      <c r="I167" s="94"/>
      <c r="J167" s="94"/>
      <c r="K167" s="94"/>
      <c r="L167" s="94"/>
      <c r="M167" s="95"/>
      <c r="N167" s="44" t="str">
        <f t="shared" si="16"/>
        <v/>
      </c>
      <c r="O167" s="38"/>
      <c r="P167" s="38"/>
      <c r="Q167" s="38"/>
      <c r="R167" s="38"/>
      <c r="S167" s="38">
        <f t="shared" si="20"/>
        <v>0</v>
      </c>
      <c r="T167" s="38"/>
      <c r="U167" s="38"/>
    </row>
    <row r="168" spans="1:21" s="6" customFormat="1" ht="21" customHeight="1" x14ac:dyDescent="0.3">
      <c r="A168" s="52"/>
      <c r="B168" s="45" t="s">
        <v>110</v>
      </c>
      <c r="C168" s="94" t="s">
        <v>168</v>
      </c>
      <c r="D168" s="94"/>
      <c r="E168" s="94"/>
      <c r="F168" s="94"/>
      <c r="G168" s="94"/>
      <c r="H168" s="94"/>
      <c r="I168" s="94"/>
      <c r="J168" s="94"/>
      <c r="K168" s="94"/>
      <c r="L168" s="94"/>
      <c r="M168" s="95"/>
      <c r="N168" s="44" t="str">
        <f t="shared" si="16"/>
        <v/>
      </c>
      <c r="O168" s="38"/>
      <c r="P168" s="38"/>
      <c r="Q168" s="38"/>
      <c r="R168" s="38"/>
      <c r="S168" s="38">
        <f t="shared" si="20"/>
        <v>0</v>
      </c>
      <c r="T168" s="38"/>
      <c r="U168" s="38"/>
    </row>
    <row r="169" spans="1:21" s="6" customFormat="1" ht="21" customHeight="1" x14ac:dyDescent="0.3">
      <c r="A169" s="68"/>
      <c r="B169" s="63" t="s">
        <v>110</v>
      </c>
      <c r="C169" s="145" t="s">
        <v>150</v>
      </c>
      <c r="D169" s="145"/>
      <c r="E169" s="145"/>
      <c r="F169" s="145"/>
      <c r="G169" s="145"/>
      <c r="H169" s="145"/>
      <c r="I169" s="145"/>
      <c r="J169" s="145"/>
      <c r="K169" s="145"/>
      <c r="L169" s="145"/>
      <c r="M169" s="146"/>
      <c r="N169" s="44" t="str">
        <f t="shared" si="16"/>
        <v/>
      </c>
      <c r="O169" s="38"/>
      <c r="P169" s="38"/>
      <c r="Q169" s="38"/>
      <c r="R169" s="38"/>
      <c r="S169" s="38"/>
      <c r="T169" s="38">
        <f>IF(B169="[v]",1,0)</f>
        <v>0</v>
      </c>
      <c r="U169" s="38"/>
    </row>
    <row r="170" spans="1:21" s="6" customFormat="1" ht="42" customHeight="1" x14ac:dyDescent="0.3">
      <c r="A170" s="135" t="s">
        <v>64</v>
      </c>
      <c r="B170" s="121"/>
      <c r="C170" s="121"/>
      <c r="D170" s="121"/>
      <c r="E170" s="121"/>
      <c r="F170" s="121"/>
      <c r="G170" s="122"/>
      <c r="H170" s="46" t="s">
        <v>110</v>
      </c>
      <c r="I170" s="47" t="s">
        <v>111</v>
      </c>
      <c r="J170" s="48" t="s">
        <v>110</v>
      </c>
      <c r="K170" s="47" t="s">
        <v>109</v>
      </c>
      <c r="L170" s="47"/>
      <c r="M170" s="54"/>
      <c r="N170" s="44" t="str">
        <f t="shared" si="16"/>
        <v/>
      </c>
      <c r="O170" s="38"/>
      <c r="P170" s="38"/>
      <c r="Q170" s="38"/>
      <c r="R170" s="38">
        <f>IF(H170="[V]",1,0)</f>
        <v>0</v>
      </c>
      <c r="S170" s="38"/>
      <c r="T170" s="38"/>
      <c r="U170" s="38">
        <f>IF(J170="[V]",1,0)</f>
        <v>0</v>
      </c>
    </row>
    <row r="171" spans="1:21" s="6" customFormat="1" ht="21" customHeight="1" x14ac:dyDescent="0.3">
      <c r="A171" s="147" t="s">
        <v>65</v>
      </c>
      <c r="B171" s="148"/>
      <c r="C171" s="148"/>
      <c r="D171" s="148"/>
      <c r="E171" s="148"/>
      <c r="F171" s="148"/>
      <c r="G171" s="148"/>
      <c r="H171" s="148"/>
      <c r="I171" s="148"/>
      <c r="J171" s="148"/>
      <c r="K171" s="148"/>
      <c r="L171" s="148"/>
      <c r="M171" s="149"/>
      <c r="N171" s="44" t="str">
        <f t="shared" si="16"/>
        <v/>
      </c>
      <c r="O171" s="38"/>
      <c r="P171" s="38"/>
      <c r="Q171" s="38"/>
      <c r="R171" s="38"/>
      <c r="S171" s="38"/>
      <c r="T171" s="38"/>
      <c r="U171" s="38"/>
    </row>
    <row r="172" spans="1:21" s="6" customFormat="1" ht="21" customHeight="1" x14ac:dyDescent="0.3">
      <c r="A172" s="132" t="s">
        <v>66</v>
      </c>
      <c r="B172" s="133"/>
      <c r="C172" s="133"/>
      <c r="D172" s="133"/>
      <c r="E172" s="133"/>
      <c r="F172" s="133"/>
      <c r="G172" s="133"/>
      <c r="H172" s="133"/>
      <c r="I172" s="133"/>
      <c r="J172" s="133"/>
      <c r="K172" s="133"/>
      <c r="L172" s="133"/>
      <c r="M172" s="134"/>
      <c r="N172" s="44" t="str">
        <f t="shared" si="16"/>
        <v/>
      </c>
      <c r="O172" s="38"/>
      <c r="P172" s="38"/>
      <c r="Q172" s="38"/>
      <c r="R172" s="38"/>
      <c r="S172" s="38"/>
      <c r="T172" s="38"/>
      <c r="U172" s="38"/>
    </row>
    <row r="173" spans="1:21" s="6" customFormat="1" ht="21" customHeight="1" x14ac:dyDescent="0.3">
      <c r="A173" s="69"/>
      <c r="B173" s="45" t="s">
        <v>110</v>
      </c>
      <c r="C173" s="94" t="s">
        <v>169</v>
      </c>
      <c r="D173" s="94"/>
      <c r="E173" s="94"/>
      <c r="F173" s="94"/>
      <c r="G173" s="94"/>
      <c r="H173" s="94"/>
      <c r="I173" s="94"/>
      <c r="J173" s="94"/>
      <c r="K173" s="94"/>
      <c r="L173" s="94"/>
      <c r="M173" s="95"/>
      <c r="N173" s="44" t="str">
        <f t="shared" si="16"/>
        <v/>
      </c>
      <c r="O173" s="38"/>
      <c r="P173" s="38"/>
      <c r="Q173" s="38"/>
      <c r="R173" s="38"/>
      <c r="S173" s="38">
        <f t="shared" ref="S173:S174" si="21">IF(B173="[V]",1,0)</f>
        <v>0</v>
      </c>
      <c r="T173" s="38"/>
      <c r="U173" s="38"/>
    </row>
    <row r="174" spans="1:21" s="6" customFormat="1" ht="21" customHeight="1" x14ac:dyDescent="0.3">
      <c r="A174" s="52"/>
      <c r="B174" s="45" t="s">
        <v>110</v>
      </c>
      <c r="C174" s="94" t="s">
        <v>170</v>
      </c>
      <c r="D174" s="94"/>
      <c r="E174" s="94"/>
      <c r="F174" s="94"/>
      <c r="G174" s="94"/>
      <c r="H174" s="94"/>
      <c r="I174" s="94"/>
      <c r="J174" s="94"/>
      <c r="K174" s="94"/>
      <c r="L174" s="94"/>
      <c r="M174" s="95"/>
      <c r="N174" s="44" t="str">
        <f t="shared" si="16"/>
        <v/>
      </c>
      <c r="O174" s="38"/>
      <c r="P174" s="38"/>
      <c r="Q174" s="38"/>
      <c r="R174" s="38"/>
      <c r="S174" s="38">
        <f t="shared" si="21"/>
        <v>0</v>
      </c>
      <c r="T174" s="38"/>
      <c r="U174" s="38"/>
    </row>
    <row r="175" spans="1:21" s="6" customFormat="1" ht="21" customHeight="1" x14ac:dyDescent="0.3">
      <c r="A175" s="53"/>
      <c r="B175" s="45" t="s">
        <v>110</v>
      </c>
      <c r="C175" s="94" t="s">
        <v>150</v>
      </c>
      <c r="D175" s="94"/>
      <c r="E175" s="94"/>
      <c r="F175" s="94"/>
      <c r="G175" s="94"/>
      <c r="H175" s="94"/>
      <c r="I175" s="94"/>
      <c r="J175" s="94"/>
      <c r="K175" s="94"/>
      <c r="L175" s="94"/>
      <c r="M175" s="95"/>
      <c r="N175" s="44" t="str">
        <f t="shared" si="16"/>
        <v/>
      </c>
      <c r="O175" s="38"/>
      <c r="P175" s="38"/>
      <c r="Q175" s="38"/>
      <c r="R175" s="38"/>
      <c r="S175" s="38"/>
      <c r="T175" s="38">
        <f>IF(B175="[v]",1,0)</f>
        <v>0</v>
      </c>
      <c r="U175" s="38"/>
    </row>
    <row r="176" spans="1:21" s="6" customFormat="1" ht="14.25" x14ac:dyDescent="0.3">
      <c r="A176" s="132" t="s">
        <v>67</v>
      </c>
      <c r="B176" s="133"/>
      <c r="C176" s="133"/>
      <c r="D176" s="133"/>
      <c r="E176" s="133"/>
      <c r="F176" s="133"/>
      <c r="G176" s="134"/>
      <c r="H176" s="46" t="s">
        <v>110</v>
      </c>
      <c r="I176" s="47" t="s">
        <v>111</v>
      </c>
      <c r="J176" s="48" t="s">
        <v>110</v>
      </c>
      <c r="K176" s="47" t="s">
        <v>109</v>
      </c>
      <c r="L176" s="47"/>
      <c r="M176" s="54"/>
      <c r="N176" s="44" t="str">
        <f t="shared" si="16"/>
        <v/>
      </c>
      <c r="O176" s="38"/>
      <c r="P176" s="38"/>
      <c r="Q176" s="38"/>
      <c r="R176" s="38">
        <f>IF(H176="[V]",1,0)</f>
        <v>0</v>
      </c>
      <c r="S176" s="38"/>
      <c r="T176" s="38"/>
      <c r="U176" s="38">
        <f>IF(J176="[V]",1,0)</f>
        <v>0</v>
      </c>
    </row>
    <row r="177" spans="1:21" s="6" customFormat="1" ht="14.25" x14ac:dyDescent="0.3">
      <c r="A177" s="135" t="s">
        <v>68</v>
      </c>
      <c r="B177" s="121"/>
      <c r="C177" s="121"/>
      <c r="D177" s="121"/>
      <c r="E177" s="121"/>
      <c r="F177" s="121"/>
      <c r="G177" s="122"/>
      <c r="H177" s="46" t="s">
        <v>110</v>
      </c>
      <c r="I177" s="47" t="s">
        <v>111</v>
      </c>
      <c r="J177" s="48" t="s">
        <v>110</v>
      </c>
      <c r="K177" s="47" t="s">
        <v>109</v>
      </c>
      <c r="L177" s="47"/>
      <c r="M177" s="54"/>
      <c r="N177" s="44" t="str">
        <f t="shared" si="16"/>
        <v/>
      </c>
      <c r="O177" s="38"/>
      <c r="P177" s="38"/>
      <c r="Q177" s="38"/>
      <c r="R177" s="38">
        <f>IF(H177="[V]",1,0)</f>
        <v>0</v>
      </c>
      <c r="S177" s="38"/>
      <c r="T177" s="38"/>
      <c r="U177" s="38">
        <f>IF(J177="[V]",1,0)</f>
        <v>0</v>
      </c>
    </row>
    <row r="178" spans="1:21" s="6" customFormat="1" ht="21" customHeight="1" x14ac:dyDescent="0.3">
      <c r="A178" s="132" t="s">
        <v>69</v>
      </c>
      <c r="B178" s="133"/>
      <c r="C178" s="133"/>
      <c r="D178" s="133"/>
      <c r="E178" s="133"/>
      <c r="F178" s="133"/>
      <c r="G178" s="133"/>
      <c r="H178" s="133"/>
      <c r="I178" s="133"/>
      <c r="J178" s="133"/>
      <c r="K178" s="133"/>
      <c r="L178" s="133"/>
      <c r="M178" s="134"/>
      <c r="N178" s="44" t="str">
        <f t="shared" si="16"/>
        <v/>
      </c>
      <c r="O178" s="38"/>
      <c r="P178" s="38"/>
      <c r="Q178" s="38"/>
      <c r="R178" s="38"/>
      <c r="S178" s="38"/>
      <c r="T178" s="38"/>
      <c r="U178" s="38"/>
    </row>
    <row r="179" spans="1:21" s="6" customFormat="1" ht="21" customHeight="1" x14ac:dyDescent="0.3">
      <c r="A179" s="52"/>
      <c r="B179" s="45" t="s">
        <v>110</v>
      </c>
      <c r="C179" s="94" t="s">
        <v>171</v>
      </c>
      <c r="D179" s="94"/>
      <c r="E179" s="94"/>
      <c r="F179" s="94"/>
      <c r="G179" s="94"/>
      <c r="H179" s="94"/>
      <c r="I179" s="94"/>
      <c r="J179" s="94"/>
      <c r="K179" s="94"/>
      <c r="L179" s="94"/>
      <c r="M179" s="95"/>
      <c r="N179" s="44" t="str">
        <f t="shared" si="16"/>
        <v/>
      </c>
      <c r="O179" s="38"/>
      <c r="P179" s="38"/>
      <c r="Q179" s="38"/>
      <c r="R179" s="38"/>
      <c r="S179" s="38">
        <f t="shared" ref="S179:S182" si="22">IF(B179="[V]",1,0)</f>
        <v>0</v>
      </c>
      <c r="T179" s="38"/>
      <c r="U179" s="38"/>
    </row>
    <row r="180" spans="1:21" s="6" customFormat="1" ht="21" customHeight="1" x14ac:dyDescent="0.3">
      <c r="A180" s="52"/>
      <c r="B180" s="45" t="s">
        <v>110</v>
      </c>
      <c r="C180" s="94" t="s">
        <v>172</v>
      </c>
      <c r="D180" s="94"/>
      <c r="E180" s="94"/>
      <c r="F180" s="94"/>
      <c r="G180" s="94"/>
      <c r="H180" s="94"/>
      <c r="I180" s="94"/>
      <c r="J180" s="94"/>
      <c r="K180" s="94"/>
      <c r="L180" s="94"/>
      <c r="M180" s="95"/>
      <c r="N180" s="44" t="str">
        <f t="shared" si="16"/>
        <v/>
      </c>
      <c r="O180" s="38"/>
      <c r="P180" s="38"/>
      <c r="Q180" s="38"/>
      <c r="R180" s="38"/>
      <c r="S180" s="38">
        <f t="shared" si="22"/>
        <v>0</v>
      </c>
      <c r="T180" s="38"/>
      <c r="U180" s="38"/>
    </row>
    <row r="181" spans="1:21" s="6" customFormat="1" ht="21" customHeight="1" x14ac:dyDescent="0.3">
      <c r="A181" s="52"/>
      <c r="B181" s="45" t="s">
        <v>110</v>
      </c>
      <c r="C181" s="94" t="s">
        <v>173</v>
      </c>
      <c r="D181" s="94"/>
      <c r="E181" s="94"/>
      <c r="F181" s="94"/>
      <c r="G181" s="94"/>
      <c r="H181" s="94"/>
      <c r="I181" s="94"/>
      <c r="J181" s="94"/>
      <c r="K181" s="94"/>
      <c r="L181" s="94"/>
      <c r="M181" s="95"/>
      <c r="N181" s="44" t="str">
        <f t="shared" si="16"/>
        <v/>
      </c>
      <c r="O181" s="38"/>
      <c r="P181" s="38"/>
      <c r="Q181" s="38"/>
      <c r="R181" s="38"/>
      <c r="S181" s="38">
        <f t="shared" si="22"/>
        <v>0</v>
      </c>
      <c r="T181" s="38"/>
      <c r="U181" s="38"/>
    </row>
    <row r="182" spans="1:21" s="6" customFormat="1" ht="21" customHeight="1" x14ac:dyDescent="0.3">
      <c r="A182" s="52"/>
      <c r="B182" s="45" t="s">
        <v>110</v>
      </c>
      <c r="C182" s="94" t="s">
        <v>174</v>
      </c>
      <c r="D182" s="94"/>
      <c r="E182" s="94"/>
      <c r="F182" s="94"/>
      <c r="G182" s="94"/>
      <c r="H182" s="94"/>
      <c r="I182" s="94"/>
      <c r="J182" s="94"/>
      <c r="K182" s="94"/>
      <c r="L182" s="94"/>
      <c r="M182" s="95"/>
      <c r="N182" s="44" t="str">
        <f t="shared" si="16"/>
        <v/>
      </c>
      <c r="O182" s="38"/>
      <c r="P182" s="38"/>
      <c r="Q182" s="38"/>
      <c r="R182" s="38"/>
      <c r="S182" s="38">
        <f t="shared" si="22"/>
        <v>0</v>
      </c>
      <c r="T182" s="38"/>
      <c r="U182" s="38"/>
    </row>
    <row r="183" spans="1:21" s="6" customFormat="1" ht="21" customHeight="1" x14ac:dyDescent="0.3">
      <c r="A183" s="68"/>
      <c r="B183" s="70" t="s">
        <v>110</v>
      </c>
      <c r="C183" s="143" t="s">
        <v>150</v>
      </c>
      <c r="D183" s="143"/>
      <c r="E183" s="143"/>
      <c r="F183" s="143"/>
      <c r="G183" s="143"/>
      <c r="H183" s="143"/>
      <c r="I183" s="143"/>
      <c r="J183" s="143"/>
      <c r="K183" s="143"/>
      <c r="L183" s="143"/>
      <c r="M183" s="144"/>
      <c r="N183" s="44" t="str">
        <f t="shared" si="16"/>
        <v/>
      </c>
      <c r="O183" s="38"/>
      <c r="P183" s="38"/>
      <c r="Q183" s="38"/>
      <c r="R183" s="38"/>
      <c r="S183" s="38"/>
      <c r="T183" s="38">
        <f>IF(B183="[v]",1,0)</f>
        <v>0</v>
      </c>
      <c r="U183" s="38"/>
    </row>
    <row r="184" spans="1:21" s="6" customFormat="1" ht="39.950000000000003" customHeight="1" x14ac:dyDescent="0.3">
      <c r="A184" s="135" t="s">
        <v>70</v>
      </c>
      <c r="B184" s="121"/>
      <c r="C184" s="121"/>
      <c r="D184" s="121"/>
      <c r="E184" s="121"/>
      <c r="F184" s="121"/>
      <c r="G184" s="122"/>
      <c r="H184" s="46" t="s">
        <v>110</v>
      </c>
      <c r="I184" s="47" t="s">
        <v>111</v>
      </c>
      <c r="J184" s="48" t="s">
        <v>110</v>
      </c>
      <c r="K184" s="47" t="s">
        <v>109</v>
      </c>
      <c r="L184" s="47"/>
      <c r="M184" s="54"/>
      <c r="N184" s="44" t="str">
        <f t="shared" si="16"/>
        <v/>
      </c>
      <c r="O184" s="38"/>
      <c r="P184" s="38"/>
      <c r="Q184" s="38"/>
      <c r="R184" s="38">
        <f>IF(H184="[V]",1,0)</f>
        <v>0</v>
      </c>
      <c r="S184" s="38"/>
      <c r="T184" s="38"/>
      <c r="U184" s="38">
        <f>IF(J184="[V]",1,0)</f>
        <v>0</v>
      </c>
    </row>
    <row r="185" spans="1:21" s="6" customFormat="1" ht="21" customHeight="1" x14ac:dyDescent="0.3">
      <c r="A185" s="139" t="s">
        <v>71</v>
      </c>
      <c r="B185" s="140"/>
      <c r="C185" s="140"/>
      <c r="D185" s="140"/>
      <c r="E185" s="140"/>
      <c r="F185" s="140"/>
      <c r="G185" s="140"/>
      <c r="H185" s="140"/>
      <c r="I185" s="140"/>
      <c r="J185" s="140"/>
      <c r="K185" s="140"/>
      <c r="L185" s="140"/>
      <c r="M185" s="141"/>
      <c r="N185" s="44" t="str">
        <f t="shared" si="16"/>
        <v/>
      </c>
      <c r="O185" s="38"/>
      <c r="P185" s="38"/>
      <c r="Q185" s="38"/>
      <c r="R185" s="38"/>
      <c r="S185" s="38"/>
      <c r="T185" s="38"/>
      <c r="U185" s="38"/>
    </row>
    <row r="186" spans="1:21" s="6" customFormat="1" ht="21" customHeight="1" x14ac:dyDescent="0.3">
      <c r="A186" s="64"/>
      <c r="B186" s="45" t="s">
        <v>110</v>
      </c>
      <c r="C186" s="94" t="s">
        <v>175</v>
      </c>
      <c r="D186" s="94"/>
      <c r="E186" s="94"/>
      <c r="F186" s="94"/>
      <c r="G186" s="94"/>
      <c r="H186" s="94"/>
      <c r="I186" s="94"/>
      <c r="J186" s="94"/>
      <c r="K186" s="94"/>
      <c r="L186" s="94"/>
      <c r="M186" s="95"/>
      <c r="N186" s="44" t="str">
        <f t="shared" si="16"/>
        <v/>
      </c>
      <c r="O186" s="38"/>
      <c r="P186" s="38"/>
      <c r="Q186" s="38"/>
      <c r="R186" s="38"/>
      <c r="S186" s="38">
        <f t="shared" ref="S186:S187" si="23">IF(B186="[V]",1,0)</f>
        <v>0</v>
      </c>
      <c r="T186" s="38"/>
      <c r="U186" s="38"/>
    </row>
    <row r="187" spans="1:21" s="6" customFormat="1" ht="21" customHeight="1" x14ac:dyDescent="0.3">
      <c r="A187" s="64"/>
      <c r="B187" s="45" t="s">
        <v>110</v>
      </c>
      <c r="C187" s="94" t="s">
        <v>176</v>
      </c>
      <c r="D187" s="94"/>
      <c r="E187" s="94"/>
      <c r="F187" s="94"/>
      <c r="G187" s="94"/>
      <c r="H187" s="94"/>
      <c r="I187" s="94"/>
      <c r="J187" s="94"/>
      <c r="K187" s="94"/>
      <c r="L187" s="94"/>
      <c r="M187" s="95"/>
      <c r="N187" s="44" t="str">
        <f t="shared" si="16"/>
        <v/>
      </c>
      <c r="O187" s="38"/>
      <c r="P187" s="38"/>
      <c r="Q187" s="38"/>
      <c r="R187" s="38"/>
      <c r="S187" s="38">
        <f t="shared" si="23"/>
        <v>0</v>
      </c>
      <c r="T187" s="38"/>
      <c r="U187" s="38"/>
    </row>
    <row r="188" spans="1:21" s="6" customFormat="1" ht="21" customHeight="1" x14ac:dyDescent="0.3">
      <c r="A188" s="65"/>
      <c r="B188" s="45" t="s">
        <v>110</v>
      </c>
      <c r="C188" s="94" t="s">
        <v>150</v>
      </c>
      <c r="D188" s="94"/>
      <c r="E188" s="94"/>
      <c r="F188" s="94"/>
      <c r="G188" s="94"/>
      <c r="H188" s="94"/>
      <c r="I188" s="94"/>
      <c r="J188" s="94"/>
      <c r="K188" s="94"/>
      <c r="L188" s="94"/>
      <c r="M188" s="95"/>
      <c r="N188" s="44" t="str">
        <f t="shared" si="16"/>
        <v/>
      </c>
      <c r="O188" s="38"/>
      <c r="P188" s="38"/>
      <c r="Q188" s="38"/>
      <c r="R188" s="38"/>
      <c r="S188" s="38"/>
      <c r="T188" s="38">
        <f>IF(B188="[v]",1,0)</f>
        <v>0</v>
      </c>
      <c r="U188" s="38"/>
    </row>
    <row r="189" spans="1:21" s="6" customFormat="1" ht="38.450000000000003" customHeight="1" x14ac:dyDescent="0.3">
      <c r="A189" s="135" t="s">
        <v>72</v>
      </c>
      <c r="B189" s="121"/>
      <c r="C189" s="121"/>
      <c r="D189" s="121"/>
      <c r="E189" s="121"/>
      <c r="F189" s="121"/>
      <c r="G189" s="122"/>
      <c r="H189" s="46" t="s">
        <v>110</v>
      </c>
      <c r="I189" s="47" t="s">
        <v>111</v>
      </c>
      <c r="J189" s="48" t="s">
        <v>110</v>
      </c>
      <c r="K189" s="47" t="s">
        <v>109</v>
      </c>
      <c r="L189" s="47"/>
      <c r="M189" s="54"/>
      <c r="N189" s="44" t="str">
        <f t="shared" si="16"/>
        <v/>
      </c>
      <c r="O189" s="38"/>
      <c r="P189" s="38"/>
      <c r="Q189" s="38"/>
      <c r="R189" s="38">
        <f>IF(H189="[V]",1,0)</f>
        <v>0</v>
      </c>
      <c r="S189" s="38"/>
      <c r="T189" s="38"/>
      <c r="U189" s="38">
        <f>IF(J189="[V]",1,0)</f>
        <v>0</v>
      </c>
    </row>
    <row r="190" spans="1:21" s="6" customFormat="1" ht="21" customHeight="1" x14ac:dyDescent="0.3">
      <c r="A190" s="139" t="s">
        <v>73</v>
      </c>
      <c r="B190" s="140"/>
      <c r="C190" s="140"/>
      <c r="D190" s="140"/>
      <c r="E190" s="140"/>
      <c r="F190" s="140"/>
      <c r="G190" s="140"/>
      <c r="H190" s="140"/>
      <c r="I190" s="140"/>
      <c r="J190" s="140"/>
      <c r="K190" s="140"/>
      <c r="L190" s="140"/>
      <c r="M190" s="141"/>
      <c r="N190" s="44" t="str">
        <f t="shared" si="16"/>
        <v/>
      </c>
      <c r="O190" s="38"/>
      <c r="P190" s="38"/>
      <c r="Q190" s="38"/>
      <c r="R190" s="38"/>
      <c r="S190" s="38"/>
      <c r="T190" s="38"/>
      <c r="U190" s="38"/>
    </row>
    <row r="191" spans="1:21" s="6" customFormat="1" ht="21" customHeight="1" x14ac:dyDescent="0.3">
      <c r="A191" s="64"/>
      <c r="B191" s="45" t="s">
        <v>110</v>
      </c>
      <c r="C191" s="93" t="s">
        <v>131</v>
      </c>
      <c r="D191" s="93"/>
      <c r="E191" s="93"/>
      <c r="F191" s="93"/>
      <c r="G191" s="93"/>
      <c r="H191" s="93"/>
      <c r="I191" s="93"/>
      <c r="J191" s="93"/>
      <c r="K191" s="93"/>
      <c r="L191" s="93"/>
      <c r="M191" s="142"/>
      <c r="N191" s="44" t="str">
        <f t="shared" si="16"/>
        <v/>
      </c>
      <c r="O191" s="38"/>
      <c r="P191" s="38"/>
      <c r="Q191" s="38">
        <f>IF(B191="[V]",1,0)</f>
        <v>0</v>
      </c>
      <c r="R191" s="38"/>
      <c r="S191" s="38"/>
      <c r="T191" s="38"/>
      <c r="U191" s="38"/>
    </row>
    <row r="192" spans="1:21" s="6" customFormat="1" ht="21" customHeight="1" x14ac:dyDescent="0.3">
      <c r="A192" s="64"/>
      <c r="B192" s="45" t="s">
        <v>110</v>
      </c>
      <c r="C192" s="93" t="s">
        <v>132</v>
      </c>
      <c r="D192" s="93"/>
      <c r="E192" s="93"/>
      <c r="F192" s="93"/>
      <c r="G192" s="93"/>
      <c r="H192" s="93"/>
      <c r="I192" s="93"/>
      <c r="J192" s="93"/>
      <c r="K192" s="93"/>
      <c r="L192" s="93"/>
      <c r="M192" s="142"/>
      <c r="N192" s="44" t="str">
        <f t="shared" si="16"/>
        <v/>
      </c>
      <c r="O192" s="38"/>
      <c r="P192" s="38"/>
      <c r="Q192" s="38">
        <f t="shared" ref="Q192:Q193" si="24">IF(B192="[V]",1,0)</f>
        <v>0</v>
      </c>
      <c r="R192" s="38"/>
      <c r="S192" s="38"/>
      <c r="T192" s="38"/>
      <c r="U192" s="38"/>
    </row>
    <row r="193" spans="1:21" s="6" customFormat="1" ht="21" customHeight="1" x14ac:dyDescent="0.3">
      <c r="A193" s="64"/>
      <c r="B193" s="45" t="s">
        <v>110</v>
      </c>
      <c r="C193" s="93" t="s">
        <v>133</v>
      </c>
      <c r="D193" s="93"/>
      <c r="E193" s="93"/>
      <c r="F193" s="93"/>
      <c r="G193" s="93"/>
      <c r="H193" s="93"/>
      <c r="I193" s="93"/>
      <c r="J193" s="93"/>
      <c r="K193" s="93"/>
      <c r="L193" s="93"/>
      <c r="M193" s="142"/>
      <c r="N193" s="44" t="str">
        <f t="shared" si="16"/>
        <v/>
      </c>
      <c r="O193" s="38"/>
      <c r="P193" s="38"/>
      <c r="Q193" s="38">
        <f t="shared" si="24"/>
        <v>0</v>
      </c>
      <c r="R193" s="38"/>
      <c r="S193" s="38"/>
      <c r="T193" s="38"/>
      <c r="U193" s="38"/>
    </row>
    <row r="194" spans="1:21" s="6" customFormat="1" ht="21" customHeight="1" x14ac:dyDescent="0.3">
      <c r="A194" s="64"/>
      <c r="B194" s="45" t="s">
        <v>110</v>
      </c>
      <c r="C194" s="93" t="s">
        <v>134</v>
      </c>
      <c r="D194" s="93"/>
      <c r="E194" s="93"/>
      <c r="F194" s="93"/>
      <c r="G194" s="93"/>
      <c r="H194" s="93"/>
      <c r="I194" s="93"/>
      <c r="J194" s="93"/>
      <c r="K194" s="93"/>
      <c r="L194" s="93"/>
      <c r="M194" s="142"/>
      <c r="N194" s="44" t="str">
        <f t="shared" si="16"/>
        <v/>
      </c>
      <c r="O194" s="38"/>
      <c r="P194" s="38">
        <f>IF(B194="[V]",1,0)</f>
        <v>0</v>
      </c>
      <c r="Q194" s="38"/>
      <c r="R194" s="38"/>
      <c r="S194" s="38"/>
      <c r="T194" s="38"/>
      <c r="U194" s="38"/>
    </row>
    <row r="195" spans="1:21" s="6" customFormat="1" ht="14.25" x14ac:dyDescent="0.3">
      <c r="A195" s="53"/>
      <c r="B195" s="45" t="s">
        <v>110</v>
      </c>
      <c r="C195" s="94" t="s">
        <v>177</v>
      </c>
      <c r="D195" s="94"/>
      <c r="E195" s="94"/>
      <c r="F195" s="94"/>
      <c r="G195" s="94"/>
      <c r="H195" s="96"/>
      <c r="I195" s="96"/>
      <c r="J195" s="96"/>
      <c r="K195" s="96"/>
      <c r="L195" s="96"/>
      <c r="M195" s="97"/>
      <c r="N195" s="44" t="str">
        <f t="shared" si="16"/>
        <v/>
      </c>
      <c r="O195" s="38">
        <f>IF(B195="[V]",1,0)</f>
        <v>0</v>
      </c>
      <c r="P195" s="38"/>
      <c r="Q195" s="38"/>
      <c r="R195" s="38"/>
      <c r="S195" s="38"/>
      <c r="T195" s="38"/>
      <c r="U195" s="38"/>
    </row>
    <row r="196" spans="1:21" s="6" customFormat="1" ht="36.6" customHeight="1" x14ac:dyDescent="0.3">
      <c r="A196" s="135" t="s">
        <v>74</v>
      </c>
      <c r="B196" s="121"/>
      <c r="C196" s="121"/>
      <c r="D196" s="121"/>
      <c r="E196" s="121"/>
      <c r="F196" s="121"/>
      <c r="G196" s="122"/>
      <c r="H196" s="45" t="s">
        <v>110</v>
      </c>
      <c r="I196" s="47" t="s">
        <v>111</v>
      </c>
      <c r="J196" s="45" t="s">
        <v>110</v>
      </c>
      <c r="K196" s="47" t="s">
        <v>109</v>
      </c>
      <c r="L196" s="47"/>
      <c r="M196" s="54"/>
      <c r="N196" s="44" t="str">
        <f t="shared" si="16"/>
        <v/>
      </c>
      <c r="O196" s="38"/>
      <c r="P196" s="38"/>
      <c r="Q196" s="38"/>
      <c r="R196" s="38">
        <f>IF(H196="[V]",1,0)</f>
        <v>0</v>
      </c>
      <c r="S196" s="38"/>
      <c r="T196" s="38"/>
      <c r="U196" s="38">
        <f>IF(J196="[V]",1,0)</f>
        <v>0</v>
      </c>
    </row>
    <row r="197" spans="1:21" s="6" customFormat="1" ht="21" customHeight="1" x14ac:dyDescent="0.3">
      <c r="A197" s="139" t="s">
        <v>75</v>
      </c>
      <c r="B197" s="140"/>
      <c r="C197" s="140"/>
      <c r="D197" s="140"/>
      <c r="E197" s="140"/>
      <c r="F197" s="140"/>
      <c r="G197" s="141"/>
      <c r="H197" s="46" t="s">
        <v>110</v>
      </c>
      <c r="I197" s="47" t="s">
        <v>111</v>
      </c>
      <c r="J197" s="48" t="s">
        <v>110</v>
      </c>
      <c r="K197" s="47" t="s">
        <v>109</v>
      </c>
      <c r="L197" s="47"/>
      <c r="M197" s="54"/>
      <c r="N197" s="44" t="str">
        <f t="shared" si="16"/>
        <v/>
      </c>
      <c r="O197" s="38"/>
      <c r="P197" s="38"/>
      <c r="Q197" s="38"/>
      <c r="R197" s="38">
        <f>IF(H197="[V]",1,0)</f>
        <v>0</v>
      </c>
      <c r="S197" s="38"/>
      <c r="T197" s="38"/>
      <c r="U197" s="38">
        <f>IF(J197="[V]",1,0)</f>
        <v>0</v>
      </c>
    </row>
    <row r="198" spans="1:21" s="6" customFormat="1" ht="21" customHeight="1" x14ac:dyDescent="0.3">
      <c r="A198" s="139" t="s">
        <v>76</v>
      </c>
      <c r="B198" s="140"/>
      <c r="C198" s="140"/>
      <c r="D198" s="140"/>
      <c r="E198" s="140"/>
      <c r="F198" s="140"/>
      <c r="G198" s="140"/>
      <c r="H198" s="140"/>
      <c r="I198" s="140"/>
      <c r="J198" s="140"/>
      <c r="K198" s="140"/>
      <c r="L198" s="140"/>
      <c r="M198" s="141"/>
      <c r="N198" s="44" t="str">
        <f t="shared" si="16"/>
        <v/>
      </c>
      <c r="O198" s="38"/>
      <c r="P198" s="38"/>
      <c r="Q198" s="38"/>
      <c r="R198" s="38"/>
      <c r="S198" s="38"/>
      <c r="T198" s="38"/>
      <c r="U198" s="38"/>
    </row>
    <row r="199" spans="1:21" s="6" customFormat="1" ht="21" customHeight="1" x14ac:dyDescent="0.3">
      <c r="A199" s="64"/>
      <c r="B199" s="45" t="s">
        <v>110</v>
      </c>
      <c r="C199" s="93" t="s">
        <v>131</v>
      </c>
      <c r="D199" s="93"/>
      <c r="E199" s="93"/>
      <c r="F199" s="93"/>
      <c r="G199" s="93"/>
      <c r="H199" s="93"/>
      <c r="I199" s="93"/>
      <c r="J199" s="93"/>
      <c r="K199" s="93"/>
      <c r="L199" s="93"/>
      <c r="M199" s="142"/>
      <c r="N199" s="44" t="str">
        <f t="shared" si="16"/>
        <v/>
      </c>
      <c r="O199" s="38"/>
      <c r="P199" s="38"/>
      <c r="Q199" s="38">
        <f>IF(B199="[V]",1,0)</f>
        <v>0</v>
      </c>
      <c r="R199" s="38"/>
      <c r="S199" s="38"/>
      <c r="T199" s="38"/>
      <c r="U199" s="38"/>
    </row>
    <row r="200" spans="1:21" s="6" customFormat="1" ht="21" customHeight="1" x14ac:dyDescent="0.3">
      <c r="A200" s="64"/>
      <c r="B200" s="45" t="s">
        <v>110</v>
      </c>
      <c r="C200" s="93" t="s">
        <v>132</v>
      </c>
      <c r="D200" s="93"/>
      <c r="E200" s="93"/>
      <c r="F200" s="93"/>
      <c r="G200" s="93"/>
      <c r="H200" s="93"/>
      <c r="I200" s="93"/>
      <c r="J200" s="93"/>
      <c r="K200" s="93"/>
      <c r="L200" s="93"/>
      <c r="M200" s="142"/>
      <c r="N200" s="44" t="str">
        <f t="shared" si="16"/>
        <v/>
      </c>
      <c r="O200" s="38"/>
      <c r="P200" s="38"/>
      <c r="Q200" s="38">
        <f t="shared" ref="Q200:Q201" si="25">IF(B200="[V]",1,0)</f>
        <v>0</v>
      </c>
      <c r="R200" s="38"/>
      <c r="S200" s="38"/>
      <c r="T200" s="38"/>
      <c r="U200" s="38"/>
    </row>
    <row r="201" spans="1:21" s="6" customFormat="1" ht="21" customHeight="1" x14ac:dyDescent="0.3">
      <c r="A201" s="64"/>
      <c r="B201" s="45" t="s">
        <v>110</v>
      </c>
      <c r="C201" s="93" t="s">
        <v>133</v>
      </c>
      <c r="D201" s="93"/>
      <c r="E201" s="93"/>
      <c r="F201" s="93"/>
      <c r="G201" s="93"/>
      <c r="H201" s="93"/>
      <c r="I201" s="93"/>
      <c r="J201" s="93"/>
      <c r="K201" s="93"/>
      <c r="L201" s="93"/>
      <c r="M201" s="142"/>
      <c r="N201" s="44" t="str">
        <f t="shared" si="16"/>
        <v/>
      </c>
      <c r="O201" s="38"/>
      <c r="P201" s="38"/>
      <c r="Q201" s="38">
        <f t="shared" si="25"/>
        <v>0</v>
      </c>
      <c r="R201" s="38"/>
      <c r="S201" s="38"/>
      <c r="T201" s="38"/>
      <c r="U201" s="38"/>
    </row>
    <row r="202" spans="1:21" s="6" customFormat="1" ht="21" customHeight="1" x14ac:dyDescent="0.3">
      <c r="A202" s="64"/>
      <c r="B202" s="45" t="s">
        <v>110</v>
      </c>
      <c r="C202" s="93" t="s">
        <v>134</v>
      </c>
      <c r="D202" s="93"/>
      <c r="E202" s="93"/>
      <c r="F202" s="93"/>
      <c r="G202" s="93"/>
      <c r="H202" s="93"/>
      <c r="I202" s="93"/>
      <c r="J202" s="93"/>
      <c r="K202" s="93"/>
      <c r="L202" s="93"/>
      <c r="M202" s="142"/>
      <c r="N202" s="44" t="str">
        <f t="shared" ref="N202:N216" si="26">IF(OR(R202=1,S202=1),"*","")</f>
        <v/>
      </c>
      <c r="O202" s="38"/>
      <c r="P202" s="38">
        <f>IF(B202="[V]",1,0)</f>
        <v>0</v>
      </c>
      <c r="Q202" s="38"/>
      <c r="R202" s="38"/>
      <c r="S202" s="38"/>
      <c r="T202" s="38"/>
      <c r="U202" s="38"/>
    </row>
    <row r="203" spans="1:21" s="6" customFormat="1" ht="96" customHeight="1" x14ac:dyDescent="0.3">
      <c r="A203" s="53"/>
      <c r="B203" s="45" t="s">
        <v>110</v>
      </c>
      <c r="C203" s="94" t="s">
        <v>178</v>
      </c>
      <c r="D203" s="94"/>
      <c r="E203" s="94"/>
      <c r="F203" s="94"/>
      <c r="G203" s="94"/>
      <c r="H203" s="96"/>
      <c r="I203" s="96"/>
      <c r="J203" s="96"/>
      <c r="K203" s="96"/>
      <c r="L203" s="96"/>
      <c r="M203" s="97"/>
      <c r="N203" s="44" t="str">
        <f t="shared" si="26"/>
        <v/>
      </c>
      <c r="O203" s="38">
        <f>IF(B203="[V]",1,0)</f>
        <v>0</v>
      </c>
      <c r="P203" s="38"/>
      <c r="Q203" s="38"/>
      <c r="R203" s="38"/>
      <c r="S203" s="38"/>
      <c r="T203" s="38"/>
      <c r="U203" s="38"/>
    </row>
    <row r="204" spans="1:21" s="6" customFormat="1" ht="14.25" x14ac:dyDescent="0.3">
      <c r="A204" s="132" t="s">
        <v>77</v>
      </c>
      <c r="B204" s="133"/>
      <c r="C204" s="133"/>
      <c r="D204" s="133"/>
      <c r="E204" s="133"/>
      <c r="F204" s="133"/>
      <c r="G204" s="133"/>
      <c r="H204" s="133"/>
      <c r="I204" s="133"/>
      <c r="J204" s="133"/>
      <c r="K204" s="133"/>
      <c r="L204" s="133"/>
      <c r="M204" s="134"/>
      <c r="N204" s="44" t="str">
        <f t="shared" si="26"/>
        <v/>
      </c>
      <c r="O204" s="38"/>
      <c r="P204" s="38"/>
      <c r="Q204" s="38"/>
      <c r="R204" s="38"/>
      <c r="S204" s="38"/>
      <c r="T204" s="38"/>
      <c r="U204" s="38"/>
    </row>
    <row r="205" spans="1:21" s="6" customFormat="1" ht="21" customHeight="1" x14ac:dyDescent="0.3">
      <c r="A205" s="64"/>
      <c r="B205" s="45" t="s">
        <v>110</v>
      </c>
      <c r="C205" s="94" t="s">
        <v>179</v>
      </c>
      <c r="D205" s="94"/>
      <c r="E205" s="94"/>
      <c r="F205" s="94"/>
      <c r="G205" s="94"/>
      <c r="H205" s="94"/>
      <c r="I205" s="94"/>
      <c r="J205" s="94"/>
      <c r="K205" s="94"/>
      <c r="L205" s="94"/>
      <c r="M205" s="95"/>
      <c r="N205" s="44" t="str">
        <f t="shared" si="26"/>
        <v/>
      </c>
      <c r="O205" s="38"/>
      <c r="P205" s="38"/>
      <c r="Q205" s="38"/>
      <c r="R205" s="38"/>
      <c r="S205" s="38">
        <f t="shared" ref="S205:S207" si="27">IF(B205="[V]",1,0)</f>
        <v>0</v>
      </c>
      <c r="T205" s="38"/>
      <c r="U205" s="38"/>
    </row>
    <row r="206" spans="1:21" s="6" customFormat="1" ht="37.9" customHeight="1" x14ac:dyDescent="0.3">
      <c r="A206" s="52"/>
      <c r="B206" s="45" t="s">
        <v>110</v>
      </c>
      <c r="C206" s="94" t="s">
        <v>180</v>
      </c>
      <c r="D206" s="94"/>
      <c r="E206" s="94"/>
      <c r="F206" s="94"/>
      <c r="G206" s="94"/>
      <c r="H206" s="94"/>
      <c r="I206" s="94"/>
      <c r="J206" s="94"/>
      <c r="K206" s="94"/>
      <c r="L206" s="94"/>
      <c r="M206" s="95"/>
      <c r="N206" s="44" t="str">
        <f t="shared" si="26"/>
        <v/>
      </c>
      <c r="O206" s="38"/>
      <c r="P206" s="38"/>
      <c r="Q206" s="38"/>
      <c r="R206" s="38"/>
      <c r="S206" s="38">
        <f t="shared" si="27"/>
        <v>0</v>
      </c>
      <c r="T206" s="38"/>
      <c r="U206" s="38"/>
    </row>
    <row r="207" spans="1:21" s="6" customFormat="1" ht="21" customHeight="1" x14ac:dyDescent="0.3">
      <c r="A207" s="64"/>
      <c r="B207" s="45" t="s">
        <v>110</v>
      </c>
      <c r="C207" s="94" t="s">
        <v>181</v>
      </c>
      <c r="D207" s="94"/>
      <c r="E207" s="94"/>
      <c r="F207" s="94"/>
      <c r="G207" s="94"/>
      <c r="H207" s="94"/>
      <c r="I207" s="94"/>
      <c r="J207" s="94"/>
      <c r="K207" s="94"/>
      <c r="L207" s="94"/>
      <c r="M207" s="95"/>
      <c r="N207" s="44" t="str">
        <f t="shared" si="26"/>
        <v/>
      </c>
      <c r="O207" s="38"/>
      <c r="P207" s="38"/>
      <c r="Q207" s="38"/>
      <c r="R207" s="38"/>
      <c r="S207" s="38">
        <f t="shared" si="27"/>
        <v>0</v>
      </c>
      <c r="T207" s="38"/>
      <c r="U207" s="38"/>
    </row>
    <row r="208" spans="1:21" s="6" customFormat="1" ht="22.5" customHeight="1" x14ac:dyDescent="0.3">
      <c r="A208" s="65"/>
      <c r="B208" s="45" t="s">
        <v>110</v>
      </c>
      <c r="C208" s="96" t="s">
        <v>150</v>
      </c>
      <c r="D208" s="96"/>
      <c r="E208" s="96"/>
      <c r="F208" s="96"/>
      <c r="G208" s="96"/>
      <c r="H208" s="96"/>
      <c r="I208" s="96"/>
      <c r="J208" s="96"/>
      <c r="K208" s="96"/>
      <c r="L208" s="96"/>
      <c r="M208" s="97"/>
      <c r="N208" s="44" t="str">
        <f t="shared" si="26"/>
        <v/>
      </c>
      <c r="O208" s="38"/>
      <c r="P208" s="38"/>
      <c r="Q208" s="38"/>
      <c r="R208" s="38"/>
      <c r="S208" s="38"/>
      <c r="T208" s="38">
        <f>IF(B208="[v]",1,0)</f>
        <v>0</v>
      </c>
      <c r="U208" s="38"/>
    </row>
    <row r="209" spans="1:22" s="6" customFormat="1" ht="37.9" customHeight="1" x14ac:dyDescent="0.3">
      <c r="A209" s="132" t="s">
        <v>78</v>
      </c>
      <c r="B209" s="133"/>
      <c r="C209" s="133"/>
      <c r="D209" s="133"/>
      <c r="E209" s="133"/>
      <c r="F209" s="133"/>
      <c r="G209" s="134"/>
      <c r="H209" s="46" t="s">
        <v>110</v>
      </c>
      <c r="I209" s="47" t="s">
        <v>111</v>
      </c>
      <c r="J209" s="48" t="s">
        <v>110</v>
      </c>
      <c r="K209" s="47" t="s">
        <v>109</v>
      </c>
      <c r="L209" s="47"/>
      <c r="M209" s="54"/>
      <c r="N209" s="44" t="str">
        <f t="shared" si="26"/>
        <v/>
      </c>
      <c r="O209" s="38"/>
      <c r="P209" s="38"/>
      <c r="Q209" s="38"/>
      <c r="R209" s="38">
        <f>IF(H209="[V]",1,0)</f>
        <v>0</v>
      </c>
      <c r="S209" s="38"/>
      <c r="T209" s="38"/>
      <c r="U209" s="38">
        <f>IF(J209="[V]",1,0)</f>
        <v>0</v>
      </c>
    </row>
    <row r="210" spans="1:22" s="6" customFormat="1" ht="34.15" customHeight="1" x14ac:dyDescent="0.3">
      <c r="A210" s="132" t="s">
        <v>79</v>
      </c>
      <c r="B210" s="133"/>
      <c r="C210" s="133"/>
      <c r="D210" s="133"/>
      <c r="E210" s="133"/>
      <c r="F210" s="133"/>
      <c r="G210" s="134"/>
      <c r="H210" s="46" t="s">
        <v>110</v>
      </c>
      <c r="I210" s="47" t="s">
        <v>111</v>
      </c>
      <c r="J210" s="48" t="s">
        <v>110</v>
      </c>
      <c r="K210" s="47" t="s">
        <v>109</v>
      </c>
      <c r="L210" s="47"/>
      <c r="M210" s="54"/>
      <c r="N210" s="44" t="str">
        <f t="shared" si="26"/>
        <v/>
      </c>
      <c r="O210" s="38"/>
      <c r="P210" s="38"/>
      <c r="Q210" s="38"/>
      <c r="R210" s="38">
        <f>IF(H210="[V]",1,0)</f>
        <v>0</v>
      </c>
      <c r="S210" s="38"/>
      <c r="T210" s="38"/>
      <c r="U210" s="38">
        <f>IF(J210="[V]",1,0)</f>
        <v>0</v>
      </c>
    </row>
    <row r="211" spans="1:22" s="6" customFormat="1" ht="46.9" customHeight="1" x14ac:dyDescent="0.3">
      <c r="A211" s="135" t="s">
        <v>80</v>
      </c>
      <c r="B211" s="121"/>
      <c r="C211" s="121"/>
      <c r="D211" s="121"/>
      <c r="E211" s="121"/>
      <c r="F211" s="121"/>
      <c r="G211" s="122"/>
      <c r="H211" s="46" t="s">
        <v>110</v>
      </c>
      <c r="I211" s="47" t="s">
        <v>111</v>
      </c>
      <c r="J211" s="48" t="s">
        <v>110</v>
      </c>
      <c r="K211" s="47" t="s">
        <v>109</v>
      </c>
      <c r="L211" s="47"/>
      <c r="M211" s="54"/>
      <c r="N211" s="44" t="str">
        <f t="shared" si="26"/>
        <v/>
      </c>
      <c r="O211" s="38"/>
      <c r="P211" s="38"/>
      <c r="Q211" s="38"/>
      <c r="R211" s="38">
        <f>IF(H211="[V]",1,0)</f>
        <v>0</v>
      </c>
      <c r="S211" s="38"/>
      <c r="T211" s="38"/>
      <c r="U211" s="38">
        <f>IF(J211="[V]",1,0)</f>
        <v>0</v>
      </c>
    </row>
    <row r="212" spans="1:22" s="6" customFormat="1" ht="42" customHeight="1" x14ac:dyDescent="0.3">
      <c r="A212" s="136" t="s">
        <v>81</v>
      </c>
      <c r="B212" s="137"/>
      <c r="C212" s="137"/>
      <c r="D212" s="137"/>
      <c r="E212" s="137"/>
      <c r="F212" s="137"/>
      <c r="G212" s="138"/>
      <c r="H212" s="45" t="s">
        <v>110</v>
      </c>
      <c r="I212" s="47" t="s">
        <v>111</v>
      </c>
      <c r="J212" s="45" t="s">
        <v>110</v>
      </c>
      <c r="K212" s="47" t="s">
        <v>109</v>
      </c>
      <c r="L212" s="45" t="s">
        <v>110</v>
      </c>
      <c r="M212" s="54" t="s">
        <v>108</v>
      </c>
      <c r="N212" s="44" t="str">
        <f t="shared" si="26"/>
        <v/>
      </c>
      <c r="O212" s="38"/>
      <c r="P212" s="38"/>
      <c r="Q212" s="38"/>
      <c r="R212" s="38">
        <f>IF(J212="[V]",1,0)</f>
        <v>0</v>
      </c>
      <c r="S212" s="38"/>
      <c r="T212" s="38">
        <f>IF(L212="[V]",1,0)</f>
        <v>0</v>
      </c>
      <c r="U212" s="38">
        <f>IF(H212="[V]",1,0)</f>
        <v>0</v>
      </c>
      <c r="V212" s="6" t="s">
        <v>114</v>
      </c>
    </row>
    <row r="213" spans="1:22" s="6" customFormat="1" ht="14.25" x14ac:dyDescent="0.3">
      <c r="A213" s="135" t="s">
        <v>82</v>
      </c>
      <c r="B213" s="121"/>
      <c r="C213" s="121"/>
      <c r="D213" s="121"/>
      <c r="E213" s="121"/>
      <c r="F213" s="121"/>
      <c r="G213" s="121"/>
      <c r="H213" s="121"/>
      <c r="I213" s="121"/>
      <c r="J213" s="121"/>
      <c r="K213" s="121"/>
      <c r="L213" s="121"/>
      <c r="M213" s="122"/>
      <c r="N213" s="44" t="str">
        <f t="shared" si="26"/>
        <v/>
      </c>
      <c r="O213" s="38"/>
      <c r="P213" s="38"/>
      <c r="Q213" s="38"/>
      <c r="R213" s="38"/>
      <c r="S213" s="38"/>
      <c r="T213" s="38"/>
      <c r="U213" s="38"/>
    </row>
    <row r="214" spans="1:22" s="6" customFormat="1" ht="41.45" customHeight="1" x14ac:dyDescent="0.3">
      <c r="A214" s="135" t="s">
        <v>83</v>
      </c>
      <c r="B214" s="121"/>
      <c r="C214" s="121"/>
      <c r="D214" s="121"/>
      <c r="E214" s="121"/>
      <c r="F214" s="121"/>
      <c r="G214" s="121"/>
      <c r="H214" s="121"/>
      <c r="I214" s="121"/>
      <c r="J214" s="121"/>
      <c r="K214" s="121"/>
      <c r="L214" s="121"/>
      <c r="M214" s="122"/>
      <c r="N214" s="44" t="str">
        <f t="shared" si="26"/>
        <v/>
      </c>
      <c r="O214" s="38"/>
      <c r="P214" s="38"/>
      <c r="Q214" s="38"/>
      <c r="R214" s="38"/>
      <c r="S214" s="38"/>
      <c r="T214" s="38"/>
      <c r="U214" s="38"/>
    </row>
    <row r="215" spans="1:22" s="6" customFormat="1" ht="39" customHeight="1" x14ac:dyDescent="0.3">
      <c r="A215" s="119" t="s">
        <v>84</v>
      </c>
      <c r="B215" s="120"/>
      <c r="C215" s="120"/>
      <c r="D215" s="121"/>
      <c r="E215" s="121"/>
      <c r="F215" s="121"/>
      <c r="G215" s="122"/>
      <c r="H215" s="46" t="s">
        <v>110</v>
      </c>
      <c r="I215" s="47" t="s">
        <v>111</v>
      </c>
      <c r="J215" s="48" t="s">
        <v>110</v>
      </c>
      <c r="K215" s="47" t="s">
        <v>109</v>
      </c>
      <c r="L215" s="47"/>
      <c r="M215" s="54"/>
      <c r="N215" s="44" t="str">
        <f t="shared" si="26"/>
        <v/>
      </c>
      <c r="O215" s="38"/>
      <c r="P215" s="38"/>
      <c r="Q215" s="38"/>
      <c r="R215" s="38"/>
      <c r="S215" s="38">
        <f>IF(J215="[V]",1,0)</f>
        <v>0</v>
      </c>
      <c r="T215" s="38">
        <f>IF(H215="[V]",1,0)</f>
        <v>0</v>
      </c>
      <c r="U215" s="38"/>
    </row>
    <row r="216" spans="1:22" s="6" customFormat="1" ht="55.15" customHeight="1" x14ac:dyDescent="0.3">
      <c r="A216" s="119" t="s">
        <v>85</v>
      </c>
      <c r="B216" s="120"/>
      <c r="C216" s="120"/>
      <c r="D216" s="121"/>
      <c r="E216" s="121"/>
      <c r="F216" s="121"/>
      <c r="G216" s="122"/>
      <c r="H216" s="45" t="s">
        <v>110</v>
      </c>
      <c r="I216" s="47" t="s">
        <v>111</v>
      </c>
      <c r="J216" s="45" t="s">
        <v>110</v>
      </c>
      <c r="K216" s="47" t="s">
        <v>109</v>
      </c>
      <c r="L216" s="27"/>
      <c r="M216" s="25"/>
      <c r="N216" s="44" t="str">
        <f t="shared" si="26"/>
        <v/>
      </c>
      <c r="O216" s="38"/>
      <c r="P216" s="38"/>
      <c r="Q216" s="38"/>
      <c r="R216" s="38"/>
      <c r="S216" s="38">
        <f>IF(J216="[V]",1,0)</f>
        <v>0</v>
      </c>
      <c r="T216" s="38">
        <f>IF(H216="[V]",1,0)</f>
        <v>0</v>
      </c>
      <c r="U216" s="38"/>
    </row>
    <row r="217" spans="1:22" s="6" customFormat="1" ht="14.25" x14ac:dyDescent="0.3">
      <c r="A217" s="17"/>
      <c r="B217" s="71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23"/>
      <c r="O217" s="38"/>
      <c r="P217" s="38"/>
      <c r="Q217" s="38"/>
      <c r="R217" s="38"/>
      <c r="S217" s="38"/>
      <c r="T217" s="38"/>
      <c r="U217" s="38"/>
    </row>
    <row r="218" spans="1:22" s="6" customFormat="1" ht="21" customHeight="1" x14ac:dyDescent="0.3">
      <c r="A218" s="12" t="s">
        <v>182</v>
      </c>
      <c r="B218" s="72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4"/>
      <c r="O218" s="73">
        <f>SUM(O8:O217)</f>
        <v>0</v>
      </c>
      <c r="P218" s="73">
        <f t="shared" ref="P218:U218" si="28">SUM(P8:P217)</f>
        <v>0</v>
      </c>
      <c r="Q218" s="73">
        <f t="shared" si="28"/>
        <v>0</v>
      </c>
      <c r="R218" s="73">
        <f t="shared" si="28"/>
        <v>0</v>
      </c>
      <c r="S218" s="73">
        <f t="shared" si="28"/>
        <v>0</v>
      </c>
      <c r="T218" s="73">
        <f t="shared" si="28"/>
        <v>0</v>
      </c>
      <c r="U218" s="73">
        <f t="shared" si="28"/>
        <v>0</v>
      </c>
    </row>
    <row r="219" spans="1:22" s="6" customFormat="1" ht="18" customHeight="1" x14ac:dyDescent="0.3">
      <c r="A219" s="12"/>
      <c r="B219" s="72"/>
      <c r="D219" s="123" t="str">
        <f>IF(OR(ISBLANK(H38),ISBLANK(H39)),"필수 기재사항 미입력","입력함")</f>
        <v>필수 기재사항 미입력</v>
      </c>
      <c r="E219" s="124"/>
      <c r="F219" s="124"/>
      <c r="G219" s="125"/>
      <c r="H219" s="16"/>
      <c r="I219" s="16"/>
      <c r="J219" s="16"/>
      <c r="K219" s="16"/>
      <c r="L219" s="16"/>
      <c r="M219" s="14"/>
    </row>
    <row r="220" spans="1:22" s="6" customFormat="1" ht="21" customHeight="1" x14ac:dyDescent="0.3">
      <c r="A220" s="12" t="s">
        <v>183</v>
      </c>
      <c r="B220" s="72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4"/>
    </row>
    <row r="221" spans="1:22" s="26" customFormat="1" ht="14.25" x14ac:dyDescent="0.3">
      <c r="A221" s="15"/>
      <c r="B221" s="72"/>
      <c r="C221" s="16" t="s">
        <v>184</v>
      </c>
      <c r="D221" s="74">
        <f>+O218</f>
        <v>0</v>
      </c>
      <c r="E221" s="16"/>
      <c r="F221" s="16"/>
      <c r="G221" s="16"/>
      <c r="H221" s="16"/>
      <c r="I221" s="16"/>
      <c r="J221" s="16"/>
      <c r="K221" s="16"/>
      <c r="L221" s="16"/>
      <c r="M221" s="14"/>
    </row>
    <row r="222" spans="1:22" s="6" customFormat="1" ht="14.25" x14ac:dyDescent="0.3">
      <c r="A222" s="15"/>
      <c r="B222" s="72"/>
      <c r="C222" s="16" t="s">
        <v>185</v>
      </c>
      <c r="D222" s="74">
        <f>+P218</f>
        <v>0</v>
      </c>
      <c r="E222" s="16"/>
      <c r="F222" s="16"/>
      <c r="G222" s="16"/>
      <c r="H222" s="16"/>
      <c r="I222" s="16"/>
      <c r="J222" s="16"/>
      <c r="K222" s="16"/>
      <c r="L222" s="16"/>
      <c r="M222" s="14"/>
    </row>
    <row r="223" spans="1:22" s="6" customFormat="1" ht="14.25" x14ac:dyDescent="0.3">
      <c r="A223" s="15"/>
      <c r="B223" s="72"/>
      <c r="C223" s="16" t="s">
        <v>186</v>
      </c>
      <c r="D223" s="74">
        <f>+Q218</f>
        <v>0</v>
      </c>
      <c r="E223" s="16"/>
      <c r="F223" s="16"/>
      <c r="G223" s="16"/>
      <c r="H223" s="16"/>
      <c r="I223" s="16"/>
      <c r="J223" s="16"/>
      <c r="K223" s="16"/>
      <c r="L223" s="16"/>
      <c r="M223" s="14"/>
    </row>
    <row r="224" spans="1:22" s="6" customFormat="1" ht="14.25" x14ac:dyDescent="0.3">
      <c r="A224" s="15"/>
      <c r="B224" s="72"/>
      <c r="C224" s="16" t="s">
        <v>187</v>
      </c>
      <c r="D224" s="74">
        <f>+R218+S218</f>
        <v>0</v>
      </c>
      <c r="E224" s="75" t="s">
        <v>188</v>
      </c>
      <c r="F224" s="16"/>
      <c r="G224" s="16"/>
      <c r="H224" s="16"/>
      <c r="I224" s="16"/>
      <c r="J224" s="16"/>
      <c r="K224" s="16"/>
      <c r="L224" s="16"/>
      <c r="M224" s="14"/>
    </row>
    <row r="225" spans="1:13" s="6" customFormat="1" ht="14.25" x14ac:dyDescent="0.3">
      <c r="A225" s="15"/>
      <c r="B225" s="72"/>
      <c r="C225" s="16" t="s">
        <v>189</v>
      </c>
      <c r="D225" s="74">
        <f>+T218+U218</f>
        <v>0</v>
      </c>
      <c r="E225" s="75" t="s">
        <v>190</v>
      </c>
      <c r="F225" s="16"/>
      <c r="G225" s="16"/>
      <c r="H225" s="16"/>
      <c r="I225" s="16"/>
      <c r="J225" s="16"/>
      <c r="K225" s="16"/>
      <c r="L225" s="16"/>
      <c r="M225" s="14"/>
    </row>
    <row r="226" spans="1:13" s="6" customFormat="1" ht="14.25" x14ac:dyDescent="0.3">
      <c r="A226" s="15"/>
      <c r="B226" s="72"/>
      <c r="C226" s="72" t="s">
        <v>191</v>
      </c>
      <c r="D226" s="74">
        <f>SUM(D221:D225)</f>
        <v>0</v>
      </c>
      <c r="E226" s="75" t="s">
        <v>192</v>
      </c>
      <c r="F226" s="16"/>
      <c r="G226" s="16"/>
      <c r="H226" s="16"/>
      <c r="I226" s="16"/>
      <c r="J226" s="16"/>
      <c r="K226" s="16"/>
      <c r="L226" s="16"/>
      <c r="M226" s="14"/>
    </row>
    <row r="227" spans="1:13" s="6" customFormat="1" ht="21" customHeight="1" x14ac:dyDescent="0.3">
      <c r="A227" s="15"/>
      <c r="B227" s="72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4"/>
    </row>
    <row r="228" spans="1:13" s="6" customFormat="1" ht="20.45" customHeight="1" x14ac:dyDescent="0.3">
      <c r="A228" s="126" t="s">
        <v>86</v>
      </c>
      <c r="B228" s="127"/>
      <c r="C228" s="127"/>
      <c r="D228" s="127"/>
      <c r="E228" s="127"/>
      <c r="F228" s="127"/>
      <c r="G228" s="127"/>
      <c r="H228" s="127"/>
      <c r="I228" s="127"/>
      <c r="J228" s="127"/>
      <c r="K228" s="127"/>
      <c r="L228" s="127"/>
      <c r="M228" s="128"/>
    </row>
    <row r="229" spans="1:13" s="6" customFormat="1" ht="21" customHeight="1" x14ac:dyDescent="0.3">
      <c r="A229" s="129" t="s">
        <v>193</v>
      </c>
      <c r="B229" s="130"/>
      <c r="C229" s="130"/>
      <c r="D229" s="130"/>
      <c r="E229" s="130"/>
      <c r="F229" s="130"/>
      <c r="G229" s="130"/>
      <c r="H229" s="130"/>
      <c r="I229" s="130"/>
      <c r="J229" s="130"/>
      <c r="K229" s="130"/>
      <c r="L229" s="130"/>
      <c r="M229" s="131"/>
    </row>
    <row r="230" spans="1:13" s="6" customFormat="1" ht="18" customHeight="1" x14ac:dyDescent="0.3">
      <c r="A230" s="105" t="s">
        <v>194</v>
      </c>
      <c r="B230" s="106"/>
      <c r="C230" s="106"/>
      <c r="D230" s="106"/>
      <c r="E230" s="106"/>
      <c r="F230" s="106"/>
      <c r="G230" s="106"/>
      <c r="H230" s="106"/>
      <c r="I230" s="106"/>
      <c r="J230" s="106"/>
      <c r="K230" s="106"/>
      <c r="L230" s="106"/>
      <c r="M230" s="107"/>
    </row>
    <row r="231" spans="1:13" s="6" customFormat="1" ht="17.45" customHeight="1" x14ac:dyDescent="0.3">
      <c r="A231" s="105" t="s">
        <v>195</v>
      </c>
      <c r="B231" s="106"/>
      <c r="C231" s="106"/>
      <c r="D231" s="106"/>
      <c r="E231" s="106"/>
      <c r="F231" s="106"/>
      <c r="G231" s="106"/>
      <c r="H231" s="106"/>
      <c r="I231" s="106"/>
      <c r="J231" s="106"/>
      <c r="K231" s="106"/>
      <c r="L231" s="106"/>
      <c r="M231" s="107"/>
    </row>
    <row r="232" spans="1:13" s="6" customFormat="1" ht="48" customHeight="1" x14ac:dyDescent="0.3">
      <c r="A232" s="108" t="s">
        <v>196</v>
      </c>
      <c r="B232" s="109"/>
      <c r="C232" s="109"/>
      <c r="D232" s="109"/>
      <c r="E232" s="109"/>
      <c r="F232" s="109"/>
      <c r="G232" s="109"/>
      <c r="H232" s="109"/>
      <c r="I232" s="109"/>
      <c r="J232" s="109"/>
      <c r="K232" s="109"/>
      <c r="L232" s="109"/>
      <c r="M232" s="110"/>
    </row>
    <row r="233" spans="1:13" s="6" customFormat="1" ht="33.6" customHeight="1" x14ac:dyDescent="0.3">
      <c r="A233" s="111" t="s">
        <v>197</v>
      </c>
      <c r="B233" s="112"/>
      <c r="C233" s="112"/>
      <c r="D233" s="112"/>
      <c r="E233" s="112"/>
      <c r="F233" s="112"/>
      <c r="G233" s="112"/>
      <c r="H233" s="112"/>
      <c r="I233" s="112"/>
      <c r="J233" s="112"/>
      <c r="K233" s="112"/>
      <c r="L233" s="112"/>
      <c r="M233" s="113"/>
    </row>
    <row r="234" spans="1:13" s="6" customFormat="1" ht="37.15" customHeight="1" x14ac:dyDescent="0.3">
      <c r="A234" s="114" t="s">
        <v>198</v>
      </c>
      <c r="B234" s="115"/>
      <c r="C234" s="115"/>
      <c r="D234" s="115"/>
      <c r="E234" s="115"/>
      <c r="F234" s="115"/>
      <c r="G234" s="115"/>
      <c r="H234" s="115"/>
      <c r="I234" s="115"/>
      <c r="J234" s="115"/>
      <c r="K234" s="115"/>
      <c r="L234" s="115"/>
      <c r="M234" s="116"/>
    </row>
    <row r="235" spans="1:13" ht="14.25" x14ac:dyDescent="0.3">
      <c r="A235" s="76"/>
      <c r="B235" s="77"/>
      <c r="C235" s="77"/>
      <c r="D235" s="77"/>
      <c r="E235" s="77"/>
      <c r="F235" s="77"/>
      <c r="G235" s="77"/>
      <c r="H235" s="77"/>
      <c r="I235" s="77"/>
      <c r="J235" s="77"/>
      <c r="K235" s="77"/>
      <c r="L235" s="77"/>
      <c r="M235" s="78"/>
    </row>
    <row r="236" spans="1:13" ht="14.25" x14ac:dyDescent="0.3">
      <c r="A236" s="117" t="s">
        <v>87</v>
      </c>
      <c r="B236" s="118"/>
      <c r="C236" s="118"/>
      <c r="D236" s="118"/>
      <c r="E236" s="118"/>
      <c r="F236" s="118"/>
      <c r="G236" s="118"/>
      <c r="H236" s="5"/>
      <c r="I236" s="5"/>
      <c r="J236" s="5"/>
      <c r="K236" s="5"/>
      <c r="L236" s="5"/>
      <c r="M236" s="14"/>
    </row>
    <row r="237" spans="1:13" ht="50.45" customHeight="1" x14ac:dyDescent="0.3">
      <c r="A237" s="108" t="s">
        <v>199</v>
      </c>
      <c r="B237" s="109"/>
      <c r="C237" s="109"/>
      <c r="D237" s="109"/>
      <c r="E237" s="109"/>
      <c r="F237" s="109"/>
      <c r="G237" s="109"/>
      <c r="H237" s="109"/>
      <c r="I237" s="109"/>
      <c r="J237" s="109"/>
      <c r="K237" s="109"/>
      <c r="L237" s="109"/>
      <c r="M237" s="110"/>
    </row>
    <row r="238" spans="1:13" ht="14.25" x14ac:dyDescent="0.3">
      <c r="A238" s="79"/>
      <c r="B238" s="45" t="s">
        <v>110</v>
      </c>
      <c r="C238" s="62" t="s">
        <v>200</v>
      </c>
      <c r="D238" s="62"/>
      <c r="E238" s="45" t="s">
        <v>110</v>
      </c>
      <c r="F238" s="62" t="s">
        <v>201</v>
      </c>
      <c r="G238" s="62"/>
      <c r="H238" s="45" t="s">
        <v>110</v>
      </c>
      <c r="I238" s="62" t="s">
        <v>202</v>
      </c>
      <c r="J238" s="62"/>
      <c r="K238" s="62"/>
      <c r="L238" s="62"/>
      <c r="M238" s="80"/>
    </row>
    <row r="239" spans="1:13" ht="14.25" x14ac:dyDescent="0.3">
      <c r="A239" s="92" t="s">
        <v>88</v>
      </c>
      <c r="B239" s="93"/>
      <c r="C239" s="93"/>
      <c r="D239" s="93"/>
      <c r="E239" s="93"/>
      <c r="F239" s="93"/>
      <c r="G239" s="93"/>
      <c r="H239" s="62"/>
      <c r="I239" s="62"/>
      <c r="J239" s="62"/>
      <c r="K239" s="62"/>
      <c r="L239" s="62"/>
      <c r="M239" s="80"/>
    </row>
    <row r="240" spans="1:13" ht="14.25" x14ac:dyDescent="0.3">
      <c r="A240" s="64"/>
      <c r="B240" s="45" t="s">
        <v>110</v>
      </c>
      <c r="C240" s="94" t="s">
        <v>203</v>
      </c>
      <c r="D240" s="94"/>
      <c r="E240" s="94"/>
      <c r="F240" s="94"/>
      <c r="G240" s="94"/>
      <c r="H240" s="94"/>
      <c r="I240" s="94"/>
      <c r="J240" s="94"/>
      <c r="K240" s="94"/>
      <c r="L240" s="94"/>
      <c r="M240" s="95"/>
    </row>
    <row r="241" spans="1:13" ht="14.25" x14ac:dyDescent="0.3">
      <c r="A241" s="65"/>
      <c r="B241" s="45" t="s">
        <v>110</v>
      </c>
      <c r="C241" s="96" t="s">
        <v>204</v>
      </c>
      <c r="D241" s="96"/>
      <c r="E241" s="96"/>
      <c r="F241" s="96"/>
      <c r="G241" s="96"/>
      <c r="H241" s="96"/>
      <c r="I241" s="96"/>
      <c r="J241" s="96"/>
      <c r="K241" s="96"/>
      <c r="L241" s="96"/>
      <c r="M241" s="97"/>
    </row>
    <row r="242" spans="1:13" ht="14.25" x14ac:dyDescent="0.3">
      <c r="A242" s="98" t="s">
        <v>205</v>
      </c>
      <c r="B242" s="99"/>
      <c r="C242" s="99"/>
      <c r="D242" s="99"/>
      <c r="E242" s="99"/>
      <c r="F242" s="99"/>
      <c r="G242" s="99"/>
      <c r="H242" s="99"/>
      <c r="I242" s="99"/>
      <c r="J242" s="99"/>
      <c r="K242" s="99"/>
      <c r="L242" s="99"/>
      <c r="M242" s="100"/>
    </row>
    <row r="243" spans="1:13" ht="19.899999999999999" customHeight="1" x14ac:dyDescent="0.3">
      <c r="A243" s="101" t="s">
        <v>89</v>
      </c>
      <c r="B243" s="102"/>
      <c r="C243" s="102"/>
      <c r="D243" s="102"/>
      <c r="E243" s="102"/>
      <c r="F243" s="102"/>
      <c r="G243" s="102"/>
      <c r="H243" s="102"/>
      <c r="I243" s="102"/>
      <c r="J243" s="102"/>
      <c r="K243" s="102"/>
      <c r="L243" s="102"/>
      <c r="M243" s="103"/>
    </row>
    <row r="244" spans="1:13" ht="14.25" x14ac:dyDescent="0.15">
      <c r="A244" s="28" t="s">
        <v>90</v>
      </c>
      <c r="B244" s="81"/>
      <c r="C244" s="82"/>
      <c r="D244" s="29" t="s">
        <v>91</v>
      </c>
      <c r="E244" s="3"/>
      <c r="F244" s="29" t="s">
        <v>92</v>
      </c>
      <c r="G244" s="3"/>
      <c r="H244" s="104" t="s">
        <v>93</v>
      </c>
      <c r="I244" s="104"/>
      <c r="J244" s="104"/>
      <c r="K244" s="104"/>
      <c r="L244" s="3"/>
      <c r="M244" s="83"/>
    </row>
    <row r="245" spans="1:13" ht="14.25" x14ac:dyDescent="0.15">
      <c r="A245" s="36" t="s">
        <v>94</v>
      </c>
      <c r="B245" s="3"/>
      <c r="C245" s="6"/>
      <c r="D245" s="84"/>
      <c r="E245" s="31"/>
      <c r="F245" s="32"/>
      <c r="G245" s="33"/>
      <c r="H245" s="89"/>
      <c r="I245" s="89"/>
      <c r="J245" s="89"/>
      <c r="K245" s="89"/>
      <c r="L245" s="33"/>
      <c r="M245" s="14"/>
    </row>
    <row r="246" spans="1:13" ht="14.25" x14ac:dyDescent="0.15">
      <c r="A246" s="28" t="s">
        <v>95</v>
      </c>
      <c r="B246" s="81"/>
      <c r="C246" s="82"/>
      <c r="D246" s="31"/>
      <c r="E246" s="31"/>
      <c r="F246" s="31"/>
      <c r="G246" s="33"/>
      <c r="H246" s="90"/>
      <c r="I246" s="90"/>
      <c r="J246" s="90"/>
      <c r="K246" s="90"/>
      <c r="L246" s="33"/>
      <c r="M246" s="14"/>
    </row>
    <row r="247" spans="1:13" ht="14.25" x14ac:dyDescent="0.15">
      <c r="A247" s="28" t="s">
        <v>96</v>
      </c>
      <c r="B247" s="81"/>
      <c r="C247" s="82"/>
      <c r="D247" s="84"/>
      <c r="E247" s="31"/>
      <c r="F247" s="30"/>
      <c r="G247" s="33"/>
      <c r="H247" s="91"/>
      <c r="I247" s="91"/>
      <c r="J247" s="91"/>
      <c r="K247" s="91"/>
      <c r="L247" s="33"/>
      <c r="M247" s="14"/>
    </row>
    <row r="248" spans="1:13" ht="14.25" x14ac:dyDescent="0.15">
      <c r="A248" s="28" t="s">
        <v>97</v>
      </c>
      <c r="B248" s="81"/>
      <c r="C248" s="82"/>
      <c r="D248" s="84"/>
      <c r="E248" s="31"/>
      <c r="F248" s="32"/>
      <c r="G248" s="33"/>
      <c r="H248" s="89"/>
      <c r="I248" s="89"/>
      <c r="J248" s="89"/>
      <c r="K248" s="89"/>
      <c r="L248" s="33"/>
      <c r="M248" s="14"/>
    </row>
    <row r="249" spans="1:13" ht="15" thickBot="1" x14ac:dyDescent="0.35">
      <c r="A249" s="85"/>
      <c r="B249" s="86"/>
      <c r="C249" s="87"/>
      <c r="D249" s="10"/>
      <c r="E249" s="10"/>
      <c r="F249" s="10"/>
      <c r="G249" s="10"/>
      <c r="H249" s="10"/>
      <c r="I249" s="10"/>
      <c r="J249" s="10"/>
      <c r="K249" s="10"/>
      <c r="L249" s="10"/>
      <c r="M249" s="88"/>
    </row>
  </sheetData>
  <mergeCells count="246">
    <mergeCell ref="A1:H1"/>
    <mergeCell ref="O1:U1"/>
    <mergeCell ref="A2:H2"/>
    <mergeCell ref="A7:G7"/>
    <mergeCell ref="H7:M7"/>
    <mergeCell ref="A8:G8"/>
    <mergeCell ref="H8:M8"/>
    <mergeCell ref="A15:G15"/>
    <mergeCell ref="A16:G16"/>
    <mergeCell ref="A17:G17"/>
    <mergeCell ref="A18:G18"/>
    <mergeCell ref="A19:G19"/>
    <mergeCell ref="A20:M20"/>
    <mergeCell ref="A9:G9"/>
    <mergeCell ref="H10:M10"/>
    <mergeCell ref="A11:G12"/>
    <mergeCell ref="H12:M12"/>
    <mergeCell ref="A13:M13"/>
    <mergeCell ref="A14:M14"/>
    <mergeCell ref="C27:M27"/>
    <mergeCell ref="C28:M28"/>
    <mergeCell ref="C29:M29"/>
    <mergeCell ref="A30:M30"/>
    <mergeCell ref="A31:M31"/>
    <mergeCell ref="A32:G32"/>
    <mergeCell ref="A21:G21"/>
    <mergeCell ref="A22:G22"/>
    <mergeCell ref="A23:M23"/>
    <mergeCell ref="A24:M24"/>
    <mergeCell ref="C25:M25"/>
    <mergeCell ref="C26:M26"/>
    <mergeCell ref="A37:G37"/>
    <mergeCell ref="A38:G38"/>
    <mergeCell ref="H38:M38"/>
    <mergeCell ref="A39:G39"/>
    <mergeCell ref="H39:M39"/>
    <mergeCell ref="A40:G40"/>
    <mergeCell ref="H40:M40"/>
    <mergeCell ref="A33:G33"/>
    <mergeCell ref="A34:G34"/>
    <mergeCell ref="H34:M34"/>
    <mergeCell ref="A35:G35"/>
    <mergeCell ref="A36:G36"/>
    <mergeCell ref="H36:M36"/>
    <mergeCell ref="C44:G44"/>
    <mergeCell ref="H44:M44"/>
    <mergeCell ref="C45:G45"/>
    <mergeCell ref="H45:M45"/>
    <mergeCell ref="C46:G46"/>
    <mergeCell ref="H46:M46"/>
    <mergeCell ref="A41:G41"/>
    <mergeCell ref="H41:M41"/>
    <mergeCell ref="A42:G42"/>
    <mergeCell ref="H42:M42"/>
    <mergeCell ref="C43:G43"/>
    <mergeCell ref="H43:M43"/>
    <mergeCell ref="A53:M53"/>
    <mergeCell ref="A54:M54"/>
    <mergeCell ref="A55:M55"/>
    <mergeCell ref="A57:G57"/>
    <mergeCell ref="H57:M57"/>
    <mergeCell ref="A58:M58"/>
    <mergeCell ref="A47:G47"/>
    <mergeCell ref="A48:G48"/>
    <mergeCell ref="H48:M48"/>
    <mergeCell ref="A49:G49"/>
    <mergeCell ref="A50:G50"/>
    <mergeCell ref="H50:M50"/>
    <mergeCell ref="C65:M65"/>
    <mergeCell ref="A66:M66"/>
    <mergeCell ref="C67:M67"/>
    <mergeCell ref="C68:M68"/>
    <mergeCell ref="C69:M69"/>
    <mergeCell ref="C70:M70"/>
    <mergeCell ref="A59:M59"/>
    <mergeCell ref="C60:M60"/>
    <mergeCell ref="C61:M61"/>
    <mergeCell ref="C62:M62"/>
    <mergeCell ref="C63:M63"/>
    <mergeCell ref="C64:M64"/>
    <mergeCell ref="C77:M77"/>
    <mergeCell ref="C78:M78"/>
    <mergeCell ref="A79:M79"/>
    <mergeCell ref="C80:M80"/>
    <mergeCell ref="C81:M81"/>
    <mergeCell ref="C82:M82"/>
    <mergeCell ref="C71:M71"/>
    <mergeCell ref="A72:G72"/>
    <mergeCell ref="A73:M73"/>
    <mergeCell ref="C74:M74"/>
    <mergeCell ref="C75:M75"/>
    <mergeCell ref="C76:M76"/>
    <mergeCell ref="C89:M89"/>
    <mergeCell ref="C90:M90"/>
    <mergeCell ref="C91:M91"/>
    <mergeCell ref="A92:M92"/>
    <mergeCell ref="C93:M93"/>
    <mergeCell ref="C94:M94"/>
    <mergeCell ref="C83:M83"/>
    <mergeCell ref="C84:M84"/>
    <mergeCell ref="A85:M85"/>
    <mergeCell ref="A86:M86"/>
    <mergeCell ref="C87:M87"/>
    <mergeCell ref="C88:M88"/>
    <mergeCell ref="C101:M101"/>
    <mergeCell ref="C102:M102"/>
    <mergeCell ref="C103:M103"/>
    <mergeCell ref="A104:M104"/>
    <mergeCell ref="A105:G105"/>
    <mergeCell ref="A106:M106"/>
    <mergeCell ref="C95:M95"/>
    <mergeCell ref="C96:M96"/>
    <mergeCell ref="C97:M97"/>
    <mergeCell ref="A98:M98"/>
    <mergeCell ref="C99:M99"/>
    <mergeCell ref="C100:M100"/>
    <mergeCell ref="C113:M113"/>
    <mergeCell ref="C114:M114"/>
    <mergeCell ref="C115:M115"/>
    <mergeCell ref="C116:M116"/>
    <mergeCell ref="C117:M117"/>
    <mergeCell ref="A118:G118"/>
    <mergeCell ref="C107:M107"/>
    <mergeCell ref="C108:M108"/>
    <mergeCell ref="C109:M109"/>
    <mergeCell ref="C110:M110"/>
    <mergeCell ref="C111:M111"/>
    <mergeCell ref="A112:M112"/>
    <mergeCell ref="A125:M125"/>
    <mergeCell ref="C126:M126"/>
    <mergeCell ref="C127:M127"/>
    <mergeCell ref="C128:M128"/>
    <mergeCell ref="C129:M129"/>
    <mergeCell ref="C130:M130"/>
    <mergeCell ref="A119:M119"/>
    <mergeCell ref="C120:M120"/>
    <mergeCell ref="C121:M121"/>
    <mergeCell ref="C122:M122"/>
    <mergeCell ref="C123:M123"/>
    <mergeCell ref="C124:M124"/>
    <mergeCell ref="A137:G137"/>
    <mergeCell ref="A138:G138"/>
    <mergeCell ref="A139:M139"/>
    <mergeCell ref="C140:M140"/>
    <mergeCell ref="C141:M141"/>
    <mergeCell ref="C142:M142"/>
    <mergeCell ref="A131:G131"/>
    <mergeCell ref="A132:M132"/>
    <mergeCell ref="A133:G133"/>
    <mergeCell ref="A134:G134"/>
    <mergeCell ref="A135:G135"/>
    <mergeCell ref="A136:G136"/>
    <mergeCell ref="C149:M149"/>
    <mergeCell ref="C150:M150"/>
    <mergeCell ref="A151:M151"/>
    <mergeCell ref="C152:M152"/>
    <mergeCell ref="C153:M153"/>
    <mergeCell ref="C154:M154"/>
    <mergeCell ref="C143:M143"/>
    <mergeCell ref="C144:M144"/>
    <mergeCell ref="A145:M145"/>
    <mergeCell ref="C146:M146"/>
    <mergeCell ref="C147:M147"/>
    <mergeCell ref="C148:M148"/>
    <mergeCell ref="A161:M161"/>
    <mergeCell ref="C162:M162"/>
    <mergeCell ref="C163:M163"/>
    <mergeCell ref="C164:M164"/>
    <mergeCell ref="C165:M165"/>
    <mergeCell ref="C166:M166"/>
    <mergeCell ref="C155:M155"/>
    <mergeCell ref="C156:M156"/>
    <mergeCell ref="A157:G157"/>
    <mergeCell ref="A158:M158"/>
    <mergeCell ref="A159:G159"/>
    <mergeCell ref="A160:G160"/>
    <mergeCell ref="C173:M173"/>
    <mergeCell ref="C174:M174"/>
    <mergeCell ref="C175:M175"/>
    <mergeCell ref="A176:G176"/>
    <mergeCell ref="A177:G177"/>
    <mergeCell ref="A178:M178"/>
    <mergeCell ref="C167:M167"/>
    <mergeCell ref="C168:M168"/>
    <mergeCell ref="C169:M169"/>
    <mergeCell ref="A170:G170"/>
    <mergeCell ref="A171:M171"/>
    <mergeCell ref="A172:M172"/>
    <mergeCell ref="A185:M185"/>
    <mergeCell ref="C186:M186"/>
    <mergeCell ref="C187:M187"/>
    <mergeCell ref="C188:M188"/>
    <mergeCell ref="A189:G189"/>
    <mergeCell ref="A190:M190"/>
    <mergeCell ref="C179:M179"/>
    <mergeCell ref="C180:M180"/>
    <mergeCell ref="C181:M181"/>
    <mergeCell ref="C182:M182"/>
    <mergeCell ref="C183:M183"/>
    <mergeCell ref="A184:G184"/>
    <mergeCell ref="A197:G197"/>
    <mergeCell ref="A198:M198"/>
    <mergeCell ref="C199:M199"/>
    <mergeCell ref="C200:M200"/>
    <mergeCell ref="C201:M201"/>
    <mergeCell ref="C202:M202"/>
    <mergeCell ref="C191:M191"/>
    <mergeCell ref="C192:M192"/>
    <mergeCell ref="C193:M193"/>
    <mergeCell ref="C194:M194"/>
    <mergeCell ref="C195:M195"/>
    <mergeCell ref="A196:G196"/>
    <mergeCell ref="A209:G209"/>
    <mergeCell ref="A210:G210"/>
    <mergeCell ref="A211:G211"/>
    <mergeCell ref="A212:G212"/>
    <mergeCell ref="A213:M213"/>
    <mergeCell ref="A214:M214"/>
    <mergeCell ref="C203:M203"/>
    <mergeCell ref="A204:M204"/>
    <mergeCell ref="C205:M205"/>
    <mergeCell ref="C206:M206"/>
    <mergeCell ref="C207:M207"/>
    <mergeCell ref="C208:M208"/>
    <mergeCell ref="A231:M231"/>
    <mergeCell ref="A232:M232"/>
    <mergeCell ref="A233:M233"/>
    <mergeCell ref="A234:M234"/>
    <mergeCell ref="A236:G236"/>
    <mergeCell ref="A237:M237"/>
    <mergeCell ref="A215:G215"/>
    <mergeCell ref="A216:G216"/>
    <mergeCell ref="D219:G219"/>
    <mergeCell ref="A228:M228"/>
    <mergeCell ref="A229:M229"/>
    <mergeCell ref="A230:M230"/>
    <mergeCell ref="H245:K245"/>
    <mergeCell ref="H246:K246"/>
    <mergeCell ref="H247:K247"/>
    <mergeCell ref="H248:K248"/>
    <mergeCell ref="A239:G239"/>
    <mergeCell ref="C240:M240"/>
    <mergeCell ref="C241:M241"/>
    <mergeCell ref="A242:M242"/>
    <mergeCell ref="A243:M243"/>
    <mergeCell ref="H244:K244"/>
  </mergeCells>
  <phoneticPr fontId="2" type="noConversion"/>
  <dataValidations count="1">
    <dataValidation type="list" allowBlank="1" showInputMessage="1" showErrorMessage="1" sqref="B25:B29 B43:B46 H15:H19 B60:B65 B80:B84 B74:B78 B87:B91 B93:B97 B99:B103 B107:B111 B113:B117 B120:B124 B126:B130 B140:B144 B146:B150 B152:B156 B162:B169 B173:B175 B179:B183 B186:B188 B191:B195 B199:B203 B205:B208 B240:B241 J9 J11 H9 H11 J15:J19 H238 J21 H21 J32:J33 H32:H33 J35 H35 J47 H47 J49 H49 L72 J72 H72 L105 J105 H105 J131 H131 B67:B71 H133:H138 J157 H157 J159:J160 H159:H160 J170 H170 J176:J177 H176:H177 J184 H184 J189 H189 J196:J197 H196:H197 J133:J138 H209:H212 L212 J215:J216 H215:H216 J118 H118 B238 E238 J209:J212" xr:uid="{5390C946-1B87-4534-9226-2F623DA271E0}">
      <formula1>"[  ],[V]"</formula1>
    </dataValidation>
  </dataValidations>
  <pageMargins left="0.70866141732283472" right="0.70866141732283472" top="0.74803149606299213" bottom="0.74803149606299213" header="0.31496062992125984" footer="0.31496062992125984"/>
  <pageSetup paperSize="9" orientation="portrait" r:id="rId1"/>
  <headerFooter>
    <oddFooter>&amp;R조서번호: &amp;A&amp;[(&amp; &amp;P)&amp;)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1100A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KICPA</dc:creator>
  <cp:lastModifiedBy>BO IN</cp:lastModifiedBy>
  <cp:lastPrinted>2021-09-10T07:11:05Z</cp:lastPrinted>
  <dcterms:created xsi:type="dcterms:W3CDTF">2021-09-09T09:53:32Z</dcterms:created>
  <dcterms:modified xsi:type="dcterms:W3CDTF">2023-08-30T08:31:27Z</dcterms:modified>
</cp:coreProperties>
</file>